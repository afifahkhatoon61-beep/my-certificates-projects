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I_Insights" sheetId="2" state="visible" r:id="rId4"/>
    <sheet name="Data_TB_PL_BS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<sst xmlns="http://schemas.openxmlformats.org/spreadsheetml/2006/main" count="180" uniqueCount="150">
  <si>
    <t xml:space="preserve">FINANCIAL MIS DASHBOARD - APRIL 2026 SIMULATION</t>
  </si>
  <si>
    <t xml:space="preserve">Nexus Tech Distribution Pvt. Ltd.  |  Tally Prime + Excel  |  Figures in Rs  |  Dummy practice data</t>
  </si>
  <si>
    <t xml:space="preserve">REVENUE (Sales)</t>
  </si>
  <si>
    <t xml:space="preserve">GROSS PROFIT</t>
  </si>
  <si>
    <t xml:space="preserve">NET PROFIT / (LOSS)</t>
  </si>
  <si>
    <t xml:space="preserve">WORKING CAPITAL</t>
  </si>
  <si>
    <t xml:space="preserve">CURRENT RATIO</t>
  </si>
  <si>
    <t xml:space="preserve">Taxable sales for the period</t>
  </si>
  <si>
    <t xml:space="preserve">Current Assets - Current Liabilities</t>
  </si>
  <si>
    <t xml:space="preserve">Current Assets / Current Liabilities</t>
  </si>
  <si>
    <t xml:space="preserve">KEY FINANCIALS (Rs)</t>
  </si>
  <si>
    <t xml:space="preserve">WORKING CAPITAL (Rs)</t>
  </si>
  <si>
    <t xml:space="preserve">Sales</t>
  </si>
  <si>
    <t xml:space="preserve">HDFC Bank balance</t>
  </si>
  <si>
    <t xml:space="preserve">Purchases</t>
  </si>
  <si>
    <t xml:space="preserve">Receivables</t>
  </si>
  <si>
    <t xml:space="preserve">Gross Profit</t>
  </si>
  <si>
    <t xml:space="preserve">Payables</t>
  </si>
  <si>
    <t xml:space="preserve">Indirect Expenses</t>
  </si>
  <si>
    <t xml:space="preserve">Net Working Capital</t>
  </si>
  <si>
    <t xml:space="preserve">Net Profit / (Loss)</t>
  </si>
  <si>
    <t xml:space="preserve">Receivables - Payables</t>
  </si>
  <si>
    <t xml:space="preserve">TAX POSITION (Rs)</t>
  </si>
  <si>
    <t xml:space="preserve">KEY RATIOS</t>
  </si>
  <si>
    <t xml:space="preserve">Output GST</t>
  </si>
  <si>
    <t xml:space="preserve">Gross margin %</t>
  </si>
  <si>
    <t xml:space="preserve">Input Tax Credit (ITC)</t>
  </si>
  <si>
    <t xml:space="preserve">Net profit %</t>
  </si>
  <si>
    <t xml:space="preserve">Net GST payable / (ITC credit)</t>
  </si>
  <si>
    <t xml:space="preserve">Expenses % of sales</t>
  </si>
  <si>
    <t xml:space="preserve">TDS deducted</t>
  </si>
  <si>
    <t xml:space="preserve">Current ratio</t>
  </si>
  <si>
    <t xml:space="preserve">TDS paid</t>
  </si>
  <si>
    <t xml:space="preserve">Liabilities-to-equity</t>
  </si>
  <si>
    <t xml:space="preserve">TDS pending</t>
  </si>
  <si>
    <t xml:space="preserve">BUDGET vs ACTUAL (Rs)</t>
  </si>
  <si>
    <t xml:space="preserve">Particulars</t>
  </si>
  <si>
    <t xml:space="preserve">Budget</t>
  </si>
  <si>
    <t xml:space="preserve">Actual</t>
  </si>
  <si>
    <t xml:space="preserve">Variance</t>
  </si>
  <si>
    <t xml:space="preserve">Var %</t>
  </si>
  <si>
    <t xml:space="preserve">Status</t>
  </si>
  <si>
    <t xml:space="preserve">Notes: Dashboard reads only the Data_TB_PL_BS sheet (blue cells). Budget figures are dummy assumptions. Gross Profit is nil because closing stock is not valued in Tally. The rent TDS of Rs 5,000 is a practice entry: under Sec 393, TDS on rent applies only when rent exceeds Rs 50,000 per month.</t>
  </si>
  <si>
    <t xml:space="preserve">AI-ASSISTED INSIGHTS &amp; FINANCIAL NARRATIVE - APRIL 2026</t>
  </si>
  <si>
    <t xml:space="preserve">Nexus Tech Distribution Pvt. Ltd. | AI was used to assist in drafting the management commentary. Financial figures are formula-linked to the Tally source data; the wording is fixed text.</t>
  </si>
  <si>
    <t xml:space="preserve">📌 EXECUTIVE OVERVIEW</t>
  </si>
  <si>
    <t xml:space="preserve">⚠️ KEY RISKS &amp; ANOMALY ALERTS</t>
  </si>
  <si>
    <t xml:space="preserve">#</t>
  </si>
  <si>
    <t xml:space="preserve">Alert</t>
  </si>
  <si>
    <t xml:space="preserve">Severity</t>
  </si>
  <si>
    <t xml:space="preserve">Key figure</t>
  </si>
  <si>
    <t xml:space="preserve">Commentary</t>
  </si>
  <si>
    <t xml:space="preserve">Zero gross margin and net loss</t>
  </si>
  <si>
    <t xml:space="preserve">Customer concentration</t>
  </si>
  <si>
    <t xml:space="preserve">Receivable not yet collected</t>
  </si>
  <si>
    <t xml:space="preserve">Liquidity cover for payables</t>
  </si>
  <si>
    <t xml:space="preserve">GST and ITC position</t>
  </si>
  <si>
    <t xml:space="preserve">🎯 STRATEGIC ACTION PLAN</t>
  </si>
  <si>
    <t xml:space="preserve">Action</t>
  </si>
  <si>
    <t xml:space="preserve">Priority</t>
  </si>
  <si>
    <t xml:space="preserve">Timeline</t>
  </si>
  <si>
    <t xml:space="preserve">Detail</t>
  </si>
  <si>
    <t xml:space="preserve">Price above purchase cost</t>
  </si>
  <si>
    <t xml:space="preserve">High</t>
  </si>
  <si>
    <t xml:space="preserve">Next month</t>
  </si>
  <si>
    <t xml:space="preserve">Value and record closing stock</t>
  </si>
  <si>
    <t xml:space="preserve">Before month-end close</t>
  </si>
  <si>
    <t xml:space="preserve">Collect the receivable</t>
  </si>
  <si>
    <t xml:space="preserve">Medium</t>
  </si>
  <si>
    <t xml:space="preserve">Within 30 days</t>
  </si>
  <si>
    <t xml:space="preserve">Add more customers</t>
  </si>
  <si>
    <t xml:space="preserve">This quarter</t>
  </si>
  <si>
    <t xml:space="preserve">Keep GST matching up to date</t>
  </si>
  <si>
    <t xml:space="preserve">Low</t>
  </si>
  <si>
    <t xml:space="preserve">Every month</t>
  </si>
  <si>
    <t xml:space="preserve">INPUTS FROM OTHER SHEETS (blue = type the value from the source sheet)</t>
  </si>
  <si>
    <t xml:space="preserve">Sales to largest customer (Infotech Solutions Ltd)</t>
  </si>
  <si>
    <t xml:space="preserve">Tally Sales Register</t>
  </si>
  <si>
    <t xml:space="preserve">Target gross margin for planning</t>
  </si>
  <si>
    <t xml:space="preserve">Assumption</t>
  </si>
  <si>
    <t xml:space="preserve">Note: all other figures are read from Data_TB_PL_BS and the Dashboard, so every number on this sheet comes from the Tally data.</t>
  </si>
  <si>
    <t xml:space="preserve">Source Data - Tally Prime Reports (Nexus Tech Distribution Pvt. Ltd.)</t>
  </si>
  <si>
    <t xml:space="preserve">Type or paste the figures exported from Tally into the blue cells. The Dashboard and Checks sheets update automatically. As on 1-Apr-26 (current Tally data), Rs.</t>
  </si>
  <si>
    <t xml:space="preserve">A. TRIAL BALANCE (closing balance)</t>
  </si>
  <si>
    <t xml:space="preserve">Debit</t>
  </si>
  <si>
    <t xml:space="preserve">Credit</t>
  </si>
  <si>
    <t xml:space="preserve">Capital Account</t>
  </si>
  <si>
    <t xml:space="preserve">Current Liabilities</t>
  </si>
  <si>
    <t xml:space="preserve">Current Assets</t>
  </si>
  <si>
    <t xml:space="preserve">Sales Accounts</t>
  </si>
  <si>
    <t xml:space="preserve">Purchase Accounts</t>
  </si>
  <si>
    <t xml:space="preserve">Grand Total</t>
  </si>
  <si>
    <t xml:space="preserve">B. PROFIT &amp; LOSS A/c</t>
  </si>
  <si>
    <t xml:space="preserve">Amount</t>
  </si>
  <si>
    <t xml:space="preserve">Opening Stock</t>
  </si>
  <si>
    <t xml:space="preserve">Closing Stock</t>
  </si>
  <si>
    <t xml:space="preserve">Gross Profit (Sales - Purchases - Opening Stock + Closing Stock)</t>
  </si>
  <si>
    <t xml:space="preserve">C. BALANCE SHEET</t>
  </si>
  <si>
    <t xml:space="preserve">Liabilities</t>
  </si>
  <si>
    <t xml:space="preserve">Assets</t>
  </si>
  <si>
    <t xml:space="preserve">Loans (Liability)</t>
  </si>
  <si>
    <t xml:space="preserve">Fixed Assets</t>
  </si>
  <si>
    <t xml:space="preserve">Profit &amp; Loss A/c (loss)</t>
  </si>
  <si>
    <t xml:space="preserve">Profit &amp; Loss A/c (profit)</t>
  </si>
  <si>
    <t xml:space="preserve">Total</t>
  </si>
  <si>
    <t xml:space="preserve">D. SUPPORTING DETAILS (from ledgers / Day Book)</t>
  </si>
  <si>
    <t xml:space="preserve">Item</t>
  </si>
  <si>
    <t xml:space="preserve">Source / Note</t>
  </si>
  <si>
    <t xml:space="preserve">HDFC Bank ledger: capital 10,00,000 less payment 50,000 (rent 45,000 + TDS 5,000)</t>
  </si>
  <si>
    <t xml:space="preserve">Receivables - Infotech Solutions Ltd</t>
  </si>
  <si>
    <t xml:space="preserve">Sales Vch 1 (3,00,000 + CGST 27,000 + SGST 27,000)</t>
  </si>
  <si>
    <t xml:space="preserve">Payables - Delta Systems Pvt Ltd</t>
  </si>
  <si>
    <t xml:space="preserve">Purchase Vch 1</t>
  </si>
  <si>
    <t xml:space="preserve">Payables - Global Tech Traders</t>
  </si>
  <si>
    <t xml:space="preserve">Purchase Vch 2</t>
  </si>
  <si>
    <t xml:space="preserve">Payables - Apex Office Realty</t>
  </si>
  <si>
    <t xml:space="preserve">Fully paid</t>
  </si>
  <si>
    <t xml:space="preserve">Output CGST</t>
  </si>
  <si>
    <t xml:space="preserve">CGST A/c, sales</t>
  </si>
  <si>
    <t xml:space="preserve">Output SGST</t>
  </si>
  <si>
    <t xml:space="preserve">SGST A/c, sales</t>
  </si>
  <si>
    <t xml:space="preserve">Output IGST</t>
  </si>
  <si>
    <t xml:space="preserve">No inter-state sales</t>
  </si>
  <si>
    <t xml:space="preserve">Input CGST</t>
  </si>
  <si>
    <t xml:space="preserve">Delta purchase</t>
  </si>
  <si>
    <t xml:space="preserve">Input SGST</t>
  </si>
  <si>
    <t xml:space="preserve">Input IGST</t>
  </si>
  <si>
    <t xml:space="preserve">Global Tech Traders purchase</t>
  </si>
  <si>
    <t xml:space="preserve">TDS deducted on rent (practice entry)</t>
  </si>
  <si>
    <t xml:space="preserve">Journal Vch 1</t>
  </si>
  <si>
    <t xml:space="preserve">TDS paid to government</t>
  </si>
  <si>
    <t xml:space="preserve">Payment Vch 1 (same voucher as rent)</t>
  </si>
  <si>
    <t xml:space="preserve">E. BUDGET (dummy inputs for Budget vs Actual)</t>
  </si>
  <si>
    <t xml:space="preserve">Legend: blue = input. Budget figures are assumptions made for practice. Closing stock is nil because no stock valuation is entered in Tally (so Gross Profit is 0).</t>
  </si>
  <si>
    <t xml:space="preserve">Data Checks</t>
  </si>
  <si>
    <t xml:space="preserve">Each check compares two figures from the exported reports. All must show OK before using the Dashboard.</t>
  </si>
  <si>
    <t xml:space="preserve">Check</t>
  </si>
  <si>
    <t xml:space="preserve">Figure 1</t>
  </si>
  <si>
    <t xml:space="preserve">Figure 2</t>
  </si>
  <si>
    <t xml:space="preserve">Difference</t>
  </si>
  <si>
    <t xml:space="preserve">Trial Balance: Debit total = Credit total</t>
  </si>
  <si>
    <t xml:space="preserve">TB Sales = P&amp;L Sales</t>
  </si>
  <si>
    <t xml:space="preserve">TB Purchases = P&amp;L Purchases</t>
  </si>
  <si>
    <t xml:space="preserve">TB Indirect Expenses = P&amp;L Indirect Expenses</t>
  </si>
  <si>
    <t xml:space="preserve">TB Capital = Balance Sheet Capital</t>
  </si>
  <si>
    <t xml:space="preserve">TB Current Assets = Balance Sheet Current Assets</t>
  </si>
  <si>
    <t xml:space="preserve">Balance Sheet: Liabilities total = Assets total</t>
  </si>
  <si>
    <t xml:space="preserve">Current Assets = Bank + Receivables</t>
  </si>
  <si>
    <t xml:space="preserve">Current Liabilities = Payables + Net GST + TDS pending</t>
  </si>
  <si>
    <t xml:space="preserve">OVERALL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</si>
</sst>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\x"/>
    <numFmt numFmtId="167" formatCode="0.0%;\(0.0%\);0.0%"/>
    <numFmt numFmtId="168" formatCode="#,##0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D9E2F3"/>
        <bgColor rgb="FFD9D9D9"/>
      </patternFill>
    </fill>
    <fill>
      <patternFill patternType="solid">
        <fgColor rgb="FF7F7F7F"/>
        <bgColor rgb="FF87878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D9E2F3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4F81BD"/>
      <rgbColor rgb="FFBFBFBF"/>
      <rgbColor rgb="FF7F7F7F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&amp; Loss Summary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Sales</c:v>
                </c:pt>
                <c:pt idx="1">
                  <c:v>Purchases</c:v>
                </c:pt>
                <c:pt idx="2">
                  <c:v>Gross Profit</c:v>
                </c:pt>
                <c:pt idx="3">
                  <c:v>Indirect Expenses</c:v>
                </c:pt>
                <c:pt idx="4">
                  <c:v>Net Profit / (Loss)</c:v>
                </c:pt>
              </c:strCache>
            </c:strRef>
          </c:cat>
          <c:val>
            <c:numRef>
              <c:f>Dashboard!$C$9:$C$13</c:f>
              <c:numCache>
                <c:formatCode>#,##0;\(#,##0\);\-</c:formatCode>
                <c:ptCount val="5"/>
                <c:pt idx="0">
                  <c:v>300000</c:v>
                </c:pt>
                <c:pt idx="1">
                  <c:v>300000</c:v>
                </c:pt>
                <c:pt idx="2">
                  <c:v>0</c:v>
                </c:pt>
                <c:pt idx="3">
                  <c:v>50000</c:v>
                </c:pt>
                <c:pt idx="4">
                  <c:v>-50000</c:v>
                </c:pt>
              </c:numCache>
            </c:numRef>
          </c:val>
        </c:ser>
        <c:gapWidth val="150"/>
        <c:overlap val="0"/>
        <c:axId val="97410884"/>
        <c:axId val="69968093"/>
      </c:barChart>
      <c:catAx>
        <c:axId val="97410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68093"/>
        <c:crosses val="autoZero"/>
        <c:auto val="1"/>
        <c:lblAlgn val="ctr"/>
        <c:lblOffset val="100"/>
        <c:noMultiLvlLbl val="0"/>
      </c:catAx>
      <c:valAx>
        <c:axId val="69968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10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Bank, Receivables and Payables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Dashboard!$F$9:$F$11</c:f>
              <c:strCache>
                <c:ptCount val="3"/>
                <c:pt idx="0">
                  <c:v>HDFC Bank balance</c:v>
                </c:pt>
                <c:pt idx="1">
                  <c:v>Receivables</c:v>
                </c:pt>
                <c:pt idx="2">
                  <c:v>Payables</c:v>
                </c:pt>
              </c:strCache>
            </c:strRef>
          </c:cat>
          <c:val>
            <c:numRef>
              <c:f>Dashboard!$H$9:$H$11</c:f>
              <c:numCache>
                <c:formatCode>#,##0;\(#,##0\);\-</c:formatCode>
                <c:ptCount val="3"/>
                <c:pt idx="0">
                  <c:v>950000</c:v>
                </c:pt>
                <c:pt idx="1">
                  <c:v>354000</c:v>
                </c:pt>
                <c:pt idx="2">
                  <c:v>354000</c:v>
                </c:pt>
              </c:numCache>
            </c:numRef>
          </c:val>
        </c:ser>
        <c:gapWidth val="150"/>
        <c:overlap val="0"/>
        <c:axId val="16699137"/>
        <c:axId val="15247663"/>
      </c:barChart>
      <c:catAx>
        <c:axId val="16699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47663"/>
        <c:crosses val="autoZero"/>
        <c:auto val="1"/>
        <c:lblAlgn val="ctr"/>
        <c:lblOffset val="100"/>
        <c:noMultiLvlLbl val="0"/>
      </c:catAx>
      <c:valAx>
        <c:axId val="15247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99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100800</xdr:rowOff>
    </xdr:from>
    <xdr:to>
      <xdr:col>4</xdr:col>
      <xdr:colOff>732600</xdr:colOff>
      <xdr:row>46</xdr:row>
      <xdr:rowOff>133560</xdr:rowOff>
    </xdr:to>
    <xdr:graphicFrame>
      <xdr:nvGraphicFramePr>
        <xdr:cNvPr id="0" name="Chart 1"/>
        <xdr:cNvGraphicFramePr/>
      </xdr:nvGraphicFramePr>
      <xdr:xfrm>
        <a:off x="0" y="66387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100800</xdr:rowOff>
    </xdr:from>
    <xdr:to>
      <xdr:col>9</xdr:col>
      <xdr:colOff>732240</xdr:colOff>
      <xdr:row>46</xdr:row>
      <xdr:rowOff>133560</xdr:rowOff>
    </xdr:to>
    <xdr:graphicFrame>
      <xdr:nvGraphicFramePr>
        <xdr:cNvPr id="1" name="Chart 2"/>
        <xdr:cNvGraphicFramePr/>
      </xdr:nvGraphicFramePr>
      <xdr:xfrm>
        <a:off x="4933800" y="66387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"Data checks: "&amp;Checks!E15</f>
        <v>Data checks: ALL OK</v>
      </c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  <c r="I4" s="8" t="s">
        <v>6</v>
      </c>
      <c r="J4" s="8"/>
    </row>
    <row r="5" customFormat="false" ht="33.75" hidden="false" customHeight="true" outlineLevel="0" collapsed="false">
      <c r="A5" s="9" t="n">
        <f aca="false">Data_TB_PL_BS!B17</f>
        <v>300000</v>
      </c>
      <c r="B5" s="9"/>
      <c r="C5" s="10" t="n">
        <f aca="false">Data_TB_PL_BS!B22</f>
        <v>0</v>
      </c>
      <c r="D5" s="10"/>
      <c r="E5" s="11" t="n">
        <f aca="false">Data_TB_PL_BS!B23</f>
        <v>-50000</v>
      </c>
      <c r="F5" s="11"/>
      <c r="G5" s="12" t="n">
        <f aca="false">Data_TB_PL_BS!D28-Data_TB_PL_BS!B30</f>
        <v>950000</v>
      </c>
      <c r="H5" s="12"/>
      <c r="I5" s="13" t="n">
        <f aca="false">IF(Data_TB_PL_BS!B30=0,0,Data_TB_PL_BS!D28/Data_TB_PL_BS!B30)</f>
        <v>3.68361581920904</v>
      </c>
      <c r="J5" s="13"/>
    </row>
    <row r="6" customFormat="false" ht="24" hidden="false" customHeight="true" outlineLevel="0" collapsed="false">
      <c r="A6" s="14" t="s">
        <v>7</v>
      </c>
      <c r="B6" s="14"/>
      <c r="C6" s="15" t="str">
        <f aca="false">"Gross margin "&amp;TEXT(IF(Data_TB_PL_BS!B17=0,0,Data_TB_PL_BS!B22/Data_TB_PL_BS!B17),"0.0%")</f>
        <v>Gross margin 0.0%</v>
      </c>
      <c r="D6" s="15"/>
      <c r="E6" s="16" t="str">
        <f aca="false">"Net margin "&amp;TEXT(IF(Data_TB_PL_BS!B17=0,0,Data_TB_PL_BS!B23/Data_TB_PL_BS!B17),"0.0%")</f>
        <v>Net margin -16.7%</v>
      </c>
      <c r="F6" s="16"/>
      <c r="G6" s="17" t="s">
        <v>8</v>
      </c>
      <c r="H6" s="17"/>
      <c r="I6" s="18" t="s">
        <v>9</v>
      </c>
      <c r="J6" s="18"/>
    </row>
    <row r="8" customFormat="false" ht="15" hidden="false" customHeight="false" outlineLevel="0" collapsed="false">
      <c r="A8" s="19" t="s">
        <v>10</v>
      </c>
      <c r="B8" s="20"/>
      <c r="C8" s="20"/>
      <c r="F8" s="19" t="s">
        <v>11</v>
      </c>
      <c r="G8" s="20"/>
      <c r="H8" s="20"/>
    </row>
    <row r="9" customFormat="false" ht="15" hidden="false" customHeight="false" outlineLevel="0" collapsed="false">
      <c r="A9" s="21" t="s">
        <v>12</v>
      </c>
      <c r="B9" s="22"/>
      <c r="C9" s="23" t="n">
        <f aca="false">Data_TB_PL_BS!B17</f>
        <v>300000</v>
      </c>
      <c r="F9" s="21" t="s">
        <v>13</v>
      </c>
      <c r="G9" s="22"/>
      <c r="H9" s="23" t="n">
        <f aca="false">Data_TB_PL_BS!B37</f>
        <v>950000</v>
      </c>
    </row>
    <row r="10" customFormat="false" ht="15" hidden="false" customHeight="false" outlineLevel="0" collapsed="false">
      <c r="A10" s="21" t="s">
        <v>14</v>
      </c>
      <c r="B10" s="22"/>
      <c r="C10" s="23" t="n">
        <f aca="false">Data_TB_PL_BS!B19</f>
        <v>300000</v>
      </c>
      <c r="F10" s="21" t="s">
        <v>15</v>
      </c>
      <c r="G10" s="22"/>
      <c r="H10" s="23" t="n">
        <f aca="false">Data_TB_PL_BS!B38</f>
        <v>354000</v>
      </c>
    </row>
    <row r="11" customFormat="false" ht="15" hidden="false" customHeight="false" outlineLevel="0" collapsed="false">
      <c r="A11" s="21" t="s">
        <v>16</v>
      </c>
      <c r="B11" s="22"/>
      <c r="C11" s="23" t="n">
        <f aca="false">Data_TB_PL_BS!B22</f>
        <v>0</v>
      </c>
      <c r="F11" s="21" t="s">
        <v>17</v>
      </c>
      <c r="G11" s="22"/>
      <c r="H11" s="23" t="n">
        <f aca="false">SUM(Data_TB_PL_BS!B39:B41)</f>
        <v>354000</v>
      </c>
    </row>
    <row r="12" customFormat="false" ht="15" hidden="false" customHeight="false" outlineLevel="0" collapsed="false">
      <c r="A12" s="21" t="s">
        <v>18</v>
      </c>
      <c r="B12" s="22"/>
      <c r="C12" s="23" t="n">
        <f aca="false">Data_TB_PL_BS!B21</f>
        <v>50000</v>
      </c>
      <c r="F12" s="21" t="s">
        <v>19</v>
      </c>
      <c r="G12" s="22"/>
      <c r="H12" s="23" t="n">
        <f aca="false">Data_TB_PL_BS!D28-Data_TB_PL_BS!B30</f>
        <v>950000</v>
      </c>
    </row>
    <row r="13" customFormat="false" ht="15" hidden="false" customHeight="false" outlineLevel="0" collapsed="false">
      <c r="A13" s="21" t="s">
        <v>20</v>
      </c>
      <c r="B13" s="22"/>
      <c r="C13" s="23" t="n">
        <f aca="false">Data_TB_PL_BS!B23</f>
        <v>-50000</v>
      </c>
      <c r="F13" s="21" t="s">
        <v>21</v>
      </c>
      <c r="G13" s="22"/>
      <c r="H13" s="23" t="n">
        <f aca="false">H10-H11</f>
        <v>0</v>
      </c>
    </row>
    <row r="16" customFormat="false" ht="15" hidden="false" customHeight="false" outlineLevel="0" collapsed="false">
      <c r="A16" s="19" t="s">
        <v>22</v>
      </c>
      <c r="B16" s="20"/>
      <c r="C16" s="20"/>
      <c r="F16" s="19" t="s">
        <v>23</v>
      </c>
      <c r="G16" s="20"/>
      <c r="H16" s="20"/>
    </row>
    <row r="17" customFormat="false" ht="15" hidden="false" customHeight="false" outlineLevel="0" collapsed="false">
      <c r="A17" s="21" t="s">
        <v>24</v>
      </c>
      <c r="B17" s="22"/>
      <c r="C17" s="23" t="n">
        <f aca="false">SUM(Data_TB_PL_BS!B42:B44)</f>
        <v>54000</v>
      </c>
      <c r="F17" s="21" t="s">
        <v>25</v>
      </c>
      <c r="G17" s="22"/>
      <c r="H17" s="24" t="n">
        <f aca="false">IF(Data_TB_PL_BS!B17=0,0,Data_TB_PL_BS!B22/Data_TB_PL_BS!B17)</f>
        <v>0</v>
      </c>
    </row>
    <row r="18" customFormat="false" ht="15" hidden="false" customHeight="false" outlineLevel="0" collapsed="false">
      <c r="A18" s="21" t="s">
        <v>26</v>
      </c>
      <c r="B18" s="22"/>
      <c r="C18" s="23" t="n">
        <f aca="false">SUM(Data_TB_PL_BS!B45:B47)</f>
        <v>54000</v>
      </c>
      <c r="F18" s="21" t="s">
        <v>27</v>
      </c>
      <c r="G18" s="22"/>
      <c r="H18" s="24" t="n">
        <f aca="false">IF(Data_TB_PL_BS!B17=0,0,Data_TB_PL_BS!B23/Data_TB_PL_BS!B17)</f>
        <v>-0.166666666666667</v>
      </c>
    </row>
    <row r="19" customFormat="false" ht="15" hidden="false" customHeight="false" outlineLevel="0" collapsed="false">
      <c r="A19" s="21" t="s">
        <v>28</v>
      </c>
      <c r="B19" s="22"/>
      <c r="C19" s="23" t="n">
        <f aca="false">C17-C18</f>
        <v>0</v>
      </c>
      <c r="F19" s="21" t="s">
        <v>29</v>
      </c>
      <c r="G19" s="22"/>
      <c r="H19" s="24" t="n">
        <f aca="false">IF(Data_TB_PL_BS!B17=0,0,Data_TB_PL_BS!B21/Data_TB_PL_BS!B17)</f>
        <v>0.166666666666667</v>
      </c>
    </row>
    <row r="20" customFormat="false" ht="15" hidden="false" customHeight="false" outlineLevel="0" collapsed="false">
      <c r="A20" s="21" t="s">
        <v>30</v>
      </c>
      <c r="B20" s="22"/>
      <c r="C20" s="23" t="n">
        <f aca="false">Data_TB_PL_BS!B48</f>
        <v>5000</v>
      </c>
      <c r="F20" s="21" t="s">
        <v>31</v>
      </c>
      <c r="G20" s="22"/>
      <c r="H20" s="25" t="n">
        <f aca="false">IF(Data_TB_PL_BS!B30=0,0,Data_TB_PL_BS!D28/Data_TB_PL_BS!B30)</f>
        <v>3.68361581920904</v>
      </c>
    </row>
    <row r="21" customFormat="false" ht="15" hidden="false" customHeight="false" outlineLevel="0" collapsed="false">
      <c r="A21" s="21" t="s">
        <v>32</v>
      </c>
      <c r="B21" s="22"/>
      <c r="C21" s="23" t="n">
        <f aca="false">Data_TB_PL_BS!B49</f>
        <v>5000</v>
      </c>
      <c r="F21" s="21" t="s">
        <v>33</v>
      </c>
      <c r="G21" s="22"/>
      <c r="H21" s="25" t="n">
        <f aca="false">IF((Data_TB_PL_BS!B28+Data_TB_PL_BS!B31-Data_TB_PL_BS!D30)=0,0,(Data_TB_PL_BS!B29+Data_TB_PL_BS!B30)/(Data_TB_PL_BS!B28+Data_TB_PL_BS!B31-Data_TB_PL_BS!D30))</f>
        <v>0.372631578947368</v>
      </c>
    </row>
    <row r="22" customFormat="false" ht="15" hidden="false" customHeight="false" outlineLevel="0" collapsed="false">
      <c r="A22" s="21" t="s">
        <v>34</v>
      </c>
      <c r="B22" s="22"/>
      <c r="C22" s="23" t="n">
        <f aca="false">C20-C21</f>
        <v>0</v>
      </c>
    </row>
    <row r="25" customFormat="false" ht="15" hidden="false" customHeight="false" outlineLevel="0" collapsed="false">
      <c r="A25" s="19" t="s">
        <v>35</v>
      </c>
      <c r="B25" s="20"/>
      <c r="C25" s="20"/>
      <c r="D25" s="20"/>
      <c r="E25" s="20"/>
      <c r="F25" s="20"/>
      <c r="G25" s="20"/>
    </row>
    <row r="26" customFormat="false" ht="15" hidden="false" customHeight="true" outlineLevel="0" collapsed="false">
      <c r="A26" s="26" t="s">
        <v>36</v>
      </c>
      <c r="B26" s="26"/>
      <c r="C26" s="26" t="s">
        <v>37</v>
      </c>
      <c r="D26" s="26" t="s">
        <v>38</v>
      </c>
      <c r="E26" s="26" t="s">
        <v>39</v>
      </c>
      <c r="F26" s="26" t="s">
        <v>40</v>
      </c>
      <c r="G26" s="26" t="s">
        <v>41</v>
      </c>
    </row>
    <row r="27" customFormat="false" ht="15" hidden="false" customHeight="false" outlineLevel="0" collapsed="false">
      <c r="A27" s="27" t="s">
        <v>12</v>
      </c>
      <c r="B27" s="27"/>
      <c r="C27" s="28" t="n">
        <f aca="false">Data_TB_PL_BS!B54</f>
        <v>400000</v>
      </c>
      <c r="D27" s="28" t="n">
        <f aca="false">Data_TB_PL_BS!B17</f>
        <v>300000</v>
      </c>
      <c r="E27" s="29" t="n">
        <f aca="false">D27-C27</f>
        <v>-100000</v>
      </c>
      <c r="F27" s="30" t="n">
        <f aca="false">IF(C27=0,0,E27/ABS(C27))</f>
        <v>-0.25</v>
      </c>
      <c r="G27" s="31" t="str">
        <f aca="false">IF(E27=0,"On Budget",IF(E27&gt;=0,"Favourable","Adverse"))</f>
        <v>Adverse</v>
      </c>
    </row>
    <row r="28" customFormat="false" ht="15" hidden="false" customHeight="false" outlineLevel="0" collapsed="false">
      <c r="A28" s="27" t="s">
        <v>14</v>
      </c>
      <c r="B28" s="27"/>
      <c r="C28" s="28" t="n">
        <f aca="false">Data_TB_PL_BS!B55</f>
        <v>300000</v>
      </c>
      <c r="D28" s="28" t="n">
        <f aca="false">Data_TB_PL_BS!B19</f>
        <v>300000</v>
      </c>
      <c r="E28" s="29" t="n">
        <f aca="false">D28-C28</f>
        <v>0</v>
      </c>
      <c r="F28" s="30" t="n">
        <f aca="false">IF(C28=0,0,E28/ABS(C28))</f>
        <v>0</v>
      </c>
      <c r="G28" s="31" t="str">
        <f aca="false">IF(E28=0,"On Budget",IF(E28&lt;=0,"Favourable","Adverse"))</f>
        <v>On Budget</v>
      </c>
    </row>
    <row r="29" customFormat="false" ht="15" hidden="false" customHeight="false" outlineLevel="0" collapsed="false">
      <c r="A29" s="27" t="s">
        <v>16</v>
      </c>
      <c r="B29" s="27"/>
      <c r="C29" s="29" t="n">
        <f aca="false">C27-C28</f>
        <v>100000</v>
      </c>
      <c r="D29" s="29" t="n">
        <f aca="false">D27-D28</f>
        <v>0</v>
      </c>
      <c r="E29" s="29" t="n">
        <f aca="false">D29-C29</f>
        <v>-100000</v>
      </c>
      <c r="F29" s="30" t="n">
        <f aca="false">IF(C29=0,0,E29/ABS(C29))</f>
        <v>-1</v>
      </c>
      <c r="G29" s="31" t="str">
        <f aca="false">IF(E29=0,"On Budget",IF(E29&gt;=0,"Favourable","Adverse"))</f>
        <v>Adverse</v>
      </c>
    </row>
    <row r="30" customFormat="false" ht="15" hidden="false" customHeight="false" outlineLevel="0" collapsed="false">
      <c r="A30" s="27" t="s">
        <v>18</v>
      </c>
      <c r="B30" s="27"/>
      <c r="C30" s="28" t="n">
        <f aca="false">Data_TB_PL_BS!B56</f>
        <v>60000</v>
      </c>
      <c r="D30" s="28" t="n">
        <f aca="false">Data_TB_PL_BS!B21</f>
        <v>50000</v>
      </c>
      <c r="E30" s="29" t="n">
        <f aca="false">D30-C30</f>
        <v>-10000</v>
      </c>
      <c r="F30" s="30" t="n">
        <f aca="false">IF(C30=0,0,E30/ABS(C30))</f>
        <v>-0.166666666666667</v>
      </c>
      <c r="G30" s="31" t="str">
        <f aca="false">IF(E30=0,"On Budget",IF(E30&lt;=0,"Favourable","Adverse"))</f>
        <v>Favourable</v>
      </c>
    </row>
    <row r="31" customFormat="false" ht="15" hidden="false" customHeight="false" outlineLevel="0" collapsed="false">
      <c r="A31" s="27" t="s">
        <v>20</v>
      </c>
      <c r="B31" s="27"/>
      <c r="C31" s="29" t="n">
        <f aca="false">C29-C30</f>
        <v>40000</v>
      </c>
      <c r="D31" s="29" t="n">
        <f aca="false">D29-D30</f>
        <v>-50000</v>
      </c>
      <c r="E31" s="29" t="n">
        <f aca="false">D31-C31</f>
        <v>-90000</v>
      </c>
      <c r="F31" s="30" t="n">
        <f aca="false">IF(C31=0,0,E31/ABS(C31))</f>
        <v>-2.25</v>
      </c>
      <c r="G31" s="31" t="str">
        <f aca="false">IF(E31=0,"On Budget",IF(E31&gt;=0,"Favourable","Adverse"))</f>
        <v>Adverse</v>
      </c>
    </row>
    <row r="50" customFormat="false" ht="30" hidden="false" customHeight="true" outlineLevel="0" collapsed="false">
      <c r="A50" s="32" t="s">
        <v>42</v>
      </c>
      <c r="B50" s="32"/>
      <c r="C50" s="32"/>
      <c r="D50" s="32"/>
      <c r="E50" s="32"/>
      <c r="F50" s="32"/>
      <c r="G50" s="32"/>
      <c r="H50" s="32"/>
      <c r="I50" s="32"/>
      <c r="J50" s="32"/>
    </row>
  </sheetData>
  <mergeCells count="22"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6:B26"/>
    <mergeCell ref="A27:B27"/>
    <mergeCell ref="A28:B28"/>
    <mergeCell ref="A29:B29"/>
    <mergeCell ref="A30:B30"/>
    <mergeCell ref="A31:B31"/>
    <mergeCell ref="A50:J50"/>
  </mergeCells>
  <conditionalFormatting sqref="G27:G31">
    <cfRule type="cellIs" priority="2" operator="equal" aboveAverage="0" equalAverage="0" bottom="0" percent="0" rank="0" text="" dxfId="0">
      <formula>"Favourable"</formula>
    </cfRule>
    <cfRule type="cellIs" priority="3" operator="equal" aboveAverage="0" equalAverage="0" bottom="0" percent="0" rank="0" text="" dxfId="1">
      <formula>"On Budget"</formula>
    </cfRule>
    <cfRule type="cellIs" priority="4" operator="equal" aboveAverage="0" equalAverage="0" bottom="0" percent="0" rank="0" text="" dxfId="2">
      <formula>"Adverse"</formula>
    </cfRule>
  </conditionalFormatting>
  <conditionalFormatting sqref="A3">
    <cfRule type="cellIs" priority="5" operator="equal" aboveAverage="0" equalAverage="0" bottom="0" percent="0" rank="0" text="" dxfId="3">
      <formula>"Data checks: CHECK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74"/>
  </cols>
  <sheetData>
    <row r="1" customFormat="false" ht="19.7" hidden="false" customHeight="false" outlineLevel="0" collapsed="false">
      <c r="A1" s="33" t="s">
        <v>43</v>
      </c>
    </row>
    <row r="2" customFormat="false" ht="15" hidden="false" customHeight="false" outlineLevel="0" collapsed="false">
      <c r="A2" s="2" t="s">
        <v>44</v>
      </c>
    </row>
    <row r="4" customFormat="false" ht="21.75" hidden="false" customHeight="true" outlineLevel="0" collapsed="false">
      <c r="A4" s="34" t="s">
        <v>45</v>
      </c>
      <c r="B4" s="20"/>
      <c r="C4" s="20"/>
      <c r="D4" s="20"/>
      <c r="E4" s="20"/>
    </row>
    <row r="5" customFormat="false" ht="43.5" hidden="false" customHeight="true" outlineLevel="0" collapsed="false">
      <c r="A5" s="35" t="n">
        <v>1</v>
      </c>
      <c r="B5" s="36" t="str">
        <f aca="false">"Scale: April 2026 revenue is Rs "&amp;TEXT(Data_TB_PL_BS!B17,"[&gt;=10000000]##\,##\,##\,##0;[&gt;=100000]##\,##\,##0;##,##0")&amp;", all from Infotech Solutions Ltd, backed by share capital of Rs "&amp;TEXT(Data_TB_PL_BS!B28,"[&gt;=10000000]##\,##\,##\,##0;[&gt;=100000]##\,##\,##0;##,##0")&amp;". The bank balance is Rs "&amp;TEXT(Data_TB_PL_BS!B37,"[&gt;=10000000]##\,##\,##\,##0;[&gt;=100000]##\,##\,##0;##,##0")&amp;IF(Data_TB_PL_BS!B29=0," and the company has no loans.",".")</f>
        <v>Scale: April 2026 revenue is Rs 3,00,000, all from Infotech Solutions Ltd, backed by share capital of Rs 10,00,000. The bank balance is Rs 9,50,000 and the company has no loans.</v>
      </c>
      <c r="C5" s="36"/>
      <c r="D5" s="36"/>
      <c r="E5" s="36"/>
    </row>
    <row r="6" customFormat="false" ht="43.5" hidden="false" customHeight="true" outlineLevel="0" collapsed="false">
      <c r="A6" s="35" t="n">
        <v>2</v>
      </c>
      <c r="B6" s="36" t="str">
        <f aca="false">"Profitability: Gross Profit is Rs "&amp;TEXT(Data_TB_PL_BS!B22,"[&gt;=10000000]##\,##\,##\,##0;[&gt;=100000]##\,##\,##0;##,##0")&amp;" ("&amp;TEXT(Dashboard!H17,"0.0%")&amp;" margin) and the "&amp;IF(Data_TB_PL_BS!B23&lt;0,"net loss","net profit")&amp;" is Rs "&amp;TEXT(ABS(Data_TB_PL_BS!B23),"[&gt;=10000000]##\,##\,##\,##0;[&gt;=100000]##\,##\,##0;##,##0")&amp;" ("&amp;TEXT(Dashboard!H18,"0.0%")&amp;" of sales)."&amp;IF(Data_TB_PL_BS!B22&lt;=0," Purchases equal sales and no closing stock is recorded, so the rent expense is not covered by any margin.","")</f>
        <v>Profitability: Gross Profit is Rs 0 (0.0% margin) and the net loss is Rs 50,000 (-16.7% of sales). Purchases equal sales and no closing stock is recorded, so the rent expense is not covered by any margin.</v>
      </c>
      <c r="C6" s="36"/>
      <c r="D6" s="36"/>
      <c r="E6" s="36"/>
    </row>
    <row r="7" customFormat="false" ht="43.5" hidden="false" customHeight="true" outlineLevel="0" collapsed="false">
      <c r="A7" s="35" t="n">
        <v>3</v>
      </c>
      <c r="B7" s="36" t="str">
        <f aca="false">"Position: current ratio is "&amp;TEXT(Dashboard!H20,"0.00")&amp;"x, working capital is Rs "&amp;TEXT(Dashboard!H12,"[&gt;=10000000]##\,##\,##\,##0;[&gt;=100000]##\,##\,##0;##,##0")&amp;" and liabilities-to-equity is "&amp;TEXT(Dashboard!H21,"0.00")&amp;"x. "&amp;IF(Dashboard!C19&lt;=0,"GST payable is nil because input tax credit covers the output tax.","Net GST payable is Rs "&amp;TEXT(Dashboard!C19,"[&gt;=10000000]##\,##\,##\,##0;[&gt;=100000]##\,##\,##0;##,##0")&amp;".")&amp;" TDS pending is Rs "&amp;TEXT(Dashboard!C22,"[&gt;=10000000]##\,##\,##\,##0;[&gt;=100000]##\,##\,##0;##,##0")&amp;"."</f>
        <v>Position: current ratio is 3.68x, working capital is Rs 9,50,000 and liabilities-to-equity is 0.37x. GST payable is nil because input tax credit covers the output tax. TDS pending is Rs 0.</v>
      </c>
      <c r="C7" s="36"/>
      <c r="D7" s="36"/>
      <c r="E7" s="36"/>
    </row>
    <row r="9" customFormat="false" ht="21.75" hidden="false" customHeight="true" outlineLevel="0" collapsed="false">
      <c r="A9" s="37" t="s">
        <v>46</v>
      </c>
      <c r="B9" s="38"/>
      <c r="C9" s="38"/>
      <c r="D9" s="38"/>
      <c r="E9" s="38"/>
    </row>
    <row r="10" customFormat="false" ht="15" hidden="false" customHeight="false" outlineLevel="0" collapsed="false">
      <c r="A10" s="26" t="s">
        <v>47</v>
      </c>
      <c r="B10" s="26" t="s">
        <v>48</v>
      </c>
      <c r="C10" s="26" t="s">
        <v>49</v>
      </c>
      <c r="D10" s="26" t="s">
        <v>50</v>
      </c>
      <c r="E10" s="26" t="s">
        <v>51</v>
      </c>
    </row>
    <row r="11" customFormat="false" ht="48" hidden="false" customHeight="true" outlineLevel="0" collapsed="false">
      <c r="A11" s="39" t="n">
        <v>1</v>
      </c>
      <c r="B11" s="40" t="s">
        <v>52</v>
      </c>
      <c r="C11" s="39" t="str">
        <f aca="false">IF(Data_TB_PL_BS!B23&lt;0,"High",IF(Dashboard!H17&lt;0.1,"Medium","Low"))</f>
        <v>High</v>
      </c>
      <c r="D11" s="41" t="n">
        <f aca="false">Data_TB_PL_BS!B23</f>
        <v>-50000</v>
      </c>
      <c r="E11" s="42" t="str">
        <f aca="false">"Sales and purchases are both Rs "&amp;TEXT(Data_TB_PL_BS!B17,"[&gt;=10000000]##\,##\,##\,##0;[&gt;=100000]##\,##\,##0;##,##0")&amp;", so rent of Rs "&amp;TEXT(Data_TB_PL_BS!B21,"[&gt;=10000000]##\,##\,##\,##0;[&gt;=100000]##\,##\,##0;##,##0")&amp;" creates a net "&amp;IF(Data_TB_PL_BS!B23&lt;0,"loss","profit")&amp;" of Rs "&amp;TEXT(ABS(Data_TB_PL_BS!B23),"[&gt;=10000000]##\,##\,##\,##0;[&gt;=100000]##\,##\,##0;##,##0")&amp;". Closing stock is not valued in Tally; record it and review selling prices."</f>
        <v>Sales and purchases are both Rs 3,00,000, so rent of Rs 50,000 creates a net loss of Rs 50,000. Closing stock is not valued in Tally; record it and review selling prices.</v>
      </c>
    </row>
    <row r="12" customFormat="false" ht="48" hidden="false" customHeight="true" outlineLevel="0" collapsed="false">
      <c r="A12" s="39" t="n">
        <v>2</v>
      </c>
      <c r="B12" s="40" t="s">
        <v>53</v>
      </c>
      <c r="C12" s="39" t="str">
        <f aca="false">IF($C$28/Data_TB_PL_BS!B17&gt;0.5,"High",IF($C$28/Data_TB_PL_BS!B17&gt;0.3,"Medium","Low"))</f>
        <v>High</v>
      </c>
      <c r="D12" s="43" t="n">
        <f aca="false">IF(Data_TB_PL_BS!B17=0,0,$C$28/Data_TB_PL_BS!B17)</f>
        <v>1</v>
      </c>
      <c r="E12" s="42" t="str">
        <f aca="false">"Infotech Solutions Ltd accounts for "&amp;TEXT(IF(Data_TB_PL_BS!B17=0,0,$C$28/Data_TB_PL_BS!B17),"0%")&amp;" of revenue. A delay in its payment of Rs "&amp;TEXT(Dashboard!H10,"[&gt;=10000000]##\,##\,##\,##0;[&gt;=100000]##\,##\,##0;##,##0")&amp;" would directly hit cash flow."</f>
        <v>Infotech Solutions Ltd accounts for 100% of revenue. A delay in its payment of Rs 3,54,000 would directly hit cash flow.</v>
      </c>
    </row>
    <row r="13" customFormat="false" ht="48" hidden="false" customHeight="true" outlineLevel="0" collapsed="false">
      <c r="A13" s="39" t="n">
        <v>3</v>
      </c>
      <c r="B13" s="40" t="s">
        <v>54</v>
      </c>
      <c r="C13" s="39" t="str">
        <f aca="false">IF(Dashboard!H10/(Data_TB_PL_BS!B17+Dashboard!C17)&gt;0.5,"High",IF(Dashboard!H10/(Data_TB_PL_BS!B17+Dashboard!C17)&gt;0.2,"Medium","Low"))</f>
        <v>High</v>
      </c>
      <c r="D13" s="43" t="n">
        <f aca="false">IF(Data_TB_PL_BS!B17+Dashboard!C17=0,0,Dashboard!H10/(Data_TB_PL_BS!B17+Dashboard!C17))</f>
        <v>1</v>
      </c>
      <c r="E13" s="42" t="str">
        <f aca="false">"Rs "&amp;TEXT(Dashboard!H10,"[&gt;=10000000]##\,##\,##\,##0;[&gt;=100000]##\,##\,##0;##,##0")&amp;" billed to Infotech Solutions Ltd is still receivable, which is "&amp;TEXT(IF(Data_TB_PL_BS!B17+Dashboard!C17=0,0,Dashboard!H10/(Data_TB_PL_BS!B17+Dashboard!C17)),"0%")&amp;" of the amount billed including GST. It is not yet overdue, as all invoices are dated 1-Apr-26."</f>
        <v>Rs 3,54,000 billed to Infotech Solutions Ltd is still receivable, which is 100% of the amount billed including GST. It is not yet overdue, as all invoices are dated 1-Apr-26.</v>
      </c>
    </row>
    <row r="14" customFormat="false" ht="48" hidden="false" customHeight="true" outlineLevel="0" collapsed="false">
      <c r="A14" s="39" t="n">
        <v>4</v>
      </c>
      <c r="B14" s="40" t="s">
        <v>55</v>
      </c>
      <c r="C14" s="39" t="str">
        <f aca="false">IF(Dashboard!H9/Dashboard!H11&lt;1,"High",IF(Dashboard!H9/Dashboard!H11&lt;1.5,"Medium","Low"))</f>
        <v>Low</v>
      </c>
      <c r="D14" s="44" t="n">
        <f aca="false">IF(Dashboard!H11=0,0,Dashboard!H9/Dashboard!H11)</f>
        <v>2.68361581920904</v>
      </c>
      <c r="E14" s="42" t="str">
        <f aca="false">"The bank balance of Rs "&amp;TEXT(Dashboard!H9,"[&gt;=10000000]##\,##\,##\,##0;[&gt;=100000]##\,##\,##0;##,##0")&amp;" covers vendor payables of Rs "&amp;TEXT(Dashboard!H11,"[&gt;=10000000]##\,##\,##\,##0;[&gt;=100000]##\,##\,##0;##,##0")&amp;" "&amp;TEXT(IF(Dashboard!H11=0,0,Dashboard!H9/Dashboard!H11),"0.0")&amp;" times, so vendors can be paid without waiting for collections."</f>
        <v>The bank balance of Rs 9,50,000 covers vendor payables of Rs 3,54,000 2.7 times, so vendors can be paid without waiting for collections.</v>
      </c>
    </row>
    <row r="15" customFormat="false" ht="48" hidden="false" customHeight="true" outlineLevel="0" collapsed="false">
      <c r="A15" s="39" t="n">
        <v>5</v>
      </c>
      <c r="B15" s="40" t="s">
        <v>56</v>
      </c>
      <c r="C15" s="39" t="str">
        <f aca="false">IF(Dashboard!C19&gt;0,"Medium","Low")</f>
        <v>Low</v>
      </c>
      <c r="D15" s="41" t="n">
        <f aca="false">Dashboard!C18</f>
        <v>54000</v>
      </c>
      <c r="E15" s="42" t="str">
        <f aca="false">"Input tax credit of Rs "&amp;TEXT(Dashboard!C18,"[&gt;=10000000]##\,##\,##\,##0;[&gt;=100000]##\,##\,##0;##,##0")&amp;" offsets the output GST of Rs "&amp;TEXT(Dashboard!C17,"[&gt;=10000000]##\,##\,##\,##0;[&gt;=100000]##\,##\,##0;##,##0")&amp;", so no GST is payable in cash. Both purchase invoices are matched with GSTR-2B."</f>
        <v>Input tax credit of Rs 54,000 offsets the output GST of Rs 54,000, so no GST is payable in cash. Both purchase invoices are matched with GSTR-2B.</v>
      </c>
    </row>
    <row r="17" customFormat="false" ht="21.75" hidden="false" customHeight="true" outlineLevel="0" collapsed="false">
      <c r="A17" s="45" t="s">
        <v>57</v>
      </c>
      <c r="B17" s="46"/>
      <c r="C17" s="46"/>
      <c r="D17" s="46"/>
      <c r="E17" s="46"/>
    </row>
    <row r="18" customFormat="false" ht="15" hidden="false" customHeight="false" outlineLevel="0" collapsed="false">
      <c r="A18" s="26" t="s">
        <v>47</v>
      </c>
      <c r="B18" s="26" t="s">
        <v>58</v>
      </c>
      <c r="C18" s="26" t="s">
        <v>59</v>
      </c>
      <c r="D18" s="26" t="s">
        <v>60</v>
      </c>
      <c r="E18" s="26" t="s">
        <v>61</v>
      </c>
    </row>
    <row r="19" customFormat="false" ht="43.5" hidden="false" customHeight="true" outlineLevel="0" collapsed="false">
      <c r="A19" s="39" t="n">
        <v>1</v>
      </c>
      <c r="B19" s="40" t="s">
        <v>62</v>
      </c>
      <c r="C19" s="39" t="s">
        <v>63</v>
      </c>
      <c r="D19" s="47" t="s">
        <v>64</v>
      </c>
      <c r="E19" s="42" t="str">
        <f aca="false">"At a "&amp;TEXT($C$29,"0%")&amp;" gross margin, sales of about Rs "&amp;TEXT(((Data_TB_PL_BS!B19+Data_TB_PL_BS!B18-Data_TB_PL_BS!B20)/(1-$C$29)),"[&gt;=10000000]##\,##\,##\,##0;[&gt;=100000]##\,##\,##0;##,##0")&amp;" on the current cost of goods sold of Rs "&amp;TEXT((Data_TB_PL_BS!B19+Data_TB_PL_BS!B18-Data_TB_PL_BS!B20),"[&gt;=10000000]##\,##\,##\,##0;[&gt;=100000]##\,##\,##0;##,##0")&amp;" would give a gross profit of Rs "&amp;TEXT(((Data_TB_PL_BS!B19+Data_TB_PL_BS!B18-Data_TB_PL_BS!B20)/(1-$C$29)-(Data_TB_PL_BS!B19+Data_TB_PL_BS!B18-Data_TB_PL_BS!B20)),"[&gt;=10000000]##\,##\,##\,##0;[&gt;=100000]##\,##\,##0;##,##0")&amp;", enough to cover the rent of Rs "&amp;TEXT(Data_TB_PL_BS!B21,"[&gt;=10000000]##\,##\,##\,##0;[&gt;=100000]##\,##\,##0;##,##0")&amp;". Review selling prices against purchase cost."</f>
        <v>At a 20% gross margin, sales of about Rs 3,75,000 on the current cost of goods sold of Rs 3,00,000 would give a gross profit of Rs 75,000, enough to cover the rent of Rs 50,000. Review selling prices against purchase cost.</v>
      </c>
    </row>
    <row r="20" customFormat="false" ht="43.5" hidden="false" customHeight="true" outlineLevel="0" collapsed="false">
      <c r="A20" s="39" t="n">
        <v>2</v>
      </c>
      <c r="B20" s="40" t="s">
        <v>65</v>
      </c>
      <c r="C20" s="39" t="s">
        <v>63</v>
      </c>
      <c r="D20" s="47" t="s">
        <v>66</v>
      </c>
      <c r="E20" s="42" t="str">
        <f aca="false">"Record the closing stock of unsold goods in Tally so Gross Profit reflects the real position, then refresh the P&amp;L and this dashboard."</f>
        <v>Record the closing stock of unsold goods in Tally so Gross Profit reflects the real position, then refresh the P&amp;L and this dashboard.</v>
      </c>
    </row>
    <row r="21" customFormat="false" ht="43.5" hidden="false" customHeight="true" outlineLevel="0" collapsed="false">
      <c r="A21" s="39" t="n">
        <v>3</v>
      </c>
      <c r="B21" s="40" t="s">
        <v>67</v>
      </c>
      <c r="C21" s="39" t="s">
        <v>68</v>
      </c>
      <c r="D21" s="47" t="s">
        <v>69</v>
      </c>
      <c r="E21" s="42" t="str">
        <f aca="false">"Follow up Infotech Solutions Ltd for Rs "&amp;TEXT(Dashboard!H10,"[&gt;=10000000]##\,##\,##\,##0;[&gt;=100000]##\,##\,##0;##,##0")&amp;" and set a 30-day credit term for future sales."</f>
        <v>Follow up Infotech Solutions Ltd for Rs 3,54,000 and set a 30-day credit term for future sales.</v>
      </c>
    </row>
    <row r="22" customFormat="false" ht="43.5" hidden="false" customHeight="true" outlineLevel="0" collapsed="false">
      <c r="A22" s="39" t="n">
        <v>4</v>
      </c>
      <c r="B22" s="40" t="s">
        <v>70</v>
      </c>
      <c r="C22" s="39" t="s">
        <v>68</v>
      </c>
      <c r="D22" s="47" t="s">
        <v>71</v>
      </c>
      <c r="E22" s="42" t="str">
        <f aca="false">"Add 2 to 3 more customers so that no single customer is above 50% of sales."</f>
        <v>Add 2 to 3 more customers so that no single customer is above 50% of sales.</v>
      </c>
    </row>
    <row r="23" customFormat="false" ht="43.5" hidden="false" customHeight="true" outlineLevel="0" collapsed="false">
      <c r="A23" s="39" t="n">
        <v>5</v>
      </c>
      <c r="B23" s="40" t="s">
        <v>72</v>
      </c>
      <c r="C23" s="39" t="s">
        <v>73</v>
      </c>
      <c r="D23" s="47" t="s">
        <v>74</v>
      </c>
      <c r="E23" s="42" t="str">
        <f aca="false">"Match every purchase invoice with GSTR-2B before filing GSTR-3B to protect the ITC of Rs "&amp;TEXT(Dashboard!C18,"[&gt;=10000000]##\,##\,##\,##0;[&gt;=100000]##\,##\,##0;##,##0")&amp;"."</f>
        <v>Match every purchase invoice with GSTR-2B before filing GSTR-3B to protect the ITC of Rs 54,000.</v>
      </c>
    </row>
    <row r="26" customFormat="false" ht="21.75" hidden="false" customHeight="true" outlineLevel="0" collapsed="false">
      <c r="A26" s="48" t="s">
        <v>75</v>
      </c>
      <c r="B26" s="49"/>
      <c r="C26" s="49"/>
      <c r="D26" s="49"/>
      <c r="E26" s="49"/>
    </row>
    <row r="28" customFormat="false" ht="27.75" hidden="false" customHeight="true" outlineLevel="0" collapsed="false">
      <c r="A28" s="27" t="n">
        <v>1</v>
      </c>
      <c r="B28" s="42" t="s">
        <v>76</v>
      </c>
      <c r="C28" s="50" t="n">
        <v>300000</v>
      </c>
      <c r="D28" s="51" t="s">
        <v>77</v>
      </c>
      <c r="E28" s="51"/>
    </row>
    <row r="29" customFormat="false" ht="15.75" hidden="false" customHeight="true" outlineLevel="0" collapsed="false">
      <c r="A29" s="27" t="n">
        <v>2</v>
      </c>
      <c r="B29" s="42" t="s">
        <v>78</v>
      </c>
      <c r="C29" s="52" t="n">
        <v>0.2</v>
      </c>
      <c r="D29" s="51" t="s">
        <v>79</v>
      </c>
      <c r="E29" s="51"/>
    </row>
    <row r="31" customFormat="false" ht="15" hidden="false" customHeight="false" outlineLevel="0" collapsed="false">
      <c r="A31" s="2" t="s">
        <v>80</v>
      </c>
    </row>
  </sheetData>
  <mergeCells count="5">
    <mergeCell ref="B5:E5"/>
    <mergeCell ref="B6:E6"/>
    <mergeCell ref="B7:E7"/>
    <mergeCell ref="D28:E28"/>
    <mergeCell ref="D29:E29"/>
  </mergeCells>
  <conditionalFormatting sqref="C11:C15">
    <cfRule type="cellIs" priority="2" operator="equal" aboveAverage="0" equalAverage="0" bottom="0" percent="0" rank="0" text="" dxfId="2">
      <formula>"High"</formula>
    </cfRule>
    <cfRule type="cellIs" priority="3" operator="equal" aboveAverage="0" equalAverage="0" bottom="0" percent="0" rank="0" text="" dxfId="4">
      <formula>"Medium"</formula>
    </cfRule>
    <cfRule type="cellIs" priority="4" operator="equal" aboveAverage="0" equalAverage="0" bottom="0" percent="0" rank="0" text="" dxfId="0">
      <formula>"Low"</formula>
    </cfRule>
  </conditionalFormatting>
  <conditionalFormatting sqref="C19:C23">
    <cfRule type="cellIs" priority="5" operator="equal" aboveAverage="0" equalAverage="0" bottom="0" percent="0" rank="0" text="" dxfId="2">
      <formula>"High"</formula>
    </cfRule>
    <cfRule type="cellIs" priority="6" operator="equal" aboveAverage="0" equalAverage="0" bottom="0" percent="0" rank="0" text="" dxfId="4">
      <formula>"Medium"</formula>
    </cfRule>
    <cfRule type="cellIs" priority="7" operator="equal" aboveAverage="0" equalAverage="0" bottom="0" percent="0" rank="0" text="" dxfId="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33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83</v>
      </c>
    </row>
    <row r="5" customFormat="false" ht="27.75" hidden="false" customHeight="true" outlineLevel="0" collapsed="false">
      <c r="A5" s="53" t="s">
        <v>36</v>
      </c>
      <c r="B5" s="53" t="s">
        <v>84</v>
      </c>
      <c r="C5" s="53" t="s">
        <v>85</v>
      </c>
    </row>
    <row r="6" customFormat="false" ht="15" hidden="false" customHeight="false" outlineLevel="0" collapsed="false">
      <c r="A6" s="27" t="s">
        <v>86</v>
      </c>
      <c r="B6" s="54"/>
      <c r="C6" s="54" t="n">
        <v>1000000</v>
      </c>
    </row>
    <row r="7" customFormat="false" ht="15" hidden="false" customHeight="false" outlineLevel="0" collapsed="false">
      <c r="A7" s="27" t="s">
        <v>87</v>
      </c>
      <c r="B7" s="54" t="n">
        <v>36000</v>
      </c>
      <c r="C7" s="54" t="n">
        <v>390000</v>
      </c>
    </row>
    <row r="8" customFormat="false" ht="15" hidden="false" customHeight="false" outlineLevel="0" collapsed="false">
      <c r="A8" s="27" t="s">
        <v>88</v>
      </c>
      <c r="B8" s="54" t="n">
        <v>1304000</v>
      </c>
      <c r="C8" s="54"/>
    </row>
    <row r="9" customFormat="false" ht="15" hidden="false" customHeight="false" outlineLevel="0" collapsed="false">
      <c r="A9" s="27" t="s">
        <v>89</v>
      </c>
      <c r="B9" s="54"/>
      <c r="C9" s="54" t="n">
        <v>300000</v>
      </c>
    </row>
    <row r="10" customFormat="false" ht="15" hidden="false" customHeight="false" outlineLevel="0" collapsed="false">
      <c r="A10" s="27" t="s">
        <v>90</v>
      </c>
      <c r="B10" s="54" t="n">
        <v>300000</v>
      </c>
      <c r="C10" s="54"/>
    </row>
    <row r="11" customFormat="false" ht="15" hidden="false" customHeight="false" outlineLevel="0" collapsed="false">
      <c r="A11" s="27" t="s">
        <v>18</v>
      </c>
      <c r="B11" s="54" t="n">
        <v>50000</v>
      </c>
      <c r="C11" s="54"/>
    </row>
    <row r="12" customFormat="false" ht="15" hidden="false" customHeight="false" outlineLevel="0" collapsed="false">
      <c r="A12" s="55" t="s">
        <v>91</v>
      </c>
      <c r="B12" s="56" t="n">
        <f aca="false">SUM(B6:B11)</f>
        <v>1690000</v>
      </c>
      <c r="C12" s="56" t="n">
        <f aca="false">SUM(C6:C11)</f>
        <v>1690000</v>
      </c>
    </row>
    <row r="15" customFormat="false" ht="15" hidden="false" customHeight="false" outlineLevel="0" collapsed="false">
      <c r="A15" s="3" t="s">
        <v>92</v>
      </c>
    </row>
    <row r="16" customFormat="false" ht="27.75" hidden="false" customHeight="true" outlineLevel="0" collapsed="false">
      <c r="A16" s="53" t="s">
        <v>36</v>
      </c>
      <c r="B16" s="53" t="s">
        <v>93</v>
      </c>
    </row>
    <row r="17" customFormat="false" ht="15" hidden="false" customHeight="false" outlineLevel="0" collapsed="false">
      <c r="A17" s="27" t="s">
        <v>89</v>
      </c>
      <c r="B17" s="54" t="n">
        <v>300000</v>
      </c>
    </row>
    <row r="18" customFormat="false" ht="15" hidden="false" customHeight="false" outlineLevel="0" collapsed="false">
      <c r="A18" s="27" t="s">
        <v>94</v>
      </c>
      <c r="B18" s="54" t="n">
        <v>0</v>
      </c>
    </row>
    <row r="19" customFormat="false" ht="15" hidden="false" customHeight="false" outlineLevel="0" collapsed="false">
      <c r="A19" s="27" t="s">
        <v>90</v>
      </c>
      <c r="B19" s="54" t="n">
        <v>300000</v>
      </c>
    </row>
    <row r="20" customFormat="false" ht="15" hidden="false" customHeight="false" outlineLevel="0" collapsed="false">
      <c r="A20" s="27" t="s">
        <v>95</v>
      </c>
      <c r="B20" s="54" t="n">
        <v>0</v>
      </c>
    </row>
    <row r="21" customFormat="false" ht="15" hidden="false" customHeight="false" outlineLevel="0" collapsed="false">
      <c r="A21" s="27" t="s">
        <v>18</v>
      </c>
      <c r="B21" s="54" t="n">
        <v>50000</v>
      </c>
    </row>
    <row r="22" customFormat="false" ht="15" hidden="false" customHeight="false" outlineLevel="0" collapsed="false">
      <c r="A22" s="55" t="s">
        <v>96</v>
      </c>
      <c r="B22" s="56" t="n">
        <f aca="false">B17-B19-B18+B20</f>
        <v>0</v>
      </c>
    </row>
    <row r="23" customFormat="false" ht="15" hidden="false" customHeight="false" outlineLevel="0" collapsed="false">
      <c r="A23" s="55" t="s">
        <v>20</v>
      </c>
      <c r="B23" s="56" t="n">
        <f aca="false">B22-B21</f>
        <v>-50000</v>
      </c>
    </row>
    <row r="26" customFormat="false" ht="15" hidden="false" customHeight="false" outlineLevel="0" collapsed="false">
      <c r="A26" s="3" t="s">
        <v>97</v>
      </c>
    </row>
    <row r="27" customFormat="false" ht="27.75" hidden="false" customHeight="true" outlineLevel="0" collapsed="false">
      <c r="A27" s="53" t="s">
        <v>98</v>
      </c>
      <c r="B27" s="53" t="s">
        <v>93</v>
      </c>
      <c r="C27" s="53" t="s">
        <v>99</v>
      </c>
      <c r="D27" s="53" t="s">
        <v>93</v>
      </c>
    </row>
    <row r="28" customFormat="false" ht="15" hidden="false" customHeight="false" outlineLevel="0" collapsed="false">
      <c r="A28" s="27" t="s">
        <v>86</v>
      </c>
      <c r="B28" s="54" t="n">
        <v>1000000</v>
      </c>
      <c r="C28" s="27" t="s">
        <v>88</v>
      </c>
      <c r="D28" s="54" t="n">
        <v>1304000</v>
      </c>
    </row>
    <row r="29" customFormat="false" ht="15" hidden="false" customHeight="false" outlineLevel="0" collapsed="false">
      <c r="A29" s="27" t="s">
        <v>100</v>
      </c>
      <c r="B29" s="54" t="n">
        <v>0</v>
      </c>
      <c r="C29" s="27" t="s">
        <v>101</v>
      </c>
      <c r="D29" s="54" t="n">
        <v>0</v>
      </c>
    </row>
    <row r="30" customFormat="false" ht="15" hidden="false" customHeight="false" outlineLevel="0" collapsed="false">
      <c r="A30" s="27" t="s">
        <v>87</v>
      </c>
      <c r="B30" s="54" t="n">
        <v>354000</v>
      </c>
      <c r="C30" s="27" t="s">
        <v>102</v>
      </c>
      <c r="D30" s="29" t="n">
        <f aca="false">MAX(-B23,0)</f>
        <v>50000</v>
      </c>
    </row>
    <row r="31" customFormat="false" ht="15" hidden="false" customHeight="false" outlineLevel="0" collapsed="false">
      <c r="A31" s="27" t="s">
        <v>103</v>
      </c>
      <c r="B31" s="29" t="n">
        <f aca="false">MAX(B23,0)</f>
        <v>0</v>
      </c>
      <c r="C31" s="27"/>
      <c r="D31" s="29"/>
    </row>
    <row r="32" customFormat="false" ht="15" hidden="false" customHeight="false" outlineLevel="0" collapsed="false">
      <c r="A32" s="55" t="s">
        <v>104</v>
      </c>
      <c r="B32" s="56" t="n">
        <f aca="false">SUM(B28:B31)</f>
        <v>1354000</v>
      </c>
      <c r="C32" s="55" t="s">
        <v>104</v>
      </c>
      <c r="D32" s="56" t="n">
        <f aca="false">SUM(D28:D31)</f>
        <v>1354000</v>
      </c>
    </row>
    <row r="35" customFormat="false" ht="15" hidden="false" customHeight="false" outlineLevel="0" collapsed="false">
      <c r="A35" s="3" t="s">
        <v>105</v>
      </c>
    </row>
    <row r="36" customFormat="false" ht="27.75" hidden="false" customHeight="true" outlineLevel="0" collapsed="false">
      <c r="A36" s="53" t="s">
        <v>106</v>
      </c>
      <c r="B36" s="53" t="s">
        <v>93</v>
      </c>
      <c r="C36" s="53" t="s">
        <v>107</v>
      </c>
    </row>
    <row r="37" customFormat="false" ht="15" hidden="false" customHeight="false" outlineLevel="0" collapsed="false">
      <c r="A37" s="27" t="s">
        <v>13</v>
      </c>
      <c r="B37" s="54" t="n">
        <v>950000</v>
      </c>
      <c r="C37" s="51" t="s">
        <v>108</v>
      </c>
    </row>
    <row r="38" customFormat="false" ht="15" hidden="false" customHeight="false" outlineLevel="0" collapsed="false">
      <c r="A38" s="27" t="s">
        <v>109</v>
      </c>
      <c r="B38" s="54" t="n">
        <v>354000</v>
      </c>
      <c r="C38" s="51" t="s">
        <v>110</v>
      </c>
    </row>
    <row r="39" customFormat="false" ht="15" hidden="false" customHeight="false" outlineLevel="0" collapsed="false">
      <c r="A39" s="27" t="s">
        <v>111</v>
      </c>
      <c r="B39" s="54" t="n">
        <v>118000</v>
      </c>
      <c r="C39" s="51" t="s">
        <v>112</v>
      </c>
    </row>
    <row r="40" customFormat="false" ht="15" hidden="false" customHeight="false" outlineLevel="0" collapsed="false">
      <c r="A40" s="27" t="s">
        <v>113</v>
      </c>
      <c r="B40" s="54" t="n">
        <v>236000</v>
      </c>
      <c r="C40" s="51" t="s">
        <v>114</v>
      </c>
    </row>
    <row r="41" customFormat="false" ht="15" hidden="false" customHeight="false" outlineLevel="0" collapsed="false">
      <c r="A41" s="27" t="s">
        <v>115</v>
      </c>
      <c r="B41" s="54" t="n">
        <v>0</v>
      </c>
      <c r="C41" s="51" t="s">
        <v>116</v>
      </c>
    </row>
    <row r="42" customFormat="false" ht="15" hidden="false" customHeight="false" outlineLevel="0" collapsed="false">
      <c r="A42" s="27" t="s">
        <v>117</v>
      </c>
      <c r="B42" s="54" t="n">
        <v>27000</v>
      </c>
      <c r="C42" s="51" t="s">
        <v>118</v>
      </c>
    </row>
    <row r="43" customFormat="false" ht="15" hidden="false" customHeight="false" outlineLevel="0" collapsed="false">
      <c r="A43" s="27" t="s">
        <v>119</v>
      </c>
      <c r="B43" s="54" t="n">
        <v>27000</v>
      </c>
      <c r="C43" s="51" t="s">
        <v>120</v>
      </c>
    </row>
    <row r="44" customFormat="false" ht="15" hidden="false" customHeight="false" outlineLevel="0" collapsed="false">
      <c r="A44" s="27" t="s">
        <v>121</v>
      </c>
      <c r="B44" s="54" t="n">
        <v>0</v>
      </c>
      <c r="C44" s="51" t="s">
        <v>122</v>
      </c>
    </row>
    <row r="45" customFormat="false" ht="15" hidden="false" customHeight="false" outlineLevel="0" collapsed="false">
      <c r="A45" s="27" t="s">
        <v>123</v>
      </c>
      <c r="B45" s="54" t="n">
        <v>9000</v>
      </c>
      <c r="C45" s="51" t="s">
        <v>124</v>
      </c>
    </row>
    <row r="46" customFormat="false" ht="15" hidden="false" customHeight="false" outlineLevel="0" collapsed="false">
      <c r="A46" s="27" t="s">
        <v>125</v>
      </c>
      <c r="B46" s="54" t="n">
        <v>9000</v>
      </c>
      <c r="C46" s="51" t="s">
        <v>124</v>
      </c>
    </row>
    <row r="47" customFormat="false" ht="15" hidden="false" customHeight="false" outlineLevel="0" collapsed="false">
      <c r="A47" s="27" t="s">
        <v>126</v>
      </c>
      <c r="B47" s="54" t="n">
        <v>36000</v>
      </c>
      <c r="C47" s="51" t="s">
        <v>127</v>
      </c>
    </row>
    <row r="48" customFormat="false" ht="15" hidden="false" customHeight="false" outlineLevel="0" collapsed="false">
      <c r="A48" s="27" t="s">
        <v>128</v>
      </c>
      <c r="B48" s="54" t="n">
        <v>5000</v>
      </c>
      <c r="C48" s="51" t="s">
        <v>129</v>
      </c>
    </row>
    <row r="49" customFormat="false" ht="15" hidden="false" customHeight="false" outlineLevel="0" collapsed="false">
      <c r="A49" s="27" t="s">
        <v>130</v>
      </c>
      <c r="B49" s="54" t="n">
        <v>5000</v>
      </c>
      <c r="C49" s="51" t="s">
        <v>131</v>
      </c>
    </row>
    <row r="52" customFormat="false" ht="15" hidden="false" customHeight="false" outlineLevel="0" collapsed="false">
      <c r="A52" s="3" t="s">
        <v>132</v>
      </c>
    </row>
    <row r="53" customFormat="false" ht="27.75" hidden="false" customHeight="true" outlineLevel="0" collapsed="false">
      <c r="A53" s="53" t="s">
        <v>36</v>
      </c>
      <c r="B53" s="53" t="s">
        <v>37</v>
      </c>
    </row>
    <row r="54" customFormat="false" ht="15" hidden="false" customHeight="false" outlineLevel="0" collapsed="false">
      <c r="A54" s="27" t="s">
        <v>12</v>
      </c>
      <c r="B54" s="54" t="n">
        <v>400000</v>
      </c>
    </row>
    <row r="55" customFormat="false" ht="15" hidden="false" customHeight="false" outlineLevel="0" collapsed="false">
      <c r="A55" s="27" t="s">
        <v>14</v>
      </c>
      <c r="B55" s="54" t="n">
        <v>300000</v>
      </c>
    </row>
    <row r="56" customFormat="false" ht="15" hidden="false" customHeight="false" outlineLevel="0" collapsed="false">
      <c r="A56" s="27" t="s">
        <v>18</v>
      </c>
      <c r="B56" s="54" t="n">
        <v>60000</v>
      </c>
    </row>
    <row r="58" customFormat="false" ht="15" hidden="false" customHeight="false" outlineLevel="0" collapsed="false">
      <c r="A58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33" t="s">
        <v>134</v>
      </c>
    </row>
    <row r="2" customFormat="false" ht="15" hidden="false" customHeight="false" outlineLevel="0" collapsed="false">
      <c r="A2" s="2" t="s">
        <v>135</v>
      </c>
    </row>
    <row r="4" customFormat="false" ht="27.75" hidden="false" customHeight="true" outlineLevel="0" collapsed="false">
      <c r="A4" s="53" t="s">
        <v>136</v>
      </c>
      <c r="B4" s="53" t="s">
        <v>137</v>
      </c>
      <c r="C4" s="53" t="s">
        <v>138</v>
      </c>
      <c r="D4" s="53" t="s">
        <v>139</v>
      </c>
      <c r="E4" s="53" t="s">
        <v>41</v>
      </c>
    </row>
    <row r="5" customFormat="false" ht="15" hidden="false" customHeight="false" outlineLevel="0" collapsed="false">
      <c r="A5" s="27" t="s">
        <v>140</v>
      </c>
      <c r="B5" s="28" t="n">
        <f aca="false">Data_TB_PL_BS!B12</f>
        <v>1690000</v>
      </c>
      <c r="C5" s="28" t="n">
        <f aca="false">Data_TB_PL_BS!C12</f>
        <v>1690000</v>
      </c>
      <c r="D5" s="29" t="n">
        <f aca="false">B5-C5</f>
        <v>0</v>
      </c>
      <c r="E5" s="31" t="str">
        <f aca="false">IF(ABS(D5)&lt;0.5,"OK","CHECK")</f>
        <v>OK</v>
      </c>
    </row>
    <row r="6" customFormat="false" ht="15" hidden="false" customHeight="false" outlineLevel="0" collapsed="false">
      <c r="A6" s="27" t="s">
        <v>141</v>
      </c>
      <c r="B6" s="28" t="n">
        <f aca="false">Data_TB_PL_BS!C9</f>
        <v>300000</v>
      </c>
      <c r="C6" s="28" t="n">
        <f aca="false">Data_TB_PL_BS!B17</f>
        <v>300000</v>
      </c>
      <c r="D6" s="29" t="n">
        <f aca="false">B6-C6</f>
        <v>0</v>
      </c>
      <c r="E6" s="31" t="str">
        <f aca="false">IF(ABS(D6)&lt;0.5,"OK","CHECK")</f>
        <v>OK</v>
      </c>
    </row>
    <row r="7" customFormat="false" ht="15" hidden="false" customHeight="false" outlineLevel="0" collapsed="false">
      <c r="A7" s="27" t="s">
        <v>142</v>
      </c>
      <c r="B7" s="28" t="n">
        <f aca="false">Data_TB_PL_BS!B10</f>
        <v>300000</v>
      </c>
      <c r="C7" s="28" t="n">
        <f aca="false">Data_TB_PL_BS!B19</f>
        <v>300000</v>
      </c>
      <c r="D7" s="29" t="n">
        <f aca="false">B7-C7</f>
        <v>0</v>
      </c>
      <c r="E7" s="31" t="str">
        <f aca="false">IF(ABS(D7)&lt;0.5,"OK","CHECK")</f>
        <v>OK</v>
      </c>
    </row>
    <row r="8" customFormat="false" ht="15" hidden="false" customHeight="false" outlineLevel="0" collapsed="false">
      <c r="A8" s="27" t="s">
        <v>143</v>
      </c>
      <c r="B8" s="28" t="n">
        <f aca="false">Data_TB_PL_BS!B11</f>
        <v>50000</v>
      </c>
      <c r="C8" s="28" t="n">
        <f aca="false">Data_TB_PL_BS!B21</f>
        <v>50000</v>
      </c>
      <c r="D8" s="29" t="n">
        <f aca="false">B8-C8</f>
        <v>0</v>
      </c>
      <c r="E8" s="31" t="str">
        <f aca="false">IF(ABS(D8)&lt;0.5,"OK","CHECK")</f>
        <v>OK</v>
      </c>
    </row>
    <row r="9" customFormat="false" ht="15" hidden="false" customHeight="false" outlineLevel="0" collapsed="false">
      <c r="A9" s="27" t="s">
        <v>144</v>
      </c>
      <c r="B9" s="28" t="n">
        <f aca="false">Data_TB_PL_BS!C6</f>
        <v>1000000</v>
      </c>
      <c r="C9" s="28" t="n">
        <f aca="false">Data_TB_PL_BS!B28</f>
        <v>1000000</v>
      </c>
      <c r="D9" s="29" t="n">
        <f aca="false">B9-C9</f>
        <v>0</v>
      </c>
      <c r="E9" s="31" t="str">
        <f aca="false">IF(ABS(D9)&lt;0.5,"OK","CHECK")</f>
        <v>OK</v>
      </c>
    </row>
    <row r="10" customFormat="false" ht="15" hidden="false" customHeight="false" outlineLevel="0" collapsed="false">
      <c r="A10" s="27" t="s">
        <v>145</v>
      </c>
      <c r="B10" s="28" t="n">
        <f aca="false">Data_TB_PL_BS!B8</f>
        <v>1304000</v>
      </c>
      <c r="C10" s="28" t="n">
        <f aca="false">Data_TB_PL_BS!D28</f>
        <v>1304000</v>
      </c>
      <c r="D10" s="29" t="n">
        <f aca="false">B10-C10</f>
        <v>0</v>
      </c>
      <c r="E10" s="31" t="str">
        <f aca="false">IF(ABS(D10)&lt;0.5,"OK","CHECK")</f>
        <v>OK</v>
      </c>
    </row>
    <row r="11" customFormat="false" ht="15" hidden="false" customHeight="false" outlineLevel="0" collapsed="false">
      <c r="A11" s="27" t="s">
        <v>146</v>
      </c>
      <c r="B11" s="28" t="n">
        <f aca="false">Data_TB_PL_BS!B32</f>
        <v>1354000</v>
      </c>
      <c r="C11" s="28" t="n">
        <f aca="false">Data_TB_PL_BS!D32</f>
        <v>1354000</v>
      </c>
      <c r="D11" s="29" t="n">
        <f aca="false">B11-C11</f>
        <v>0</v>
      </c>
      <c r="E11" s="31" t="str">
        <f aca="false">IF(ABS(D11)&lt;0.5,"OK","CHECK")</f>
        <v>OK</v>
      </c>
    </row>
    <row r="12" customFormat="false" ht="15" hidden="false" customHeight="false" outlineLevel="0" collapsed="false">
      <c r="A12" s="27" t="s">
        <v>147</v>
      </c>
      <c r="B12" s="28" t="n">
        <f aca="false">Data_TB_PL_BS!D28</f>
        <v>1304000</v>
      </c>
      <c r="C12" s="28" t="n">
        <f aca="false">Data_TB_PL_BS!B37+Data_TB_PL_BS!B38</f>
        <v>1304000</v>
      </c>
      <c r="D12" s="29" t="n">
        <f aca="false">B12-C12</f>
        <v>0</v>
      </c>
      <c r="E12" s="31" t="str">
        <f aca="false">IF(ABS(D12)&lt;0.5,"OK","CHECK")</f>
        <v>OK</v>
      </c>
    </row>
    <row r="13" customFormat="false" ht="15" hidden="false" customHeight="false" outlineLevel="0" collapsed="false">
      <c r="A13" s="27" t="s">
        <v>148</v>
      </c>
      <c r="B13" s="28" t="n">
        <f aca="false">Data_TB_PL_BS!B30</f>
        <v>354000</v>
      </c>
      <c r="C13" s="28" t="n">
        <f aca="false">SUM(Data_TB_PL_BS!B39:B41)+(SUM(Data_TB_PL_BS!B42:B44)-SUM(Data_TB_PL_BS!B45:B47))+(Data_TB_PL_BS!B48-Data_TB_PL_BS!B49)</f>
        <v>354000</v>
      </c>
      <c r="D13" s="29" t="n">
        <f aca="false">B13-C13</f>
        <v>0</v>
      </c>
      <c r="E13" s="31" t="str">
        <f aca="false">IF(ABS(D13)&lt;0.5,"OK","CHECK")</f>
        <v>OK</v>
      </c>
    </row>
    <row r="15" customFormat="false" ht="15" hidden="false" customHeight="false" outlineLevel="0" collapsed="false">
      <c r="A15" s="3" t="s">
        <v>149</v>
      </c>
      <c r="E15" s="3" t="str">
        <f aca="false">IF(COUNTIF(E5:E13,"OK")=9,"ALL OK","CHECK DATA")</f>
        <v>ALL OK</v>
      </c>
    </row>
  </sheetData>
  <conditionalFormatting sqref="E5:E1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"ALL OK"</formula>
    </cfRule>
    <cfRule type="cellIs" priority="4" operator="equal" aboveAverage="0" equalAverage="0" bottom="0" percent="0" rank="0" text="" dxfId="2">
      <formula>"CHECK"</formula>
    </cfRule>
    <cfRule type="cellIs" priority="5" operator="equal" aboveAverage="0" equalAverage="0" bottom="0" percent="0" rank="0" text="" dxfId="2">
      <formula>"CHECK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2026-10-06T10:04:45Z</dcterms:created>
  <dc:creator>openpyxl</dc:creator>
  <dc:description/>
  <dc:language>en-US</dc:language>
  <cp:lastModifiedBy/>
  <dcterms:modified xsi:type="dcterms:W3CDTF">2026-10-06T10:04:50Z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