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Lists" sheetId="2" state="hidden" r:id="rId4"/>
    <sheet name="Data_Entry" sheetId="3" state="visible" r:id="rId5"/>
    <sheet name="Speed_Accuracy_Track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<sst xmlns="http://schemas.openxmlformats.org/spreadsheetml/2006/main" count="5630" uniqueCount="3585">
  <si>
    <t xml:space="preserve">Data Entry Accuracy &amp; Speed Tracker</t>
  </si>
  <si>
    <t xml:space="preserve">Bulk Customer Record Entry | Validation Rules | Speed &amp; Accuracy Measurement</t>
  </si>
  <si>
    <t xml:space="preserve">PROJECT OVERVIEW</t>
  </si>
  <si>
    <t xml:space="preserve">This tool simulates a real MIS / Data Entry workflow: raw customer records are entered into a</t>
  </si>
  <si>
    <t xml:space="preserve">structured Excel sheet, checked automatically against data validation rules, and each entry batch</t>
  </si>
  <si>
    <t xml:space="preserve">is timed to measure typing speed (WPM) and accuracy.</t>
  </si>
  <si>
    <t xml:space="preserve">SHEETS IN THIS WORKBOOK</t>
  </si>
  <si>
    <t xml:space="preserve">1. Instructions          - this page</t>
  </si>
  <si>
    <t xml:space="preserve">2. Data_Entry             - structured entry grid with dropdowns, validation formulas and error flags</t>
  </si>
  <si>
    <t xml:space="preserve">3. Speed_Accuracy_Tracker - batch-wise typing speed (WPM) and accuracy % dashboard</t>
  </si>
  <si>
    <t xml:space="preserve">4. Lists                  - lookup lists used for dropdown validation (State, Payment Mode, Product) - reference only</t>
  </si>
  <si>
    <t xml:space="preserve">COLOR LEGEND (Data_Entry sheet)</t>
  </si>
  <si>
    <t xml:space="preserve">Yellow fill      = cell you type into (Batch_No, and any new record in the blank rows below row 501)</t>
  </si>
  <si>
    <t xml:space="preserve">Green highlight   = Validation_Status = OK  (record passed every check)</t>
  </si>
  <si>
    <t xml:space="preserve">Red highlight     = Validation_Status = ERROR (see Error_Details column for the exact field that failed)</t>
  </si>
  <si>
    <t xml:space="preserve">HOW THE VALIDATION WORKS</t>
  </si>
  <si>
    <t xml:space="preserve">Full_Name    - must not be blank and must not have leading/trailing spaces</t>
  </si>
  <si>
    <t xml:space="preserve">Phone_Number - must be exactly 10 digits</t>
  </si>
  <si>
    <t xml:space="preserve">Email        - must contain '@' and '.'</t>
  </si>
  <si>
    <t xml:space="preserve">Pincode      - must be exactly 6 digits</t>
  </si>
  <si>
    <t xml:space="preserve">State        - must match one of the states in the Lists sheet (enforced by dropdown)</t>
  </si>
  <si>
    <t xml:space="preserve">Date_of_Registration - must be a valid calendar date</t>
  </si>
  <si>
    <t xml:space="preserve">Amount_Paid  - must not be negative</t>
  </si>
  <si>
    <t xml:space="preserve">Payment_Mode - must match one of the modes in the Lists sheet (enforced by dropdown)</t>
  </si>
  <si>
    <t xml:space="preserve">Duplicate_Flag - flags a row if the same Name + Phone combination appears more than once</t>
  </si>
  <si>
    <t xml:space="preserve">HOW SPEED IS MEASURED</t>
  </si>
  <si>
    <t xml:space="preserve">Word_Count uses the standard typing-test convention: 1 word = 5 characters (including spaces),</t>
  </si>
  <si>
    <t xml:space="preserve">based on everything typed for that record (Customer_ID through Payment_Mode).</t>
  </si>
  <si>
    <t xml:space="preserve">Speed_Accuracy_Tracker divides each batch's total word count by the time taken (Start_Time to</t>
  </si>
  <si>
    <t xml:space="preserve">End_Time) to get Words Per Minute, and compares records entered vs. errors found for Accuracy %.</t>
  </si>
  <si>
    <t xml:space="preserve">EXAMPLE ROW (already filled - row 2 of Data_Entry)</t>
  </si>
  <si>
    <t xml:space="preserve">CUST00001 | Aryan Maharaj | 9332181960 | aryan.maharaj31@gmail.com | 218, Sami Zila | Ranchi |</t>
  </si>
  <si>
    <t xml:space="preserve">Jharkhand | 338908 | 12/02/2024 | File Organizer | 10467.17 | Net Banking</t>
  </si>
  <si>
    <t xml:space="preserve">TO ADD NEW RECORDS</t>
  </si>
  <si>
    <t xml:space="preserve">Type into any blank row (from row 502 onward). Validation, dropdowns and formulas are already</t>
  </si>
  <si>
    <t xml:space="preserve">extended down to row 701 - they will calculate automatically as you type.</t>
  </si>
  <si>
    <t xml:space="preserve">Valid_States</t>
  </si>
  <si>
    <t xml:space="preserve">Valid_Payment_Modes</t>
  </si>
  <si>
    <t xml:space="preserve">Valid_Products</t>
  </si>
  <si>
    <t xml:space="preserve">Odisha</t>
  </si>
  <si>
    <t xml:space="preserve">Cash</t>
  </si>
  <si>
    <t xml:space="preserve">Wireless Mouse</t>
  </si>
  <si>
    <t xml:space="preserve">West Bengal</t>
  </si>
  <si>
    <t xml:space="preserve">UPI</t>
  </si>
  <si>
    <t xml:space="preserve">Office Chair</t>
  </si>
  <si>
    <t xml:space="preserve">Bihar</t>
  </si>
  <si>
    <t xml:space="preserve">Credit Card</t>
  </si>
  <si>
    <t xml:space="preserve">LED Desk Lamp</t>
  </si>
  <si>
    <t xml:space="preserve">Jharkhand</t>
  </si>
  <si>
    <t xml:space="preserve">Debit Card</t>
  </si>
  <si>
    <t xml:space="preserve">Laptop Stand</t>
  </si>
  <si>
    <t xml:space="preserve">Chhattisgarh</t>
  </si>
  <si>
    <t xml:space="preserve">Net Banking</t>
  </si>
  <si>
    <t xml:space="preserve">Bluetooth Speaker</t>
  </si>
  <si>
    <t xml:space="preserve">Maharashtra</t>
  </si>
  <si>
    <t xml:space="preserve">Cheque</t>
  </si>
  <si>
    <t xml:space="preserve">Printer Cartridge</t>
  </si>
  <si>
    <t xml:space="preserve">Delhi</t>
  </si>
  <si>
    <t xml:space="preserve">A4 Paper Ream</t>
  </si>
  <si>
    <t xml:space="preserve">Uttar Pradesh</t>
  </si>
  <si>
    <t xml:space="preserve">USB Hard Drive</t>
  </si>
  <si>
    <t xml:space="preserve">Madhya Pradesh</t>
  </si>
  <si>
    <t xml:space="preserve">Keyboard</t>
  </si>
  <si>
    <t xml:space="preserve">Karnataka</t>
  </si>
  <si>
    <t xml:space="preserve">Webcam</t>
  </si>
  <si>
    <t xml:space="preserve">Tamil Nadu</t>
  </si>
  <si>
    <t xml:space="preserve">Whiteboard Marker Set</t>
  </si>
  <si>
    <t xml:space="preserve">Telangana</t>
  </si>
  <si>
    <t xml:space="preserve">File Organizer</t>
  </si>
  <si>
    <t xml:space="preserve">Andhra Pradesh</t>
  </si>
  <si>
    <t xml:space="preserve">Power Bank</t>
  </si>
  <si>
    <t xml:space="preserve">Gujarat</t>
  </si>
  <si>
    <t xml:space="preserve">Wall Clock</t>
  </si>
  <si>
    <t xml:space="preserve">Rajasthan</t>
  </si>
  <si>
    <t xml:space="preserve">Table Fan</t>
  </si>
  <si>
    <t xml:space="preserve">Punjab</t>
  </si>
  <si>
    <t xml:space="preserve">Kerala</t>
  </si>
  <si>
    <t xml:space="preserve">Assam</t>
  </si>
  <si>
    <t xml:space="preserve">Haryana</t>
  </si>
  <si>
    <t xml:space="preserve">S.No</t>
  </si>
  <si>
    <t xml:space="preserve">Batch_No</t>
  </si>
  <si>
    <t xml:space="preserve">Customer_ID</t>
  </si>
  <si>
    <t xml:space="preserve">Full_Name</t>
  </si>
  <si>
    <t xml:space="preserve">Phone_Number</t>
  </si>
  <si>
    <t xml:space="preserve">Email</t>
  </si>
  <si>
    <t xml:space="preserve">Address</t>
  </si>
  <si>
    <t xml:space="preserve">City</t>
  </si>
  <si>
    <t xml:space="preserve">State</t>
  </si>
  <si>
    <t xml:space="preserve">Pincode</t>
  </si>
  <si>
    <t xml:space="preserve">Date_of_Registration</t>
  </si>
  <si>
    <t xml:space="preserve">Product_Purchased</t>
  </si>
  <si>
    <t xml:space="preserve">Amount_Paid</t>
  </si>
  <si>
    <t xml:space="preserve">Payment_Mode</t>
  </si>
  <si>
    <t xml:space="preserve">Word_Count</t>
  </si>
  <si>
    <t xml:space="preserve">Validation_Status</t>
  </si>
  <si>
    <t xml:space="preserve">Error_Details</t>
  </si>
  <si>
    <t xml:space="preserve">Duplicate_Flag</t>
  </si>
  <si>
    <t xml:space="preserve">CUST00001</t>
  </si>
  <si>
    <t xml:space="preserve">Aryan Maharaj</t>
  </si>
  <si>
    <t xml:space="preserve">9332181960</t>
  </si>
  <si>
    <t xml:space="preserve">aryan.maharaj31@gmail.com</t>
  </si>
  <si>
    <t xml:space="preserve">218, Sami Zila</t>
  </si>
  <si>
    <t xml:space="preserve">Ranchi</t>
  </si>
  <si>
    <t xml:space="preserve">338908</t>
  </si>
  <si>
    <t xml:space="preserve">12/02/2024</t>
  </si>
  <si>
    <t xml:space="preserve">CUST00002</t>
  </si>
  <si>
    <t xml:space="preserve">Ayushman Chander</t>
  </si>
  <si>
    <t xml:space="preserve">9402654235</t>
  </si>
  <si>
    <t xml:space="preserve">ayushman.chander105@gmail.com</t>
  </si>
  <si>
    <t xml:space="preserve">890, Issac Circle</t>
  </si>
  <si>
    <t xml:space="preserve">Ahmedabad</t>
  </si>
  <si>
    <t xml:space="preserve">615594</t>
  </si>
  <si>
    <t xml:space="preserve">30/03/2023</t>
  </si>
  <si>
    <t xml:space="preserve">CUST00003</t>
  </si>
  <si>
    <t xml:space="preserve">Thomas Sen</t>
  </si>
  <si>
    <t xml:space="preserve">9959310341</t>
  </si>
  <si>
    <t xml:space="preserve">thomas.sen876@gmail.com</t>
  </si>
  <si>
    <t xml:space="preserve">H.No. 265, Dugal Road</t>
  </si>
  <si>
    <t xml:space="preserve">Vijayawada</t>
  </si>
  <si>
    <t xml:space="preserve">164752</t>
  </si>
  <si>
    <t xml:space="preserve">28/01/2025</t>
  </si>
  <si>
    <t xml:space="preserve">CUST00004</t>
  </si>
  <si>
    <t xml:space="preserve">Gayathri Chaudry</t>
  </si>
  <si>
    <t xml:space="preserve">9832764835</t>
  </si>
  <si>
    <t xml:space="preserve">gayathri.chaudry864@gmail.com</t>
  </si>
  <si>
    <t xml:space="preserve">15, Lalla Path</t>
  </si>
  <si>
    <t xml:space="preserve">Bhagalpur</t>
  </si>
  <si>
    <t xml:space="preserve">305641</t>
  </si>
  <si>
    <t xml:space="preserve">08/03/2024</t>
  </si>
  <si>
    <t xml:space="preserve">CUST00005</t>
  </si>
  <si>
    <t xml:space="preserve">Tripti Yadav</t>
  </si>
  <si>
    <t xml:space="preserve">9672423884</t>
  </si>
  <si>
    <t xml:space="preserve">tripti.yadav765@outlook.com</t>
  </si>
  <si>
    <t xml:space="preserve">18, Pathak Road</t>
  </si>
  <si>
    <t xml:space="preserve">Chennai</t>
  </si>
  <si>
    <t xml:space="preserve">696532</t>
  </si>
  <si>
    <t xml:space="preserve">09/11/2025</t>
  </si>
  <si>
    <t xml:space="preserve">CUST00006</t>
  </si>
  <si>
    <t xml:space="preserve">Ekaraj Bath</t>
  </si>
  <si>
    <t xml:space="preserve">9691669784</t>
  </si>
  <si>
    <t xml:space="preserve">ekaraj.bath995@outlook.com</t>
  </si>
  <si>
    <t xml:space="preserve">H.No. 13, Rai Zila</t>
  </si>
  <si>
    <t xml:space="preserve">018451</t>
  </si>
  <si>
    <t xml:space="preserve">24/08/2024</t>
  </si>
  <si>
    <t xml:space="preserve">CUST00007</t>
  </si>
  <si>
    <t xml:space="preserve">Sudiksha Patla</t>
  </si>
  <si>
    <t xml:space="preserve">9814893252</t>
  </si>
  <si>
    <t xml:space="preserve">sudiksha.patla553@outlook.com</t>
  </si>
  <si>
    <t xml:space="preserve">H.No. 53, Bora Road</t>
  </si>
  <si>
    <t xml:space="preserve">Jabalpur</t>
  </si>
  <si>
    <t xml:space="preserve">095701</t>
  </si>
  <si>
    <t xml:space="preserve">13/01/2025</t>
  </si>
  <si>
    <t xml:space="preserve">CUST00008</t>
  </si>
  <si>
    <t xml:space="preserve">Yash Gade</t>
  </si>
  <si>
    <t xml:space="preserve">9911718227</t>
  </si>
  <si>
    <t xml:space="preserve">yash.gade970@outlook.com</t>
  </si>
  <si>
    <t xml:space="preserve">48, Nair Ganj</t>
  </si>
  <si>
    <t xml:space="preserve">Lucknow</t>
  </si>
  <si>
    <t xml:space="preserve">248963</t>
  </si>
  <si>
    <t xml:space="preserve">09/01/2026</t>
  </si>
  <si>
    <t xml:space="preserve">CUST00009</t>
  </si>
  <si>
    <t xml:space="preserve">Veer Balay</t>
  </si>
  <si>
    <t xml:space="preserve">9578713315</t>
  </si>
  <si>
    <t xml:space="preserve">veer.balay22@outlook.com</t>
  </si>
  <si>
    <t xml:space="preserve">41, Murty Ganj</t>
  </si>
  <si>
    <t xml:space="preserve">Mysuru</t>
  </si>
  <si>
    <t xml:space="preserve">839301</t>
  </si>
  <si>
    <t xml:space="preserve">16/07/2026</t>
  </si>
  <si>
    <t xml:space="preserve">CUST00010</t>
  </si>
  <si>
    <t xml:space="preserve">Xalak Randhawa</t>
  </si>
  <si>
    <t xml:space="preserve">9473829973</t>
  </si>
  <si>
    <t xml:space="preserve">xalak.randhawa804@yahoo.com</t>
  </si>
  <si>
    <t xml:space="preserve">423, Yohannan Circle</t>
  </si>
  <si>
    <t xml:space="preserve">631165</t>
  </si>
  <si>
    <t xml:space="preserve">17/05/2025</t>
  </si>
  <si>
    <t xml:space="preserve">CUST00011</t>
  </si>
  <si>
    <t xml:space="preserve">Priya Rastogi</t>
  </si>
  <si>
    <t xml:space="preserve">9513338726</t>
  </si>
  <si>
    <t xml:space="preserve">priya.rastogi188@yahoo.com</t>
  </si>
  <si>
    <t xml:space="preserve">287, Batta Zila</t>
  </si>
  <si>
    <t xml:space="preserve">Kolkata</t>
  </si>
  <si>
    <t xml:space="preserve">731781</t>
  </si>
  <si>
    <t xml:space="preserve">14/04/2023</t>
  </si>
  <si>
    <t xml:space="preserve">cashh</t>
  </si>
  <si>
    <t xml:space="preserve">CUST00012</t>
  </si>
  <si>
    <t xml:space="preserve">Michael Dutta</t>
  </si>
  <si>
    <t xml:space="preserve">9773602606</t>
  </si>
  <si>
    <t xml:space="preserve">michael.dutta272@yahoo.com</t>
  </si>
  <si>
    <t xml:space="preserve">16/69, Wadhwa Chowk</t>
  </si>
  <si>
    <t xml:space="preserve">Patna</t>
  </si>
  <si>
    <t xml:space="preserve">468723</t>
  </si>
  <si>
    <t xml:space="preserve">30/08/2024</t>
  </si>
  <si>
    <t xml:space="preserve">CUST00013</t>
  </si>
  <si>
    <t xml:space="preserve">Advay Contractor</t>
  </si>
  <si>
    <t xml:space="preserve">9009788208</t>
  </si>
  <si>
    <t xml:space="preserve">advay.contractor83@gmail.com</t>
  </si>
  <si>
    <t xml:space="preserve">51/462, Aggarwal Chowk</t>
  </si>
  <si>
    <t xml:space="preserve">Guwahati</t>
  </si>
  <si>
    <t xml:space="preserve">191361</t>
  </si>
  <si>
    <t xml:space="preserve">12/03/2026</t>
  </si>
  <si>
    <t xml:space="preserve">CUST00014</t>
  </si>
  <si>
    <t xml:space="preserve">Xiti Gokhale</t>
  </si>
  <si>
    <t xml:space="preserve">9985435346</t>
  </si>
  <si>
    <t xml:space="preserve">xiti.gokhale135@outlook.com</t>
  </si>
  <si>
    <t xml:space="preserve">48/932, Edwin Path</t>
  </si>
  <si>
    <t xml:space="preserve">Gaya</t>
  </si>
  <si>
    <t xml:space="preserve">475107</t>
  </si>
  <si>
    <t xml:space="preserve">26/06/2026</t>
  </si>
  <si>
    <t xml:space="preserve">CUST00015</t>
  </si>
  <si>
    <t xml:space="preserve">Ekiya Suresh</t>
  </si>
  <si>
    <t xml:space="preserve">9251354278</t>
  </si>
  <si>
    <t xml:space="preserve">ekiya.suresh721@yahoo.com</t>
  </si>
  <si>
    <t xml:space="preserve">H.No. 543, Khosla Nagar</t>
  </si>
  <si>
    <t xml:space="preserve">980841</t>
  </si>
  <si>
    <t xml:space="preserve">03/10/2023</t>
  </si>
  <si>
    <t xml:space="preserve">CUST00016</t>
  </si>
  <si>
    <t xml:space="preserve">Frederick Sunder</t>
  </si>
  <si>
    <t xml:space="preserve">9935348740</t>
  </si>
  <si>
    <t xml:space="preserve">frederick.sunder95@outlook.com</t>
  </si>
  <si>
    <t xml:space="preserve">22/78, Lanka Street</t>
  </si>
  <si>
    <t xml:space="preserve">640052</t>
  </si>
  <si>
    <t xml:space="preserve">28/07/2026</t>
  </si>
  <si>
    <t xml:space="preserve">CUST00017</t>
  </si>
  <si>
    <t xml:space="preserve">Siddharth Zacharia</t>
  </si>
  <si>
    <t xml:space="preserve">9112805982</t>
  </si>
  <si>
    <t xml:space="preserve">siddharth.zacharia441@gmail.com</t>
  </si>
  <si>
    <t xml:space="preserve">46/578, Dara Chowk</t>
  </si>
  <si>
    <t xml:space="preserve">Dibrugarh</t>
  </si>
  <si>
    <t xml:space="preserve">045053</t>
  </si>
  <si>
    <t xml:space="preserve">26/05/2024</t>
  </si>
  <si>
    <t xml:space="preserve">CUST00018</t>
  </si>
  <si>
    <t xml:space="preserve">Umang Bhatt</t>
  </si>
  <si>
    <t xml:space="preserve">9322602563</t>
  </si>
  <si>
    <t xml:space="preserve">umang.bhatt274@gmail.com</t>
  </si>
  <si>
    <t xml:space="preserve">H.No. 983, Kannan</t>
  </si>
  <si>
    <t xml:space="preserve">Vadodara</t>
  </si>
  <si>
    <t xml:space="preserve">160733</t>
  </si>
  <si>
    <t xml:space="preserve">31/07/2025</t>
  </si>
  <si>
    <t xml:space="preserve">CUST00019</t>
  </si>
  <si>
    <t xml:space="preserve">Ekavir Bhargava</t>
  </si>
  <si>
    <t xml:space="preserve">9654145868</t>
  </si>
  <si>
    <t xml:space="preserve">ekavir.bhargava340@gmail.com</t>
  </si>
  <si>
    <t xml:space="preserve">H.No. 051, Khanna Circle</t>
  </si>
  <si>
    <t xml:space="preserve">142940</t>
  </si>
  <si>
    <t xml:space="preserve">11/08/2023</t>
  </si>
  <si>
    <t xml:space="preserve">CUST00020</t>
  </si>
  <si>
    <t xml:space="preserve">Vedika Kala</t>
  </si>
  <si>
    <t xml:space="preserve">9816934060</t>
  </si>
  <si>
    <t xml:space="preserve">vedika.kala533@outlook.com</t>
  </si>
  <si>
    <t xml:space="preserve">99/737, Gupta Marg</t>
  </si>
  <si>
    <t xml:space="preserve">Coimbatore</t>
  </si>
  <si>
    <t xml:space="preserve">356159</t>
  </si>
  <si>
    <t xml:space="preserve">04/10/2024</t>
  </si>
  <si>
    <t xml:space="preserve">CUST00021</t>
  </si>
  <si>
    <t xml:space="preserve">Gunbir Sankar</t>
  </si>
  <si>
    <t xml:space="preserve">9656482366</t>
  </si>
  <si>
    <t xml:space="preserve">gunbir.sankar694@outlook.com</t>
  </si>
  <si>
    <t xml:space="preserve">67, Chaudhari Nagar</t>
  </si>
  <si>
    <t xml:space="preserve">Mangaluru</t>
  </si>
  <si>
    <t xml:space="preserve">299468</t>
  </si>
  <si>
    <t xml:space="preserve">01/01/2023</t>
  </si>
  <si>
    <t xml:space="preserve">CUST00022</t>
  </si>
  <si>
    <t xml:space="preserve">Neha Nori</t>
  </si>
  <si>
    <t xml:space="preserve">9738721489</t>
  </si>
  <si>
    <t xml:space="preserve">neha.nori344@gmail.com</t>
  </si>
  <si>
    <t xml:space="preserve">338, Dey Chowk</t>
  </si>
  <si>
    <t xml:space="preserve">Faridabad</t>
  </si>
  <si>
    <t xml:space="preserve">343320</t>
  </si>
  <si>
    <t xml:space="preserve">05/04/2023</t>
  </si>
  <si>
    <t xml:space="preserve">CUST00023</t>
  </si>
  <si>
    <t xml:space="preserve">Qadim Mallick</t>
  </si>
  <si>
    <t xml:space="preserve">9936763201</t>
  </si>
  <si>
    <t xml:space="preserve">qadim.mallick798@yahoo.com</t>
  </si>
  <si>
    <t xml:space="preserve">178, Bedi Zila</t>
  </si>
  <si>
    <t xml:space="preserve">328708</t>
  </si>
  <si>
    <t xml:space="preserve">25/05/2024</t>
  </si>
  <si>
    <t xml:space="preserve">CUST00024</t>
  </si>
  <si>
    <t xml:space="preserve">Girik Khalsa</t>
  </si>
  <si>
    <t xml:space="preserve">9895798687</t>
  </si>
  <si>
    <t xml:space="preserve">girik.khalsa919@gmail.com</t>
  </si>
  <si>
    <t xml:space="preserve">77, Rattan Ganj</t>
  </si>
  <si>
    <t xml:space="preserve">Bilaspur</t>
  </si>
  <si>
    <t xml:space="preserve">774348</t>
  </si>
  <si>
    <t xml:space="preserve">19/09/2025</t>
  </si>
  <si>
    <t xml:space="preserve">CUST00025</t>
  </si>
  <si>
    <t xml:space="preserve">Nitesh Raghavan</t>
  </si>
  <si>
    <t xml:space="preserve">9455812236</t>
  </si>
  <si>
    <t xml:space="preserve">nitesh.raghavan711@gmail.com</t>
  </si>
  <si>
    <t xml:space="preserve">47, Sampath Road</t>
  </si>
  <si>
    <t xml:space="preserve">316658</t>
  </si>
  <si>
    <t xml:space="preserve">12/08/2025</t>
  </si>
  <si>
    <t xml:space="preserve">CUST00026</t>
  </si>
  <si>
    <t xml:space="preserve">Mohammed Gupta</t>
  </si>
  <si>
    <t xml:space="preserve">9967054668</t>
  </si>
  <si>
    <t xml:space="preserve">mohammed.gupta766@outlook.com</t>
  </si>
  <si>
    <t xml:space="preserve">098, Murthy Nagar</t>
  </si>
  <si>
    <t xml:space="preserve">893734</t>
  </si>
  <si>
    <t xml:space="preserve">11/06/2025</t>
  </si>
  <si>
    <t xml:space="preserve">CUST00027</t>
  </si>
  <si>
    <t xml:space="preserve">Chandresh Sood</t>
  </si>
  <si>
    <t xml:space="preserve">9298069901</t>
  </si>
  <si>
    <t xml:space="preserve">chandresh.sood659@yahoo.com</t>
  </si>
  <si>
    <t xml:space="preserve">H.No. 812, Bir Zila</t>
  </si>
  <si>
    <t xml:space="preserve">272046</t>
  </si>
  <si>
    <t xml:space="preserve">01/11/2024</t>
  </si>
  <si>
    <t xml:space="preserve">CUST00028</t>
  </si>
  <si>
    <t xml:space="preserve">Netra Dar</t>
  </si>
  <si>
    <t xml:space="preserve">9641708053</t>
  </si>
  <si>
    <t xml:space="preserve">netra.dar666@gmail.com</t>
  </si>
  <si>
    <t xml:space="preserve">90/91, Virk Marg</t>
  </si>
  <si>
    <t xml:space="preserve">Visakhapatnam</t>
  </si>
  <si>
    <t xml:space="preserve">003309</t>
  </si>
  <si>
    <t xml:space="preserve">09/11/2023</t>
  </si>
  <si>
    <t xml:space="preserve">CUST00029</t>
  </si>
  <si>
    <t xml:space="preserve">Advika Jayaraman</t>
  </si>
  <si>
    <t xml:space="preserve">9745299124</t>
  </si>
  <si>
    <t xml:space="preserve">advika.jayaraman111@outlook.com</t>
  </si>
  <si>
    <t xml:space="preserve">462, Shankar Road</t>
  </si>
  <si>
    <t xml:space="preserve">Dhanbad</t>
  </si>
  <si>
    <t xml:space="preserve">049663</t>
  </si>
  <si>
    <t xml:space="preserve">05/06/2023</t>
  </si>
  <si>
    <t xml:space="preserve">CUST00030</t>
  </si>
  <si>
    <t xml:space="preserve">Elijah Andra</t>
  </si>
  <si>
    <t xml:space="preserve">9491905865</t>
  </si>
  <si>
    <t xml:space="preserve">elijah.andra71@outlook.com</t>
  </si>
  <si>
    <t xml:space="preserve">91/18, Toor Ganj</t>
  </si>
  <si>
    <t xml:space="preserve">506716</t>
  </si>
  <si>
    <t xml:space="preserve">11/01/2025</t>
  </si>
  <si>
    <t xml:space="preserve">CUST00031</t>
  </si>
  <si>
    <t xml:space="preserve">Kevin Palla</t>
  </si>
  <si>
    <t xml:space="preserve">9849877694</t>
  </si>
  <si>
    <t xml:space="preserve">kevin.palla331@gmail.com</t>
  </si>
  <si>
    <t xml:space="preserve">542, Mittal Chowk</t>
  </si>
  <si>
    <t xml:space="preserve">147379</t>
  </si>
  <si>
    <t xml:space="preserve">03/06/2026</t>
  </si>
  <si>
    <t xml:space="preserve">CUST00032</t>
  </si>
  <si>
    <t xml:space="preserve">Chandani Chawla</t>
  </si>
  <si>
    <t xml:space="preserve">9354549480</t>
  </si>
  <si>
    <t xml:space="preserve">chandani.chawla530@gmail.com</t>
  </si>
  <si>
    <t xml:space="preserve">H.No. 11, Dugal Circle</t>
  </si>
  <si>
    <t xml:space="preserve">Amritsar</t>
  </si>
  <si>
    <t xml:space="preserve">136783</t>
  </si>
  <si>
    <t xml:space="preserve">02/09/2025</t>
  </si>
  <si>
    <t xml:space="preserve">CUST00033</t>
  </si>
  <si>
    <t xml:space="preserve">Baghyawati Kade</t>
  </si>
  <si>
    <t xml:space="preserve">9634957885</t>
  </si>
  <si>
    <t xml:space="preserve">baghyawati.kade436@outlook.com</t>
  </si>
  <si>
    <t xml:space="preserve">487, Behl Road</t>
  </si>
  <si>
    <t xml:space="preserve">Bhubaneswar</t>
  </si>
  <si>
    <t xml:space="preserve">855744</t>
  </si>
  <si>
    <t xml:space="preserve">29/05/2024</t>
  </si>
  <si>
    <t xml:space="preserve">CUST00034</t>
  </si>
  <si>
    <t xml:space="preserve">Pallavi Malhotra</t>
  </si>
  <si>
    <t xml:space="preserve">9233749894</t>
  </si>
  <si>
    <t xml:space="preserve">pallavi.malhotra103@gmail.com</t>
  </si>
  <si>
    <t xml:space="preserve">H.No. 524, Sathe Street</t>
  </si>
  <si>
    <t xml:space="preserve">435240</t>
  </si>
  <si>
    <t xml:space="preserve">29/12/2025</t>
  </si>
  <si>
    <t xml:space="preserve">CUST00035</t>
  </si>
  <si>
    <t xml:space="preserve">Aditya Choudhury</t>
  </si>
  <si>
    <t xml:space="preserve">9271094777</t>
  </si>
  <si>
    <t xml:space="preserve">aditya.choudhury349@gmail.com</t>
  </si>
  <si>
    <t xml:space="preserve">28/059, Divan Circle</t>
  </si>
  <si>
    <t xml:space="preserve">047116</t>
  </si>
  <si>
    <t xml:space="preserve">04/10/2025</t>
  </si>
  <si>
    <t xml:space="preserve">CUST00036</t>
  </si>
  <si>
    <t xml:space="preserve">Joshua Barman</t>
  </si>
  <si>
    <t xml:space="preserve">9941318699</t>
  </si>
  <si>
    <t xml:space="preserve">joshua.barman810@outlook.com</t>
  </si>
  <si>
    <t xml:space="preserve">H.No. 05, Krish Ganj</t>
  </si>
  <si>
    <t xml:space="preserve">Howrah</t>
  </si>
  <si>
    <t xml:space="preserve">386774</t>
  </si>
  <si>
    <t xml:space="preserve">20/04/2026</t>
  </si>
  <si>
    <t xml:space="preserve">CUST00037</t>
  </si>
  <si>
    <t xml:space="preserve">Irya Ray</t>
  </si>
  <si>
    <t xml:space="preserve">9334123281</t>
  </si>
  <si>
    <t xml:space="preserve">irya.ray161@gmail.com</t>
  </si>
  <si>
    <t xml:space="preserve">226, Gola Nagar</t>
  </si>
  <si>
    <t xml:space="preserve">679740</t>
  </si>
  <si>
    <t xml:space="preserve">19/04/2024</t>
  </si>
  <si>
    <t xml:space="preserve">CUST00038</t>
  </si>
  <si>
    <t xml:space="preserve">Nisha Kothari</t>
  </si>
  <si>
    <t xml:space="preserve">9493618324</t>
  </si>
  <si>
    <t xml:space="preserve">nisha.kothari847@gmail.com</t>
  </si>
  <si>
    <t xml:space="preserve">160, Kapadia Chowk</t>
  </si>
  <si>
    <t xml:space="preserve">Jaipur</t>
  </si>
  <si>
    <t xml:space="preserve">102499</t>
  </si>
  <si>
    <t xml:space="preserve">14/08/2024</t>
  </si>
  <si>
    <t xml:space="preserve">CUST00039</t>
  </si>
  <si>
    <t xml:space="preserve">Triveni Palla</t>
  </si>
  <si>
    <t xml:space="preserve">9488771906</t>
  </si>
  <si>
    <t xml:space="preserve">triveni.palla753@yahoo.com</t>
  </si>
  <si>
    <t xml:space="preserve">303, Narasimhan Marg</t>
  </si>
  <si>
    <t xml:space="preserve">940139</t>
  </si>
  <si>
    <t xml:space="preserve">17/04/2026</t>
  </si>
  <si>
    <t xml:space="preserve">CUST00040</t>
  </si>
  <si>
    <t xml:space="preserve">Ekaraj Mallick</t>
  </si>
  <si>
    <t xml:space="preserve">9278742967</t>
  </si>
  <si>
    <t xml:space="preserve">ekarajgmail.com</t>
  </si>
  <si>
    <t xml:space="preserve">86/850, Lal Zila</t>
  </si>
  <si>
    <t xml:space="preserve">756551</t>
  </si>
  <si>
    <t xml:space="preserve">26/11/2023</t>
  </si>
  <si>
    <t xml:space="preserve">CUST00041</t>
  </si>
  <si>
    <t xml:space="preserve">Alka Barad</t>
  </si>
  <si>
    <t xml:space="preserve">9807154516</t>
  </si>
  <si>
    <t xml:space="preserve">alka.barad886@outlook.com</t>
  </si>
  <si>
    <t xml:space="preserve">65/56, Vaidya</t>
  </si>
  <si>
    <t xml:space="preserve">087603</t>
  </si>
  <si>
    <t xml:space="preserve">27/11/2025</t>
  </si>
  <si>
    <t xml:space="preserve">CUST00042</t>
  </si>
  <si>
    <t xml:space="preserve">Lekha Gupta</t>
  </si>
  <si>
    <t xml:space="preserve">9824771093</t>
  </si>
  <si>
    <t xml:space="preserve">lekha.gupta727@gmail.com</t>
  </si>
  <si>
    <t xml:space="preserve">H.No. 608, Hegde Circle</t>
  </si>
  <si>
    <t xml:space="preserve">480861</t>
  </si>
  <si>
    <t xml:space="preserve">05/04/2024</t>
  </si>
  <si>
    <t xml:space="preserve">CUST00043</t>
  </si>
  <si>
    <t xml:space="preserve">Raagini Boase</t>
  </si>
  <si>
    <t xml:space="preserve">9748467737</t>
  </si>
  <si>
    <t xml:space="preserve">raagini.boase565@gmail.com</t>
  </si>
  <si>
    <t xml:space="preserve">51/48, Rege Road</t>
  </si>
  <si>
    <t xml:space="preserve">639821</t>
  </si>
  <si>
    <t xml:space="preserve">19/07/2024</t>
  </si>
  <si>
    <t xml:space="preserve">CUST00044</t>
  </si>
  <si>
    <t xml:space="preserve">Neha Merchant</t>
  </si>
  <si>
    <t xml:space="preserve">9044997278</t>
  </si>
  <si>
    <t xml:space="preserve">neha.merchant496@yahoo.com</t>
  </si>
  <si>
    <t xml:space="preserve">662, Mitra</t>
  </si>
  <si>
    <t xml:space="preserve">Madurai</t>
  </si>
  <si>
    <t xml:space="preserve">588675</t>
  </si>
  <si>
    <t xml:space="preserve">22/01/2024</t>
  </si>
  <si>
    <t xml:space="preserve">CUST00045</t>
  </si>
  <si>
    <t xml:space="preserve">Aadi Modi</t>
  </si>
  <si>
    <t xml:space="preserve">9766270289</t>
  </si>
  <si>
    <t xml:space="preserve">aadi.modi340@gmail.com</t>
  </si>
  <si>
    <t xml:space="preserve">699, Shroff Path</t>
  </si>
  <si>
    <t xml:space="preserve">Kanpur</t>
  </si>
  <si>
    <t xml:space="preserve">718702</t>
  </si>
  <si>
    <t xml:space="preserve">19/04/2025</t>
  </si>
  <si>
    <t xml:space="preserve">CUST00046</t>
  </si>
  <si>
    <t xml:space="preserve">Riya Kala</t>
  </si>
  <si>
    <t xml:space="preserve">9459615865</t>
  </si>
  <si>
    <t xml:space="preserve">riya.kala642@outlook.com</t>
  </si>
  <si>
    <t xml:space="preserve">21/489, Chander Path</t>
  </si>
  <si>
    <t xml:space="preserve">780913</t>
  </si>
  <si>
    <t xml:space="preserve">CUST00047</t>
  </si>
  <si>
    <t xml:space="preserve">Dayita Kar</t>
  </si>
  <si>
    <t xml:space="preserve">9172400504</t>
  </si>
  <si>
    <t xml:space="preserve">dayita.kar368@yahoo.com</t>
  </si>
  <si>
    <t xml:space="preserve">003, Bora Chowk</t>
  </si>
  <si>
    <t xml:space="preserve">623869</t>
  </si>
  <si>
    <t xml:space="preserve">04/01/2024</t>
  </si>
  <si>
    <t xml:space="preserve">CUST00048</t>
  </si>
  <si>
    <t xml:space="preserve">Oeshi Hayer</t>
  </si>
  <si>
    <t xml:space="preserve">9923747407</t>
  </si>
  <si>
    <t xml:space="preserve">oeshi.hayer923@yahoo.com</t>
  </si>
  <si>
    <t xml:space="preserve">63, Ahluwalia Street</t>
  </si>
  <si>
    <t xml:space="preserve">821759</t>
  </si>
  <si>
    <t xml:space="preserve">04/09/2024</t>
  </si>
  <si>
    <t xml:space="preserve">CUST00049</t>
  </si>
  <si>
    <t xml:space="preserve">Pavani Kanda</t>
  </si>
  <si>
    <t xml:space="preserve">9367136959</t>
  </si>
  <si>
    <t xml:space="preserve">pavani.kanda303@outlook.com</t>
  </si>
  <si>
    <t xml:space="preserve">87/083, Shan Zila</t>
  </si>
  <si>
    <t xml:space="preserve">Indore</t>
  </si>
  <si>
    <t xml:space="preserve">406409</t>
  </si>
  <si>
    <t xml:space="preserve">11/04/2023</t>
  </si>
  <si>
    <t xml:space="preserve">CUST00050</t>
  </si>
  <si>
    <t xml:space="preserve">  Ucchal Wali   </t>
  </si>
  <si>
    <t xml:space="preserve">9533942104</t>
  </si>
  <si>
    <t xml:space="preserve">ucchal.wali808@yahoo.com</t>
  </si>
  <si>
    <t xml:space="preserve">98, Sehgal Marg</t>
  </si>
  <si>
    <t xml:space="preserve">Bengaluru</t>
  </si>
  <si>
    <t xml:space="preserve">095214</t>
  </si>
  <si>
    <t xml:space="preserve">31/10/2024</t>
  </si>
  <si>
    <t xml:space="preserve">CUST00051</t>
  </si>
  <si>
    <t xml:space="preserve">Vaishnavi Sengupta</t>
  </si>
  <si>
    <t xml:space="preserve">9588424745</t>
  </si>
  <si>
    <t xml:space="preserve">vaishnavi.sengupta824@gmail.com</t>
  </si>
  <si>
    <t xml:space="preserve">487, Maharaj Ganj</t>
  </si>
  <si>
    <t xml:space="preserve">Durg</t>
  </si>
  <si>
    <t xml:space="preserve">712368</t>
  </si>
  <si>
    <t xml:space="preserve">19/01/2025</t>
  </si>
  <si>
    <t xml:space="preserve">CUST00052</t>
  </si>
  <si>
    <t xml:space="preserve">Faras Mangal</t>
  </si>
  <si>
    <t xml:space="preserve">9549651370</t>
  </si>
  <si>
    <t xml:space="preserve">faras.mangal635@outlook.com</t>
  </si>
  <si>
    <t xml:space="preserve">H.No. 55, Buch Circle</t>
  </si>
  <si>
    <t xml:space="preserve">593174</t>
  </si>
  <si>
    <t xml:space="preserve">16/04/2025</t>
  </si>
  <si>
    <t xml:space="preserve">CUST00053</t>
  </si>
  <si>
    <t xml:space="preserve">Matthew Kashyap</t>
  </si>
  <si>
    <t xml:space="preserve">9382675869</t>
  </si>
  <si>
    <t xml:space="preserve">matthew.kashyap761@outlook.com</t>
  </si>
  <si>
    <t xml:space="preserve">23/166, Shukla Path</t>
  </si>
  <si>
    <t xml:space="preserve">261796</t>
  </si>
  <si>
    <t xml:space="preserve">26/07/2024</t>
  </si>
  <si>
    <t xml:space="preserve">CUST00054</t>
  </si>
  <si>
    <t xml:space="preserve">David Jhaveri</t>
  </si>
  <si>
    <t xml:space="preserve">9515850643</t>
  </si>
  <si>
    <t xml:space="preserve">david.jhaveri992@gmail.com</t>
  </si>
  <si>
    <t xml:space="preserve">90, Rai</t>
  </si>
  <si>
    <t xml:space="preserve">Jodhpur</t>
  </si>
  <si>
    <t xml:space="preserve">713900</t>
  </si>
  <si>
    <t xml:space="preserve">14/11/2024</t>
  </si>
  <si>
    <t xml:space="preserve">CUST00055</t>
  </si>
  <si>
    <t xml:space="preserve">Abeer Pandey</t>
  </si>
  <si>
    <t xml:space="preserve">9839335290</t>
  </si>
  <si>
    <t xml:space="preserve">abeer.pandey284@gmail.com</t>
  </si>
  <si>
    <t xml:space="preserve">68, Kannan Circle</t>
  </si>
  <si>
    <t xml:space="preserve">New Delhi</t>
  </si>
  <si>
    <t xml:space="preserve">284210</t>
  </si>
  <si>
    <t xml:space="preserve">27/09/2023</t>
  </si>
  <si>
    <t xml:space="preserve">CUST00056</t>
  </si>
  <si>
    <t xml:space="preserve">Theodore Mahajan</t>
  </si>
  <si>
    <t xml:space="preserve">9402681177</t>
  </si>
  <si>
    <t xml:space="preserve">theodore.mahajan797@yahoo.com</t>
  </si>
  <si>
    <t xml:space="preserve">06, Ravel Path</t>
  </si>
  <si>
    <t xml:space="preserve">891783</t>
  </si>
  <si>
    <t xml:space="preserve">13/06/2026</t>
  </si>
  <si>
    <t xml:space="preserve">CUST00057</t>
  </si>
  <si>
    <t xml:space="preserve">Unni Datta</t>
  </si>
  <si>
    <t xml:space="preserve">9007661771</t>
  </si>
  <si>
    <t xml:space="preserve">unni.datta921@gmail.com</t>
  </si>
  <si>
    <t xml:space="preserve">99, Chacko Nagar</t>
  </si>
  <si>
    <t xml:space="preserve">Thiruvananthapuram</t>
  </si>
  <si>
    <t xml:space="preserve">592124</t>
  </si>
  <si>
    <t xml:space="preserve">02/07/2026</t>
  </si>
  <si>
    <t xml:space="preserve">CUST00058</t>
  </si>
  <si>
    <t xml:space="preserve">Krishna Shenoy</t>
  </si>
  <si>
    <t xml:space="preserve">9847896118</t>
  </si>
  <si>
    <t xml:space="preserve">krishna.shenoy739@gmail.com</t>
  </si>
  <si>
    <t xml:space="preserve">H.No. 465, Sha Ganj</t>
  </si>
  <si>
    <t xml:space="preserve">673657</t>
  </si>
  <si>
    <t xml:space="preserve">27/03/2025</t>
  </si>
  <si>
    <t xml:space="preserve">CUST00059</t>
  </si>
  <si>
    <t xml:space="preserve">Geetika Raghavan</t>
  </si>
  <si>
    <t xml:space="preserve">9527111161</t>
  </si>
  <si>
    <t xml:space="preserve">geetika.raghavan763@outlook.com</t>
  </si>
  <si>
    <t xml:space="preserve">41, Bahl Chowk</t>
  </si>
  <si>
    <t xml:space="preserve">Surat</t>
  </si>
  <si>
    <t xml:space="preserve">528098</t>
  </si>
  <si>
    <t xml:space="preserve">24/02/2026</t>
  </si>
  <si>
    <t xml:space="preserve">CUST00060</t>
  </si>
  <si>
    <t xml:space="preserve">Inaya Kapur</t>
  </si>
  <si>
    <t xml:space="preserve">9049451983</t>
  </si>
  <si>
    <t xml:space="preserve">inaya.kapur159@outlook.com</t>
  </si>
  <si>
    <t xml:space="preserve">00/330, Dua</t>
  </si>
  <si>
    <t xml:space="preserve">Warangal</t>
  </si>
  <si>
    <t xml:space="preserve">731585</t>
  </si>
  <si>
    <t xml:space="preserve">24/08/2023</t>
  </si>
  <si>
    <t xml:space="preserve">CUST00061</t>
  </si>
  <si>
    <t xml:space="preserve">Jonathan Solanki</t>
  </si>
  <si>
    <t xml:space="preserve">9998094024</t>
  </si>
  <si>
    <t xml:space="preserve">jonathan.solanki720@yahoo.com</t>
  </si>
  <si>
    <t xml:space="preserve">37/45, Contractor Street</t>
  </si>
  <si>
    <t xml:space="preserve">550229</t>
  </si>
  <si>
    <t xml:space="preserve">31/03/2025</t>
  </si>
  <si>
    <t xml:space="preserve">CUST00062</t>
  </si>
  <si>
    <t xml:space="preserve">Deepa Chokshi</t>
  </si>
  <si>
    <t xml:space="preserve">9366752545</t>
  </si>
  <si>
    <t xml:space="preserve">deepa.chokshi796@outlook.com</t>
  </si>
  <si>
    <t xml:space="preserve">H.No. 96, Issac Marg</t>
  </si>
  <si>
    <t xml:space="preserve">910229</t>
  </si>
  <si>
    <t xml:space="preserve">12/04/2023</t>
  </si>
  <si>
    <t xml:space="preserve">CUST00063</t>
  </si>
  <si>
    <t xml:space="preserve">Xavier Chaudry</t>
  </si>
  <si>
    <t xml:space="preserve">9643815614</t>
  </si>
  <si>
    <t xml:space="preserve">xavier.chaudry695@outlook.com</t>
  </si>
  <si>
    <t xml:space="preserve">91/905, Sangha Circle</t>
  </si>
  <si>
    <t xml:space="preserve">978403</t>
  </si>
  <si>
    <t xml:space="preserve">20/03/2025</t>
  </si>
  <si>
    <t xml:space="preserve">CUST00064</t>
  </si>
  <si>
    <t xml:space="preserve">Ekapad Toor</t>
  </si>
  <si>
    <t xml:space="preserve">9445107622</t>
  </si>
  <si>
    <t xml:space="preserve">ekapad.toor390@outlook.com</t>
  </si>
  <si>
    <t xml:space="preserve">H.No. 671, Pathak Marg</t>
  </si>
  <si>
    <t xml:space="preserve">388516</t>
  </si>
  <si>
    <t xml:space="preserve">28/03/2023</t>
  </si>
  <si>
    <t xml:space="preserve">CUST00065</t>
  </si>
  <si>
    <t xml:space="preserve">Michael Saran</t>
  </si>
  <si>
    <t xml:space="preserve">9664160529</t>
  </si>
  <si>
    <t xml:space="preserve">michael.saran472@outlook.com</t>
  </si>
  <si>
    <t xml:space="preserve">84/987, Sarin Chowk</t>
  </si>
  <si>
    <t xml:space="preserve">516136</t>
  </si>
  <si>
    <t xml:space="preserve">21/04/2026</t>
  </si>
  <si>
    <t xml:space="preserve">CUST00066</t>
  </si>
  <si>
    <t xml:space="preserve">Ekantika Korpal</t>
  </si>
  <si>
    <t xml:space="preserve">9521818835</t>
  </si>
  <si>
    <t xml:space="preserve">ekantika.korpal360@outlook.com</t>
  </si>
  <si>
    <t xml:space="preserve">H.No. 73, Raghavan Chowk</t>
  </si>
  <si>
    <t xml:space="preserve">231243</t>
  </si>
  <si>
    <t xml:space="preserve">22/12/2023</t>
  </si>
  <si>
    <t xml:space="preserve">CUST00067</t>
  </si>
  <si>
    <t xml:space="preserve">Ayush Talwar</t>
  </si>
  <si>
    <t xml:space="preserve">9779979955</t>
  </si>
  <si>
    <t xml:space="preserve">ayush.talwar155@yahoo.com</t>
  </si>
  <si>
    <t xml:space="preserve">735, Oak Road</t>
  </si>
  <si>
    <t xml:space="preserve">177449</t>
  </si>
  <si>
    <t xml:space="preserve">26/04/2023</t>
  </si>
  <si>
    <t xml:space="preserve">CUST00068</t>
  </si>
  <si>
    <t xml:space="preserve">Anya Anne</t>
  </si>
  <si>
    <t xml:space="preserve">9541199867</t>
  </si>
  <si>
    <t xml:space="preserve">anya.anne595@outlook.com</t>
  </si>
  <si>
    <t xml:space="preserve">H.No. 367, Khosla Circle</t>
  </si>
  <si>
    <t xml:space="preserve">079359</t>
  </si>
  <si>
    <t xml:space="preserve">01/09/2025</t>
  </si>
  <si>
    <t xml:space="preserve">CUST00069</t>
  </si>
  <si>
    <t xml:space="preserve">Vritti Sem</t>
  </si>
  <si>
    <t xml:space="preserve">9518203778</t>
  </si>
  <si>
    <t xml:space="preserve">vritti.sem536@outlook.com</t>
  </si>
  <si>
    <t xml:space="preserve">H.No. 436, Mohan Ganj</t>
  </si>
  <si>
    <t xml:space="preserve">255466</t>
  </si>
  <si>
    <t xml:space="preserve">23/11/2024</t>
  </si>
  <si>
    <t xml:space="preserve">CUST00070</t>
  </si>
  <si>
    <t xml:space="preserve">Urvashi Wali</t>
  </si>
  <si>
    <t xml:space="preserve">9864492519</t>
  </si>
  <si>
    <t xml:space="preserve">urvashi.wali680@gmail.com</t>
  </si>
  <si>
    <t xml:space="preserve">85, Setty Path</t>
  </si>
  <si>
    <t xml:space="preserve">546291</t>
  </si>
  <si>
    <t xml:space="preserve">26/09/2024</t>
  </si>
  <si>
    <t xml:space="preserve">CUST00071</t>
  </si>
  <si>
    <t xml:space="preserve">Damini Krishnamurthy</t>
  </si>
  <si>
    <t xml:space="preserve">9816850542</t>
  </si>
  <si>
    <t xml:space="preserve">damini.krishnamurthy974@gmail.com</t>
  </si>
  <si>
    <t xml:space="preserve">H.No. 351, Goyal Circle</t>
  </si>
  <si>
    <t xml:space="preserve">573322</t>
  </si>
  <si>
    <t xml:space="preserve">08/06/2023</t>
  </si>
  <si>
    <t xml:space="preserve">CUST00072</t>
  </si>
  <si>
    <t xml:space="preserve">Tarak Sule</t>
  </si>
  <si>
    <t xml:space="preserve">9929622292</t>
  </si>
  <si>
    <t xml:space="preserve">tarak.sule739@yahoo.com</t>
  </si>
  <si>
    <t xml:space="preserve">98/941, Minhas Ganj</t>
  </si>
  <si>
    <t xml:space="preserve">Kochi</t>
  </si>
  <si>
    <t xml:space="preserve">065379</t>
  </si>
  <si>
    <t xml:space="preserve">06/08/2024</t>
  </si>
  <si>
    <t xml:space="preserve">CUST00073</t>
  </si>
  <si>
    <t xml:space="preserve">Jalsa Gola</t>
  </si>
  <si>
    <t xml:space="preserve">9735977468</t>
  </si>
  <si>
    <t xml:space="preserve">jalsa.gola541@yahoo.com</t>
  </si>
  <si>
    <t xml:space="preserve">H.No. 824, Bhagat Nagar</t>
  </si>
  <si>
    <t xml:space="preserve">Noida</t>
  </si>
  <si>
    <t xml:space="preserve">239240</t>
  </si>
  <si>
    <t xml:space="preserve">11/09/2025</t>
  </si>
  <si>
    <t xml:space="preserve">CUST00074</t>
  </si>
  <si>
    <t xml:space="preserve">Jonathan Swaminathan</t>
  </si>
  <si>
    <t xml:space="preserve">9247826137</t>
  </si>
  <si>
    <t xml:space="preserve">jonathan.swaminathan906@yahoo.com</t>
  </si>
  <si>
    <t xml:space="preserve">H.No. 947, Sastry Chowk</t>
  </si>
  <si>
    <t xml:space="preserve">060685</t>
  </si>
  <si>
    <t xml:space="preserve">27/04/2024</t>
  </si>
  <si>
    <t xml:space="preserve">CUST00075</t>
  </si>
  <si>
    <t xml:space="preserve">Qarin Behl</t>
  </si>
  <si>
    <t xml:space="preserve">9152204727</t>
  </si>
  <si>
    <t xml:space="preserve">qarin.behl460@outlook.com</t>
  </si>
  <si>
    <t xml:space="preserve">11, Swamy Marg</t>
  </si>
  <si>
    <t xml:space="preserve">010432</t>
  </si>
  <si>
    <t xml:space="preserve">28/01/2026</t>
  </si>
  <si>
    <t xml:space="preserve">CUST00076</t>
  </si>
  <si>
    <t xml:space="preserve">  Chatresh Doshi   </t>
  </si>
  <si>
    <t xml:space="preserve">9103697117</t>
  </si>
  <si>
    <t xml:space="preserve">chatresh.doshi612@outlook.com</t>
  </si>
  <si>
    <t xml:space="preserve">41/31, Saha Circle</t>
  </si>
  <si>
    <t xml:space="preserve">Jamshedpur</t>
  </si>
  <si>
    <t xml:space="preserve">089324</t>
  </si>
  <si>
    <t xml:space="preserve">29/05/2025</t>
  </si>
  <si>
    <t xml:space="preserve">CUST00077</t>
  </si>
  <si>
    <t xml:space="preserve">Lajita Seshadri</t>
  </si>
  <si>
    <t xml:space="preserve">9185188888</t>
  </si>
  <si>
    <t xml:space="preserve">lajita.seshadri21@yahoo.com</t>
  </si>
  <si>
    <t xml:space="preserve">H.No. 96, Bhasin Road</t>
  </si>
  <si>
    <t xml:space="preserve">706540</t>
  </si>
  <si>
    <t xml:space="preserve">01/01/2025</t>
  </si>
  <si>
    <t xml:space="preserve">CUST00078</t>
  </si>
  <si>
    <t xml:space="preserve">Sarthak Kakar</t>
  </si>
  <si>
    <t xml:space="preserve">9520585277</t>
  </si>
  <si>
    <t xml:space="preserve">sarthak.kakar647@gmail.com</t>
  </si>
  <si>
    <t xml:space="preserve">12/328, Dugar Zila</t>
  </si>
  <si>
    <t xml:space="preserve">217043</t>
  </si>
  <si>
    <t xml:space="preserve">31/03/2023</t>
  </si>
  <si>
    <t xml:space="preserve">CUST00079</t>
  </si>
  <si>
    <t xml:space="preserve">Nilima Seshadri</t>
  </si>
  <si>
    <t xml:space="preserve">9874034505</t>
  </si>
  <si>
    <t xml:space="preserve">nilima.seshadri280@gmail.com</t>
  </si>
  <si>
    <t xml:space="preserve">H.No. 03, Mandal Road</t>
  </si>
  <si>
    <t xml:space="preserve">566765</t>
  </si>
  <si>
    <t xml:space="preserve">18/01/2024</t>
  </si>
  <si>
    <t xml:space="preserve">CUST00080</t>
  </si>
  <si>
    <t xml:space="preserve">Ekavir Kaur</t>
  </si>
  <si>
    <t xml:space="preserve">9616928451</t>
  </si>
  <si>
    <t xml:space="preserve">ekavir.kaur82@yahoo.com</t>
  </si>
  <si>
    <t xml:space="preserve">93/618, Dixit Ganj</t>
  </si>
  <si>
    <t xml:space="preserve">447962</t>
  </si>
  <si>
    <t xml:space="preserve">28/06/2025</t>
  </si>
  <si>
    <t xml:space="preserve">CUST00081</t>
  </si>
  <si>
    <t xml:space="preserve">  Lucky Bora   </t>
  </si>
  <si>
    <t xml:space="preserve">9016582029</t>
  </si>
  <si>
    <t xml:space="preserve">lucky.bora695@yahoo.com</t>
  </si>
  <si>
    <t xml:space="preserve">499, Sarna Road</t>
  </si>
  <si>
    <t xml:space="preserve">021355</t>
  </si>
  <si>
    <t xml:space="preserve">23/02/2025</t>
  </si>
  <si>
    <t xml:space="preserve">CUST00082</t>
  </si>
  <si>
    <t xml:space="preserve">Upadhriti Modi</t>
  </si>
  <si>
    <t xml:space="preserve">9192856543</t>
  </si>
  <si>
    <t xml:space="preserve">upadhriti.modi984@gmail.com</t>
  </si>
  <si>
    <t xml:space="preserve">H.No. 88, Sarma Chowk</t>
  </si>
  <si>
    <t xml:space="preserve">027868</t>
  </si>
  <si>
    <t xml:space="preserve">30/08/2023</t>
  </si>
  <si>
    <t xml:space="preserve">CUST00083</t>
  </si>
  <si>
    <t xml:space="preserve">Balveer Sankaran</t>
  </si>
  <si>
    <t xml:space="preserve">9473121727</t>
  </si>
  <si>
    <t xml:space="preserve">balveer.sankaran90@outlook.com</t>
  </si>
  <si>
    <t xml:space="preserve">40/13, Bail</t>
  </si>
  <si>
    <t xml:space="preserve">551884</t>
  </si>
  <si>
    <t xml:space="preserve">06/09/2024</t>
  </si>
  <si>
    <t xml:space="preserve">CUST00084</t>
  </si>
  <si>
    <t xml:space="preserve">Banjeet Gill</t>
  </si>
  <si>
    <t xml:space="preserve">9132370589</t>
  </si>
  <si>
    <t xml:space="preserve">banjeet.gill378@yahoo.com</t>
  </si>
  <si>
    <t xml:space="preserve">74/29, Swamy Marg</t>
  </si>
  <si>
    <t xml:space="preserve">Pune</t>
  </si>
  <si>
    <t xml:space="preserve">829114</t>
  </si>
  <si>
    <t xml:space="preserve">26/03/2025</t>
  </si>
  <si>
    <t xml:space="preserve">CUST00085</t>
  </si>
  <si>
    <t xml:space="preserve">Upma Pall</t>
  </si>
  <si>
    <t xml:space="preserve">9125177852</t>
  </si>
  <si>
    <t xml:space="preserve">upma.pall900@outlook.com</t>
  </si>
  <si>
    <t xml:space="preserve">H.No. 51, Narayan Street</t>
  </si>
  <si>
    <t xml:space="preserve">922680</t>
  </si>
  <si>
    <t xml:space="preserve">12/09/2023</t>
  </si>
  <si>
    <t xml:space="preserve">CUST00086</t>
  </si>
  <si>
    <t xml:space="preserve">Warhi Mani</t>
  </si>
  <si>
    <t xml:space="preserve">9358414384</t>
  </si>
  <si>
    <t xml:space="preserve">warhi.mani129@outlook.com</t>
  </si>
  <si>
    <t xml:space="preserve">07/15, Naik Road</t>
  </si>
  <si>
    <t xml:space="preserve">498182</t>
  </si>
  <si>
    <t xml:space="preserve">27/04/2026</t>
  </si>
  <si>
    <t xml:space="preserve">CUST00087</t>
  </si>
  <si>
    <t xml:space="preserve">Netra Varkey</t>
  </si>
  <si>
    <t xml:space="preserve">9010943969</t>
  </si>
  <si>
    <t xml:space="preserve">netra.varkey655@gmail.com</t>
  </si>
  <si>
    <t xml:space="preserve">87/603, Pathak Circle</t>
  </si>
  <si>
    <t xml:space="preserve">784473</t>
  </si>
  <si>
    <t xml:space="preserve">11/04/2025</t>
  </si>
  <si>
    <t xml:space="preserve">CUST00088</t>
  </si>
  <si>
    <t xml:space="preserve">Riya Behl</t>
  </si>
  <si>
    <t xml:space="preserve">9773592555</t>
  </si>
  <si>
    <t xml:space="preserve">riya.behl999@yahoo.com</t>
  </si>
  <si>
    <t xml:space="preserve">H.No. 82, Sarma Road</t>
  </si>
  <si>
    <t xml:space="preserve">258815</t>
  </si>
  <si>
    <t xml:space="preserve">10/05/2024</t>
  </si>
  <si>
    <t xml:space="preserve">CUST00089</t>
  </si>
  <si>
    <t xml:space="preserve">Jairaj Balakrishnan</t>
  </si>
  <si>
    <t xml:space="preserve">9469632595</t>
  </si>
  <si>
    <t xml:space="preserve">jairaj.balakrishnan195@gmail.com</t>
  </si>
  <si>
    <t xml:space="preserve">24/808, Chander Marg</t>
  </si>
  <si>
    <t xml:space="preserve">787747</t>
  </si>
  <si>
    <t xml:space="preserve">17/02/2023</t>
  </si>
  <si>
    <t xml:space="preserve">CUST00090</t>
  </si>
  <si>
    <t xml:space="preserve">Ishaan Shenoy</t>
  </si>
  <si>
    <t xml:space="preserve">9500479748</t>
  </si>
  <si>
    <t xml:space="preserve">ishaan.shenoy9@gmail.com</t>
  </si>
  <si>
    <t xml:space="preserve">27/484, Subramanian Marg</t>
  </si>
  <si>
    <t xml:space="preserve">624565</t>
  </si>
  <si>
    <t xml:space="preserve">03/04/2023</t>
  </si>
  <si>
    <t xml:space="preserve">CUST00091</t>
  </si>
  <si>
    <t xml:space="preserve">Yagnesh Shan</t>
  </si>
  <si>
    <t xml:space="preserve">9168784991</t>
  </si>
  <si>
    <t xml:space="preserve">yagnesh.shan132@gmail.com</t>
  </si>
  <si>
    <t xml:space="preserve">39, Deshpande Circle</t>
  </si>
  <si>
    <t xml:space="preserve">Dwarka</t>
  </si>
  <si>
    <t xml:space="preserve">655852</t>
  </si>
  <si>
    <t xml:space="preserve">CUST00092</t>
  </si>
  <si>
    <t xml:space="preserve">Anya Sachdeva</t>
  </si>
  <si>
    <t xml:space="preserve">9578729825</t>
  </si>
  <si>
    <t xml:space="preserve">anya.sachdeva954@outlook.com</t>
  </si>
  <si>
    <t xml:space="preserve">40/44, Suri</t>
  </si>
  <si>
    <t xml:space="preserve">526949</t>
  </si>
  <si>
    <t xml:space="preserve">19/11/2024</t>
  </si>
  <si>
    <t xml:space="preserve">CUST00093</t>
  </si>
  <si>
    <t xml:space="preserve">Sanya Yohannan</t>
  </si>
  <si>
    <t xml:space="preserve">9055169409</t>
  </si>
  <si>
    <t xml:space="preserve">sanya.yohannan486@yahoo.com</t>
  </si>
  <si>
    <t xml:space="preserve">H.No. 58, Purohit Circle</t>
  </si>
  <si>
    <t xml:space="preserve">993097</t>
  </si>
  <si>
    <t xml:space="preserve">16/12/2023</t>
  </si>
  <si>
    <t xml:space="preserve">CUST00094</t>
  </si>
  <si>
    <t xml:space="preserve">Ekanta Gulati</t>
  </si>
  <si>
    <t xml:space="preserve">9309130756</t>
  </si>
  <si>
    <t xml:space="preserve">ekanta.gulati156@yahoo.com</t>
  </si>
  <si>
    <t xml:space="preserve">63/60, Solanki Path</t>
  </si>
  <si>
    <t xml:space="preserve">368970</t>
  </si>
  <si>
    <t xml:space="preserve">10/10/2023</t>
  </si>
  <si>
    <t xml:space="preserve">CUST00095</t>
  </si>
  <si>
    <t xml:space="preserve">Libni Doshi</t>
  </si>
  <si>
    <t xml:space="preserve">9278585497</t>
  </si>
  <si>
    <t xml:space="preserve">libni.doshi197@gmail.com</t>
  </si>
  <si>
    <t xml:space="preserve">H.No. 289, Chaudhry Path</t>
  </si>
  <si>
    <t xml:space="preserve">484344</t>
  </si>
  <si>
    <t xml:space="preserve">29/02/2024</t>
  </si>
  <si>
    <t xml:space="preserve">CUST00096</t>
  </si>
  <si>
    <t xml:space="preserve">Harish Vora</t>
  </si>
  <si>
    <t xml:space="preserve">9441986652</t>
  </si>
  <si>
    <t xml:space="preserve">harish.vora298@gmail.com</t>
  </si>
  <si>
    <t xml:space="preserve">H.No. 262, Singh Zila</t>
  </si>
  <si>
    <t xml:space="preserve">415747</t>
  </si>
  <si>
    <t xml:space="preserve">14/03/2024</t>
  </si>
  <si>
    <t xml:space="preserve">CUST00097</t>
  </si>
  <si>
    <t xml:space="preserve">Hamsini Rao</t>
  </si>
  <si>
    <t xml:space="preserve">9993308330</t>
  </si>
  <si>
    <t xml:space="preserve">hamsini.rao103@yahoo.com</t>
  </si>
  <si>
    <t xml:space="preserve">H.No. 86, Sura Path</t>
  </si>
  <si>
    <t xml:space="preserve">5824</t>
  </si>
  <si>
    <t xml:space="preserve">20/11/2023</t>
  </si>
  <si>
    <t xml:space="preserve">CUST00098</t>
  </si>
  <si>
    <t xml:space="preserve">Ekapad Keer</t>
  </si>
  <si>
    <t xml:space="preserve">9454019380</t>
  </si>
  <si>
    <t xml:space="preserve">ekapad.keer936@gmail.com</t>
  </si>
  <si>
    <t xml:space="preserve">161, Sawhney Zila</t>
  </si>
  <si>
    <t xml:space="preserve">Ludhiana</t>
  </si>
  <si>
    <t xml:space="preserve">620672</t>
  </si>
  <si>
    <t xml:space="preserve">15/08/2024</t>
  </si>
  <si>
    <t xml:space="preserve">CUST00099</t>
  </si>
  <si>
    <t xml:space="preserve">9547887287</t>
  </si>
  <si>
    <t xml:space="preserve">chandani.balakrishnan280@gmail.com</t>
  </si>
  <si>
    <t xml:space="preserve">H.No. 04, Prasad Path</t>
  </si>
  <si>
    <t xml:space="preserve">Gurugram</t>
  </si>
  <si>
    <t xml:space="preserve">152742</t>
  </si>
  <si>
    <t xml:space="preserve">29/01/2023</t>
  </si>
  <si>
    <t xml:space="preserve">CUST00100</t>
  </si>
  <si>
    <t xml:space="preserve">Madhav Konda</t>
  </si>
  <si>
    <t xml:space="preserve">9668516122</t>
  </si>
  <si>
    <t xml:space="preserve">madhav.konda489@yahoo.com</t>
  </si>
  <si>
    <t xml:space="preserve">22/21, Raja</t>
  </si>
  <si>
    <t xml:space="preserve">304637</t>
  </si>
  <si>
    <t xml:space="preserve">30/06/2024</t>
  </si>
  <si>
    <t xml:space="preserve">CUST00101</t>
  </si>
  <si>
    <t xml:space="preserve">Widisha Dhar</t>
  </si>
  <si>
    <t xml:space="preserve">9530174268</t>
  </si>
  <si>
    <t xml:space="preserve">widisha.dhar946@outlook.com</t>
  </si>
  <si>
    <t xml:space="preserve">47, Andra Road</t>
  </si>
  <si>
    <t xml:space="preserve">414593</t>
  </si>
  <si>
    <t xml:space="preserve">24/03/2024</t>
  </si>
  <si>
    <t xml:space="preserve">CUST00102</t>
  </si>
  <si>
    <t xml:space="preserve">Bhavna Dugar</t>
  </si>
  <si>
    <t xml:space="preserve">9783391878</t>
  </si>
  <si>
    <t xml:space="preserve">bhavna.dugar721@yahoo.com</t>
  </si>
  <si>
    <t xml:space="preserve">59, Samra Road</t>
  </si>
  <si>
    <t xml:space="preserve">odisha</t>
  </si>
  <si>
    <t xml:space="preserve">191088</t>
  </si>
  <si>
    <t xml:space="preserve">19/02/2024</t>
  </si>
  <si>
    <t xml:space="preserve">CUST00103</t>
  </si>
  <si>
    <t xml:space="preserve">Tanmayi Mittal</t>
  </si>
  <si>
    <t xml:space="preserve">9397187072</t>
  </si>
  <si>
    <t xml:space="preserve">tanmayi.mittal526@yahoo.com</t>
  </si>
  <si>
    <t xml:space="preserve">71, Raj Ganj</t>
  </si>
  <si>
    <t xml:space="preserve">790874</t>
  </si>
  <si>
    <t xml:space="preserve">14/02/2023</t>
  </si>
  <si>
    <t xml:space="preserve">CUST00104</t>
  </si>
  <si>
    <t xml:space="preserve">Chakrika Merchant</t>
  </si>
  <si>
    <t xml:space="preserve">9651801704</t>
  </si>
  <si>
    <t xml:space="preserve">chakrika.merchant419@gmail.com</t>
  </si>
  <si>
    <t xml:space="preserve">64/090, Taneja</t>
  </si>
  <si>
    <t xml:space="preserve">Rohini</t>
  </si>
  <si>
    <t xml:space="preserve">265676</t>
  </si>
  <si>
    <t xml:space="preserve">08/02/2025</t>
  </si>
  <si>
    <t xml:space="preserve">CUST00105</t>
  </si>
  <si>
    <t xml:space="preserve">Victor Pandey</t>
  </si>
  <si>
    <t xml:space="preserve">9512868230</t>
  </si>
  <si>
    <t xml:space="preserve">victor.pandey775@gmail.com</t>
  </si>
  <si>
    <t xml:space="preserve">39/421, More Nagar</t>
  </si>
  <si>
    <t xml:space="preserve">478686</t>
  </si>
  <si>
    <t xml:space="preserve">15/04/2024</t>
  </si>
  <si>
    <t xml:space="preserve">CUST00106</t>
  </si>
  <si>
    <t xml:space="preserve">Bahadurjit Patla</t>
  </si>
  <si>
    <t xml:space="preserve">9106903311</t>
  </si>
  <si>
    <t xml:space="preserve">bahadurjit.patla609@gmail.com</t>
  </si>
  <si>
    <t xml:space="preserve">H.No. 456, Iyer Street</t>
  </si>
  <si>
    <t xml:space="preserve">Bhopal</t>
  </si>
  <si>
    <t xml:space="preserve">790306</t>
  </si>
  <si>
    <t xml:space="preserve">17/06/2025</t>
  </si>
  <si>
    <t xml:space="preserve">CUST00107</t>
  </si>
  <si>
    <t xml:space="preserve">Jasmit Wali</t>
  </si>
  <si>
    <t xml:space="preserve">9395995342</t>
  </si>
  <si>
    <t xml:space="preserve">jasmit.wali677@outlook.com</t>
  </si>
  <si>
    <t xml:space="preserve">474, Contractor Path</t>
  </si>
  <si>
    <t xml:space="preserve">364408</t>
  </si>
  <si>
    <t xml:space="preserve">26/04/2026</t>
  </si>
  <si>
    <t xml:space="preserve">CUST00108</t>
  </si>
  <si>
    <t xml:space="preserve">Faqid Dhaliwal</t>
  </si>
  <si>
    <t xml:space="preserve">9568566246</t>
  </si>
  <si>
    <t xml:space="preserve">faqid.dhaliwal189@outlook.com</t>
  </si>
  <si>
    <t xml:space="preserve">68/516, Lalla Nagar</t>
  </si>
  <si>
    <t xml:space="preserve">733427</t>
  </si>
  <si>
    <t xml:space="preserve">29/04/2023</t>
  </si>
  <si>
    <t xml:space="preserve">CUST00109</t>
  </si>
  <si>
    <t xml:space="preserve">  Suhani Pillay   </t>
  </si>
  <si>
    <t xml:space="preserve">9435175183</t>
  </si>
  <si>
    <t xml:space="preserve">suhani.pillay53@yahoo.com</t>
  </si>
  <si>
    <t xml:space="preserve">65/13, Bakshi Chowk</t>
  </si>
  <si>
    <t xml:space="preserve">699013</t>
  </si>
  <si>
    <t xml:space="preserve">18/04/2026</t>
  </si>
  <si>
    <t xml:space="preserve">CUST00110</t>
  </si>
  <si>
    <t xml:space="preserve">Timothy Bhatnagar</t>
  </si>
  <si>
    <t xml:space="preserve">9540331739</t>
  </si>
  <si>
    <t xml:space="preserve">timothy.bhatnagar721@gmail.com</t>
  </si>
  <si>
    <t xml:space="preserve">46/120, Modi Nagar</t>
  </si>
  <si>
    <t xml:space="preserve">638546</t>
  </si>
  <si>
    <t xml:space="preserve">CUST00111</t>
  </si>
  <si>
    <t xml:space="preserve">Jack Chatterjee</t>
  </si>
  <si>
    <t xml:space="preserve">9771753556</t>
  </si>
  <si>
    <t xml:space="preserve">jack.chatterjee47@outlook.com</t>
  </si>
  <si>
    <t xml:space="preserve">26/75, Saini Circle</t>
  </si>
  <si>
    <t xml:space="preserve">320489</t>
  </si>
  <si>
    <t xml:space="preserve">01/04/2026</t>
  </si>
  <si>
    <t xml:space="preserve">CUST00112</t>
  </si>
  <si>
    <t xml:space="preserve">Oeshi Chaudhary</t>
  </si>
  <si>
    <t xml:space="preserve">9937854777</t>
  </si>
  <si>
    <t xml:space="preserve">oeshi.chaudhary173@outlook.com</t>
  </si>
  <si>
    <t xml:space="preserve">64/05, Sawhney Ganj</t>
  </si>
  <si>
    <t xml:space="preserve">522872</t>
  </si>
  <si>
    <t xml:space="preserve">15/01/2026</t>
  </si>
  <si>
    <t xml:space="preserve">CUST00113</t>
  </si>
  <si>
    <t xml:space="preserve">Warinder Patil</t>
  </si>
  <si>
    <t xml:space="preserve">9006231203</t>
  </si>
  <si>
    <t xml:space="preserve">warinder.patil518@yahoo.com</t>
  </si>
  <si>
    <t xml:space="preserve">58/506, Gupta Road</t>
  </si>
  <si>
    <t xml:space="preserve">509977</t>
  </si>
  <si>
    <t xml:space="preserve">02/02/2023</t>
  </si>
  <si>
    <t xml:space="preserve">CUST00114</t>
  </si>
  <si>
    <t xml:space="preserve">Suhani Chand</t>
  </si>
  <si>
    <t xml:space="preserve">9484086211</t>
  </si>
  <si>
    <t xml:space="preserve">suhani.chand537@gmail.com</t>
  </si>
  <si>
    <t xml:space="preserve">90/053, Jha Street</t>
  </si>
  <si>
    <t xml:space="preserve">339845</t>
  </si>
  <si>
    <t xml:space="preserve">01/07/2024</t>
  </si>
  <si>
    <t xml:space="preserve">CUST00115</t>
  </si>
  <si>
    <t xml:space="preserve">Sarthak Kalita</t>
  </si>
  <si>
    <t xml:space="preserve">9341016668</t>
  </si>
  <si>
    <t xml:space="preserve">sarthak.kalita488@gmail.com</t>
  </si>
  <si>
    <t xml:space="preserve">H.No. 29, Malhotra Nagar</t>
  </si>
  <si>
    <t xml:space="preserve">021765</t>
  </si>
  <si>
    <t xml:space="preserve">04/03/2026</t>
  </si>
  <si>
    <t xml:space="preserve">CUST00116</t>
  </si>
  <si>
    <t xml:space="preserve">Kalpit Zachariah</t>
  </si>
  <si>
    <t xml:space="preserve">9974014890</t>
  </si>
  <si>
    <t xml:space="preserve">kalpit.zachariah184@yahoo.com</t>
  </si>
  <si>
    <t xml:space="preserve">102, Parmar Nagar</t>
  </si>
  <si>
    <t xml:space="preserve">039261</t>
  </si>
  <si>
    <t xml:space="preserve">CUST00117</t>
  </si>
  <si>
    <t xml:space="preserve">Ekiya Babu</t>
  </si>
  <si>
    <t xml:space="preserve">9218501631</t>
  </si>
  <si>
    <t xml:space="preserve">ekiya.babu349@outlook.com</t>
  </si>
  <si>
    <t xml:space="preserve">H.No. 02, Vora Marg</t>
  </si>
  <si>
    <t xml:space="preserve">996504</t>
  </si>
  <si>
    <t xml:space="preserve">11/07/2025</t>
  </si>
  <si>
    <t xml:space="preserve">CUST00118</t>
  </si>
  <si>
    <t xml:space="preserve">Devansh Soni</t>
  </si>
  <si>
    <t xml:space="preserve">9961943114</t>
  </si>
  <si>
    <t xml:space="preserve">devansh.soni158@yahoo.com</t>
  </si>
  <si>
    <t xml:space="preserve">H.No. 89, Seth Zila</t>
  </si>
  <si>
    <t xml:space="preserve">265511</t>
  </si>
  <si>
    <t xml:space="preserve">11/01/2023</t>
  </si>
  <si>
    <t xml:space="preserve">CUST00119</t>
  </si>
  <si>
    <t xml:space="preserve">Caleb Verma</t>
  </si>
  <si>
    <t xml:space="preserve">9678886101</t>
  </si>
  <si>
    <t xml:space="preserve">calebgmail.com</t>
  </si>
  <si>
    <t xml:space="preserve">00, Ratti Chowk</t>
  </si>
  <si>
    <t xml:space="preserve">199560</t>
  </si>
  <si>
    <t xml:space="preserve">20/08/2024</t>
  </si>
  <si>
    <t xml:space="preserve">CUST00120</t>
  </si>
  <si>
    <t xml:space="preserve">Hritik Swaminathan</t>
  </si>
  <si>
    <t xml:space="preserve">9262244472</t>
  </si>
  <si>
    <t xml:space="preserve">hritik.swaminathan65@gmail.com</t>
  </si>
  <si>
    <t xml:space="preserve">H.No. 159, Bhatti Street</t>
  </si>
  <si>
    <t xml:space="preserve">646471</t>
  </si>
  <si>
    <t xml:space="preserve">09/01/2025</t>
  </si>
  <si>
    <t xml:space="preserve">CUST00121</t>
  </si>
  <si>
    <t xml:space="preserve">Anvi Nair</t>
  </si>
  <si>
    <t xml:space="preserve">9240659657</t>
  </si>
  <si>
    <t xml:space="preserve">anvi.nair343@yahoo.com</t>
  </si>
  <si>
    <t xml:space="preserve">84/78, Sani</t>
  </si>
  <si>
    <t xml:space="preserve">924593</t>
  </si>
  <si>
    <t xml:space="preserve">08/09/2025</t>
  </si>
  <si>
    <t xml:space="preserve">CUST00122</t>
  </si>
  <si>
    <t xml:space="preserve">Ishwar Kale</t>
  </si>
  <si>
    <t xml:space="preserve">9793564651</t>
  </si>
  <si>
    <t xml:space="preserve">ishwar.kale955@outlook.com</t>
  </si>
  <si>
    <t xml:space="preserve">36, Setty Path</t>
  </si>
  <si>
    <t xml:space="preserve">398280</t>
  </si>
  <si>
    <t xml:space="preserve">03/08/2025</t>
  </si>
  <si>
    <t xml:space="preserve">CUST00123</t>
  </si>
  <si>
    <t xml:space="preserve">Ojasvi Chandran</t>
  </si>
  <si>
    <t xml:space="preserve">9243426617</t>
  </si>
  <si>
    <t xml:space="preserve">ojasvi.chandran613@yahoo.com</t>
  </si>
  <si>
    <t xml:space="preserve">54, Dua Path</t>
  </si>
  <si>
    <t xml:space="preserve">968868</t>
  </si>
  <si>
    <t xml:space="preserve">17/03/2023</t>
  </si>
  <si>
    <t xml:space="preserve">CUST00124</t>
  </si>
  <si>
    <t xml:space="preserve">Ekalinga Chand</t>
  </si>
  <si>
    <t xml:space="preserve">9352909656</t>
  </si>
  <si>
    <t xml:space="preserve">ekalinga.chand109@gmail.com</t>
  </si>
  <si>
    <t xml:space="preserve">H.No. 615, Bhasin Street</t>
  </si>
  <si>
    <t xml:space="preserve">143888</t>
  </si>
  <si>
    <t xml:space="preserve">03/04/2026</t>
  </si>
  <si>
    <t xml:space="preserve">CUST00125</t>
  </si>
  <si>
    <t xml:space="preserve">Jason Roy</t>
  </si>
  <si>
    <t xml:space="preserve">9982507146</t>
  </si>
  <si>
    <t xml:space="preserve">jason.roy943@gmail.com</t>
  </si>
  <si>
    <t xml:space="preserve">60/494, Chawla Path</t>
  </si>
  <si>
    <t xml:space="preserve">125457</t>
  </si>
  <si>
    <t xml:space="preserve">28/02/2024</t>
  </si>
  <si>
    <t xml:space="preserve">CUST00126</t>
  </si>
  <si>
    <t xml:space="preserve">Mohammed Subramaniam</t>
  </si>
  <si>
    <t xml:space="preserve">9751401051</t>
  </si>
  <si>
    <t xml:space="preserve">mohammed.subramaniam694@gmail.com</t>
  </si>
  <si>
    <t xml:space="preserve">H.No. 585, Mallick Zila</t>
  </si>
  <si>
    <t xml:space="preserve">382825</t>
  </si>
  <si>
    <t xml:space="preserve">20/02/2026</t>
  </si>
  <si>
    <t xml:space="preserve">CUST00127</t>
  </si>
  <si>
    <t xml:space="preserve">Pushti Bal</t>
  </si>
  <si>
    <t xml:space="preserve">9660937966</t>
  </si>
  <si>
    <t xml:space="preserve">pushti.bal5@outlook.com</t>
  </si>
  <si>
    <t xml:space="preserve">H.No. 244, Panchal Path</t>
  </si>
  <si>
    <t xml:space="preserve">334191</t>
  </si>
  <si>
    <t xml:space="preserve">04/01/2026</t>
  </si>
  <si>
    <t xml:space="preserve">CUST00128</t>
  </si>
  <si>
    <t xml:space="preserve">Pratyush Dhar</t>
  </si>
  <si>
    <t xml:space="preserve">9785969691</t>
  </si>
  <si>
    <t xml:space="preserve">pratyush.dhar357@yahoo.com</t>
  </si>
  <si>
    <t xml:space="preserve">H.No. 201, Kale Circle</t>
  </si>
  <si>
    <t xml:space="preserve">792499</t>
  </si>
  <si>
    <t xml:space="preserve">23/06/2023</t>
  </si>
  <si>
    <t xml:space="preserve">CUST00129</t>
  </si>
  <si>
    <t xml:space="preserve">Oni Setty</t>
  </si>
  <si>
    <t xml:space="preserve">9528669296</t>
  </si>
  <si>
    <t xml:space="preserve">oni.setty434@gmail.com</t>
  </si>
  <si>
    <t xml:space="preserve">545, Chad</t>
  </si>
  <si>
    <t xml:space="preserve">782827</t>
  </si>
  <si>
    <t xml:space="preserve">CUST00130</t>
  </si>
  <si>
    <t xml:space="preserve">Nachiket Dugar</t>
  </si>
  <si>
    <t xml:space="preserve">9723688767</t>
  </si>
  <si>
    <t xml:space="preserve">nachiket.dugar426@outlook.com</t>
  </si>
  <si>
    <t xml:space="preserve">14/767, Sathe</t>
  </si>
  <si>
    <t xml:space="preserve">Durgapur</t>
  </si>
  <si>
    <t xml:space="preserve">772190</t>
  </si>
  <si>
    <t xml:space="preserve">27/03/2024</t>
  </si>
  <si>
    <t xml:space="preserve">CUST00131</t>
  </si>
  <si>
    <t xml:space="preserve">Anjali Kale</t>
  </si>
  <si>
    <t xml:space="preserve">9797881914</t>
  </si>
  <si>
    <t xml:space="preserve">anjali.kale794@outlook.com</t>
  </si>
  <si>
    <t xml:space="preserve">H.No. 61, Sur Road</t>
  </si>
  <si>
    <t xml:space="preserve">580783</t>
  </si>
  <si>
    <t xml:space="preserve">20/05/2025</t>
  </si>
  <si>
    <t xml:space="preserve">CUST00132</t>
  </si>
  <si>
    <t xml:space="preserve">Chakradev Kannan</t>
  </si>
  <si>
    <t xml:space="preserve">9074517133</t>
  </si>
  <si>
    <t xml:space="preserve">chakradev.kannan831@outlook.com</t>
  </si>
  <si>
    <t xml:space="preserve">00/34, Devan Ganj</t>
  </si>
  <si>
    <t xml:space="preserve">959629</t>
  </si>
  <si>
    <t xml:space="preserve">13/10/2023</t>
  </si>
  <si>
    <t xml:space="preserve">CUST00133</t>
  </si>
  <si>
    <t xml:space="preserve">Bimala Narang</t>
  </si>
  <si>
    <t xml:space="preserve">9982544948</t>
  </si>
  <si>
    <t xml:space="preserve">bimala.narang922@outlook.com</t>
  </si>
  <si>
    <t xml:space="preserve">H.No. 762, Rai Street</t>
  </si>
  <si>
    <t xml:space="preserve">126042</t>
  </si>
  <si>
    <t xml:space="preserve">29/09/2023</t>
  </si>
  <si>
    <t xml:space="preserve">CUST00134</t>
  </si>
  <si>
    <t xml:space="preserve">Xiti Pandya</t>
  </si>
  <si>
    <t xml:space="preserve">9294667116</t>
  </si>
  <si>
    <t xml:space="preserve">xiti.pandya528@outlook.com</t>
  </si>
  <si>
    <t xml:space="preserve">06, Sharaf Nagar</t>
  </si>
  <si>
    <t xml:space="preserve">457759</t>
  </si>
  <si>
    <t xml:space="preserve">06/01/2023</t>
  </si>
  <si>
    <t xml:space="preserve">CUST00135</t>
  </si>
  <si>
    <t xml:space="preserve">Dhriti Sanghvi</t>
  </si>
  <si>
    <t xml:space="preserve">9518636374</t>
  </si>
  <si>
    <t xml:space="preserve">dhriti.sanghvi331@yahoo.com</t>
  </si>
  <si>
    <t xml:space="preserve">64/160, Garg Path</t>
  </si>
  <si>
    <t xml:space="preserve">589297</t>
  </si>
  <si>
    <t xml:space="preserve">04/12/2024</t>
  </si>
  <si>
    <t xml:space="preserve">CUST00136</t>
  </si>
  <si>
    <t xml:space="preserve">Janaki Chakrabarti</t>
  </si>
  <si>
    <t xml:space="preserve">9701277063</t>
  </si>
  <si>
    <t xml:space="preserve">janaki.chakrabarti706@gmail.com</t>
  </si>
  <si>
    <t xml:space="preserve">H.No. 369, Viswanathan Marg</t>
  </si>
  <si>
    <t xml:space="preserve">424154</t>
  </si>
  <si>
    <t xml:space="preserve">18/06/2023</t>
  </si>
  <si>
    <t xml:space="preserve">CUST00137</t>
  </si>
  <si>
    <t xml:space="preserve">Meghana Mukherjee</t>
  </si>
  <si>
    <t xml:space="preserve">9436110371</t>
  </si>
  <si>
    <t xml:space="preserve">meghana.mukherjee136@outlook.com</t>
  </si>
  <si>
    <t xml:space="preserve">521, Comar Circle</t>
  </si>
  <si>
    <t xml:space="preserve">Mumbai</t>
  </si>
  <si>
    <t xml:space="preserve">387005</t>
  </si>
  <si>
    <t xml:space="preserve">04/09/2023</t>
  </si>
  <si>
    <t xml:space="preserve">CUST00138</t>
  </si>
  <si>
    <t xml:space="preserve">Ikshita Panchal</t>
  </si>
  <si>
    <t xml:space="preserve">9111554262</t>
  </si>
  <si>
    <t xml:space="preserve">ikshita.panchal657@outlook.com</t>
  </si>
  <si>
    <t xml:space="preserve">124, Ghose Ganj</t>
  </si>
  <si>
    <t xml:space="preserve">218909</t>
  </si>
  <si>
    <t xml:space="preserve">03/12/2023</t>
  </si>
  <si>
    <t xml:space="preserve">CUST00139</t>
  </si>
  <si>
    <t xml:space="preserve">Faqid Goel</t>
  </si>
  <si>
    <t xml:space="preserve">9731121965</t>
  </si>
  <si>
    <t xml:space="preserve">faqid.goel987@yahoo.com</t>
  </si>
  <si>
    <t xml:space="preserve">99, Naidu Chowk</t>
  </si>
  <si>
    <t xml:space="preserve">523413</t>
  </si>
  <si>
    <t xml:space="preserve">07/02/2026</t>
  </si>
  <si>
    <t xml:space="preserve">CUST00140</t>
  </si>
  <si>
    <t xml:space="preserve">Matthew Sarraf</t>
  </si>
  <si>
    <t xml:space="preserve">9438983640</t>
  </si>
  <si>
    <t xml:space="preserve">matthew.sarraf803@gmail.com</t>
  </si>
  <si>
    <t xml:space="preserve">74, Bhalla Road</t>
  </si>
  <si>
    <t xml:space="preserve">761379</t>
  </si>
  <si>
    <t xml:space="preserve">26/05/2023</t>
  </si>
  <si>
    <t xml:space="preserve">CUST00141</t>
  </si>
  <si>
    <t xml:space="preserve">Yashica Borah</t>
  </si>
  <si>
    <t xml:space="preserve">9965827109</t>
  </si>
  <si>
    <t xml:space="preserve">yashica.borah70@gmail.com</t>
  </si>
  <si>
    <t xml:space="preserve">70, Pillay Nagar</t>
  </si>
  <si>
    <t xml:space="preserve">430068</t>
  </si>
  <si>
    <t xml:space="preserve">09/08/2024</t>
  </si>
  <si>
    <t xml:space="preserve">CUST00142</t>
  </si>
  <si>
    <t xml:space="preserve">Faraj Chana</t>
  </si>
  <si>
    <t xml:space="preserve">9889241418</t>
  </si>
  <si>
    <t xml:space="preserve">faraj.chana944@gmail.com</t>
  </si>
  <si>
    <t xml:space="preserve">98, Sengupta Nagar</t>
  </si>
  <si>
    <t xml:space="preserve">285691</t>
  </si>
  <si>
    <t xml:space="preserve">27/09/2024</t>
  </si>
  <si>
    <t xml:space="preserve">CUST00143</t>
  </si>
  <si>
    <t xml:space="preserve">Ekanta Soni</t>
  </si>
  <si>
    <t xml:space="preserve">9617990421</t>
  </si>
  <si>
    <t xml:space="preserve">ekanta.soni13@outlook.com</t>
  </si>
  <si>
    <t xml:space="preserve">H.No. 715, Thaman Zila</t>
  </si>
  <si>
    <t xml:space="preserve">202758</t>
  </si>
  <si>
    <t xml:space="preserve">25/11/2025</t>
  </si>
  <si>
    <t xml:space="preserve">CUST00144</t>
  </si>
  <si>
    <t xml:space="preserve">Balveer Kota</t>
  </si>
  <si>
    <t xml:space="preserve">9410564814</t>
  </si>
  <si>
    <t xml:space="preserve">balveer.kota730@outlook.com</t>
  </si>
  <si>
    <t xml:space="preserve">88, Dutt</t>
  </si>
  <si>
    <t xml:space="preserve">177850</t>
  </si>
  <si>
    <t xml:space="preserve">20/10/2025</t>
  </si>
  <si>
    <t xml:space="preserve">CUST00145</t>
  </si>
  <si>
    <t xml:space="preserve">Kashish Mandal</t>
  </si>
  <si>
    <t xml:space="preserve">9913800030</t>
  </si>
  <si>
    <t xml:space="preserve">kashish.mandal484@yahoo.com</t>
  </si>
  <si>
    <t xml:space="preserve">59, Natt Nagar</t>
  </si>
  <si>
    <t xml:space="preserve">622086</t>
  </si>
  <si>
    <t xml:space="preserve">04/04/2024</t>
  </si>
  <si>
    <t xml:space="preserve">CUST00146</t>
  </si>
  <si>
    <t xml:space="preserve">Forum Chandra</t>
  </si>
  <si>
    <t xml:space="preserve">9951802380</t>
  </si>
  <si>
    <t xml:space="preserve">forum.chandra977@yahoo.com</t>
  </si>
  <si>
    <t xml:space="preserve">H.No. 49, Nath Street</t>
  </si>
  <si>
    <t xml:space="preserve">174451</t>
  </si>
  <si>
    <t xml:space="preserve">06/02/2026</t>
  </si>
  <si>
    <t xml:space="preserve">CUST00147</t>
  </si>
  <si>
    <t xml:space="preserve">Lohit Palla</t>
  </si>
  <si>
    <t xml:space="preserve">9937597383</t>
  </si>
  <si>
    <t xml:space="preserve">lohit.palla155@gmail.com</t>
  </si>
  <si>
    <t xml:space="preserve">62/914, Puri Circle</t>
  </si>
  <si>
    <t xml:space="preserve">603850</t>
  </si>
  <si>
    <t xml:space="preserve">17/11/2024</t>
  </si>
  <si>
    <t xml:space="preserve">CUST00148</t>
  </si>
  <si>
    <t xml:space="preserve">Joshua Vyas</t>
  </si>
  <si>
    <t xml:space="preserve">9367024103</t>
  </si>
  <si>
    <t xml:space="preserve">joshua.vyas919@outlook.com</t>
  </si>
  <si>
    <t xml:space="preserve">68/505, Gole Road</t>
  </si>
  <si>
    <t xml:space="preserve">657191</t>
  </si>
  <si>
    <t xml:space="preserve">01/11/2025</t>
  </si>
  <si>
    <t xml:space="preserve">CUST00149</t>
  </si>
  <si>
    <t xml:space="preserve">Harita Sunder</t>
  </si>
  <si>
    <t xml:space="preserve">9623445655</t>
  </si>
  <si>
    <t xml:space="preserve">harita.sunder464@yahoo.com</t>
  </si>
  <si>
    <t xml:space="preserve">221, Chaudhuri Road</t>
  </si>
  <si>
    <t xml:space="preserve">313291</t>
  </si>
  <si>
    <t xml:space="preserve">15/11/2023</t>
  </si>
  <si>
    <t xml:space="preserve">CUST00150</t>
  </si>
  <si>
    <t xml:space="preserve">Gayathri Deep</t>
  </si>
  <si>
    <t xml:space="preserve">9537474112</t>
  </si>
  <si>
    <t xml:space="preserve">gayathri.deep827@outlook.com</t>
  </si>
  <si>
    <t xml:space="preserve">229, Sarma Street</t>
  </si>
  <si>
    <t xml:space="preserve">490352</t>
  </si>
  <si>
    <t xml:space="preserve">06/07/2023</t>
  </si>
  <si>
    <t xml:space="preserve">CUST00151</t>
  </si>
  <si>
    <t xml:space="preserve">Anjali Viswanathan</t>
  </si>
  <si>
    <t xml:space="preserve">9219304180</t>
  </si>
  <si>
    <t xml:space="preserve">anjali.viswanathan533@outlook.com</t>
  </si>
  <si>
    <t xml:space="preserve">H.No. 39, Natarajan Road</t>
  </si>
  <si>
    <t xml:space="preserve">Cuttack</t>
  </si>
  <si>
    <t xml:space="preserve">482960</t>
  </si>
  <si>
    <t xml:space="preserve">CUST00152</t>
  </si>
  <si>
    <t xml:space="preserve">Dayamai Singh</t>
  </si>
  <si>
    <t xml:space="preserve">9101372151</t>
  </si>
  <si>
    <t xml:space="preserve">dayamai.singh44@yahoo.com</t>
  </si>
  <si>
    <t xml:space="preserve">H.No. 97, Manda Chowk</t>
  </si>
  <si>
    <t xml:space="preserve">029667</t>
  </si>
  <si>
    <t xml:space="preserve">02/03/2023</t>
  </si>
  <si>
    <t xml:space="preserve">CUST00153</t>
  </si>
  <si>
    <t xml:space="preserve">Yadavi Wable</t>
  </si>
  <si>
    <t xml:space="preserve">9447209993</t>
  </si>
  <si>
    <t xml:space="preserve">yadavi.wable663@yahoo.com</t>
  </si>
  <si>
    <t xml:space="preserve">392, Ben Road</t>
  </si>
  <si>
    <t xml:space="preserve">Hyderabad</t>
  </si>
  <si>
    <t xml:space="preserve">768701</t>
  </si>
  <si>
    <t xml:space="preserve">CUST00154</t>
  </si>
  <si>
    <t xml:space="preserve">Kamya Chauhan</t>
  </si>
  <si>
    <t xml:space="preserve">9806578759</t>
  </si>
  <si>
    <t xml:space="preserve">kamya.chauhan515@yahoo.com</t>
  </si>
  <si>
    <t xml:space="preserve">H.No. 12, Sengupta Road</t>
  </si>
  <si>
    <t xml:space="preserve">642059</t>
  </si>
  <si>
    <t xml:space="preserve">CUST00155</t>
  </si>
  <si>
    <t xml:space="preserve">Rajeshri Chand</t>
  </si>
  <si>
    <t xml:space="preserve">9932133480</t>
  </si>
  <si>
    <t xml:space="preserve">rajeshri.chand783@gmail.com</t>
  </si>
  <si>
    <t xml:space="preserve">50, Bera Marg</t>
  </si>
  <si>
    <t xml:space="preserve">Siliguri</t>
  </si>
  <si>
    <t xml:space="preserve">965223</t>
  </si>
  <si>
    <t xml:space="preserve">28/04/2026</t>
  </si>
  <si>
    <t xml:space="preserve">CUST00156</t>
  </si>
  <si>
    <t xml:space="preserve">Yadavi Prakash</t>
  </si>
  <si>
    <t xml:space="preserve">9599293784</t>
  </si>
  <si>
    <t xml:space="preserve">yadavi.prakash180@yahoo.com</t>
  </si>
  <si>
    <t xml:space="preserve">15, Bala Ganj</t>
  </si>
  <si>
    <t xml:space="preserve">010393</t>
  </si>
  <si>
    <t xml:space="preserve">10/02/2023</t>
  </si>
  <si>
    <t xml:space="preserve">CUST00157</t>
  </si>
  <si>
    <t xml:space="preserve">Hardik Nayak</t>
  </si>
  <si>
    <t xml:space="preserve">9250029218</t>
  </si>
  <si>
    <t xml:space="preserve">hardik.nayak882@yahoo.com</t>
  </si>
  <si>
    <t xml:space="preserve">047, Singh Street</t>
  </si>
  <si>
    <t xml:space="preserve">156915</t>
  </si>
  <si>
    <t xml:space="preserve">10/09/2024</t>
  </si>
  <si>
    <t xml:space="preserve">CUST00158</t>
  </si>
  <si>
    <t xml:space="preserve">Abdul Buch</t>
  </si>
  <si>
    <t xml:space="preserve">9528953926</t>
  </si>
  <si>
    <t xml:space="preserve">abdul.buch315@outlook.com</t>
  </si>
  <si>
    <t xml:space="preserve">H.No. 32, Wable Circle</t>
  </si>
  <si>
    <t xml:space="preserve">422096</t>
  </si>
  <si>
    <t xml:space="preserve">08/03/2026</t>
  </si>
  <si>
    <t xml:space="preserve">CUST00159</t>
  </si>
  <si>
    <t xml:space="preserve">Indrajit Mani</t>
  </si>
  <si>
    <t xml:space="preserve">9725135521</t>
  </si>
  <si>
    <t xml:space="preserve">indrajit.mani842@outlook.com</t>
  </si>
  <si>
    <t xml:space="preserve">H.No. 10, Saini Ganj</t>
  </si>
  <si>
    <t xml:space="preserve">570433</t>
  </si>
  <si>
    <t xml:space="preserve">19/05/2023</t>
  </si>
  <si>
    <t xml:space="preserve">CUST00160</t>
  </si>
  <si>
    <t xml:space="preserve">Dev Choudhry</t>
  </si>
  <si>
    <t xml:space="preserve">9626765861</t>
  </si>
  <si>
    <t xml:space="preserve">dev.choudhry849@yahoo.com</t>
  </si>
  <si>
    <t xml:space="preserve">80/89, Dhawan Ganj</t>
  </si>
  <si>
    <t xml:space="preserve">932710</t>
  </si>
  <si>
    <t xml:space="preserve">26/08/2024</t>
  </si>
  <si>
    <t xml:space="preserve">CUST00161</t>
  </si>
  <si>
    <t xml:space="preserve">Pushti Agarwal</t>
  </si>
  <si>
    <t xml:space="preserve">9621815997</t>
  </si>
  <si>
    <t xml:space="preserve">pushti.agarwal722@gmail.com</t>
  </si>
  <si>
    <t xml:space="preserve">962, Viswanathan Zila</t>
  </si>
  <si>
    <t xml:space="preserve">629620</t>
  </si>
  <si>
    <t xml:space="preserve">27/07/2023</t>
  </si>
  <si>
    <t xml:space="preserve">CUST00162</t>
  </si>
  <si>
    <t xml:space="preserve">Ekansh Vora</t>
  </si>
  <si>
    <t xml:space="preserve">9844431069</t>
  </si>
  <si>
    <t xml:space="preserve">ekansh.vora563@yahoo.com</t>
  </si>
  <si>
    <t xml:space="preserve">70, Prakash Marg</t>
  </si>
  <si>
    <t xml:space="preserve">205061</t>
  </si>
  <si>
    <t xml:space="preserve">CUST00163</t>
  </si>
  <si>
    <t xml:space="preserve">Amol Parikh</t>
  </si>
  <si>
    <t xml:space="preserve">9324171467</t>
  </si>
  <si>
    <t xml:space="preserve">amol.parikh501@outlook.com</t>
  </si>
  <si>
    <t xml:space="preserve">H.No. 31, Natarajan</t>
  </si>
  <si>
    <t xml:space="preserve">418625</t>
  </si>
  <si>
    <t xml:space="preserve">20/02/2025</t>
  </si>
  <si>
    <t xml:space="preserve">CUST00164</t>
  </si>
  <si>
    <t xml:space="preserve">Chaitanya Pandey</t>
  </si>
  <si>
    <t xml:space="preserve">9349021158</t>
  </si>
  <si>
    <t xml:space="preserve">chaitanya.pandey424@outlook.com</t>
  </si>
  <si>
    <t xml:space="preserve">27/722, Shankar Zila</t>
  </si>
  <si>
    <t xml:space="preserve">380686</t>
  </si>
  <si>
    <t xml:space="preserve">01/01/2026</t>
  </si>
  <si>
    <t xml:space="preserve">CUST00165</t>
  </si>
  <si>
    <t xml:space="preserve">Chaaya Jaggi</t>
  </si>
  <si>
    <t xml:space="preserve">9160898992</t>
  </si>
  <si>
    <t xml:space="preserve">chaaya.jaggi124@yahoo.com</t>
  </si>
  <si>
    <t xml:space="preserve">054, Rao Circle</t>
  </si>
  <si>
    <t xml:space="preserve">223320</t>
  </si>
  <si>
    <t xml:space="preserve">CUST00166</t>
  </si>
  <si>
    <t xml:space="preserve">Zehaan Bansal</t>
  </si>
  <si>
    <t xml:space="preserve">9945116868</t>
  </si>
  <si>
    <t xml:space="preserve">zehaan.bansal334@yahoo.com</t>
  </si>
  <si>
    <t xml:space="preserve">H.No. 50, Mahajan Path</t>
  </si>
  <si>
    <t xml:space="preserve">870998</t>
  </si>
  <si>
    <t xml:space="preserve">09/05/2025</t>
  </si>
  <si>
    <t xml:space="preserve">CUST00167</t>
  </si>
  <si>
    <t xml:space="preserve">Jhalak Sarkar</t>
  </si>
  <si>
    <t xml:space="preserve">9914856467</t>
  </si>
  <si>
    <t xml:space="preserve">jhalak.sarkar586@outlook.com</t>
  </si>
  <si>
    <t xml:space="preserve">76/527, Pillai Chowk</t>
  </si>
  <si>
    <t xml:space="preserve">702462</t>
  </si>
  <si>
    <t xml:space="preserve">20/06/2026</t>
  </si>
  <si>
    <t xml:space="preserve">CUST00168</t>
  </si>
  <si>
    <t xml:space="preserve">Fitan Samra</t>
  </si>
  <si>
    <t xml:space="preserve">9530745054</t>
  </si>
  <si>
    <t xml:space="preserve">fitan.samra319@yahoo.com</t>
  </si>
  <si>
    <t xml:space="preserve">92, Memon Circle</t>
  </si>
  <si>
    <t xml:space="preserve">713247</t>
  </si>
  <si>
    <t xml:space="preserve">19/10/2024</t>
  </si>
  <si>
    <t xml:space="preserve">CUST00169</t>
  </si>
  <si>
    <t xml:space="preserve">Harshil Buch</t>
  </si>
  <si>
    <t xml:space="preserve">9678508214</t>
  </si>
  <si>
    <t xml:space="preserve">harshil.buch727@outlook.com</t>
  </si>
  <si>
    <t xml:space="preserve">44/796, Sawhney Street</t>
  </si>
  <si>
    <t xml:space="preserve">628902</t>
  </si>
  <si>
    <t xml:space="preserve">30/01/2024</t>
  </si>
  <si>
    <t xml:space="preserve">CUST00170</t>
  </si>
  <si>
    <t xml:space="preserve">Sanya Basak</t>
  </si>
  <si>
    <t xml:space="preserve">9534578610</t>
  </si>
  <si>
    <t xml:space="preserve">sanya.basak248@yahoo.com</t>
  </si>
  <si>
    <t xml:space="preserve">64/01, Patla Marg</t>
  </si>
  <si>
    <t xml:space="preserve">797279</t>
  </si>
  <si>
    <t xml:space="preserve">03/02/2026</t>
  </si>
  <si>
    <t xml:space="preserve">CUST00171</t>
  </si>
  <si>
    <t xml:space="preserve">Azaan Dhar</t>
  </si>
  <si>
    <t xml:space="preserve">9029333346</t>
  </si>
  <si>
    <t xml:space="preserve">azaan.dhar526@gmail.com</t>
  </si>
  <si>
    <t xml:space="preserve">H.No. 213, Pathak Path</t>
  </si>
  <si>
    <t xml:space="preserve">072290</t>
  </si>
  <si>
    <t xml:space="preserve">03/04/2024</t>
  </si>
  <si>
    <t xml:space="preserve">CUST00172</t>
  </si>
  <si>
    <t xml:space="preserve">Bachittar Dube</t>
  </si>
  <si>
    <t xml:space="preserve">9574374896</t>
  </si>
  <si>
    <t xml:space="preserve">bachittar.dube599@gmail.com</t>
  </si>
  <si>
    <t xml:space="preserve">H.No. 57, Devan Zila</t>
  </si>
  <si>
    <t xml:space="preserve">085899</t>
  </si>
  <si>
    <t xml:space="preserve">01/08/2024</t>
  </si>
  <si>
    <t xml:space="preserve">CUST00173</t>
  </si>
  <si>
    <t xml:space="preserve">Mitali Murthy</t>
  </si>
  <si>
    <t xml:space="preserve">9544432830</t>
  </si>
  <si>
    <t xml:space="preserve">mitali.murthy825@outlook.com</t>
  </si>
  <si>
    <t xml:space="preserve">102, Vasa Chowk</t>
  </si>
  <si>
    <t xml:space="preserve">652074</t>
  </si>
  <si>
    <t xml:space="preserve">15/06/2024</t>
  </si>
  <si>
    <t xml:space="preserve">CUST00174</t>
  </si>
  <si>
    <t xml:space="preserve">Jacob Lala</t>
  </si>
  <si>
    <t xml:space="preserve">9387584282</t>
  </si>
  <si>
    <t xml:space="preserve">jacob.lala301@gmail.com</t>
  </si>
  <si>
    <t xml:space="preserve">73/947, Das Ganj</t>
  </si>
  <si>
    <t xml:space="preserve">724825</t>
  </si>
  <si>
    <t xml:space="preserve">02/07/2023</t>
  </si>
  <si>
    <t xml:space="preserve">CUST00175</t>
  </si>
  <si>
    <t xml:space="preserve">Ethan Seth</t>
  </si>
  <si>
    <t xml:space="preserve">9554947170</t>
  </si>
  <si>
    <t xml:space="preserve">ethan.seth888@outlook.com</t>
  </si>
  <si>
    <t xml:space="preserve">71/551, Mannan Circle</t>
  </si>
  <si>
    <t xml:space="preserve">999173</t>
  </si>
  <si>
    <t xml:space="preserve">21/10/2025</t>
  </si>
  <si>
    <t xml:space="preserve">CUST00176</t>
  </si>
  <si>
    <t xml:space="preserve">Nakul Ghosh</t>
  </si>
  <si>
    <t xml:space="preserve">9223569725</t>
  </si>
  <si>
    <t xml:space="preserve">nakul.ghosh884@outlook.com</t>
  </si>
  <si>
    <t xml:space="preserve">31/32, Tak Ganj</t>
  </si>
  <si>
    <t xml:space="preserve">217525</t>
  </si>
  <si>
    <t xml:space="preserve">23/07/2026</t>
  </si>
  <si>
    <t xml:space="preserve">CUST00177</t>
  </si>
  <si>
    <t xml:space="preserve">Jalsa Pillay</t>
  </si>
  <si>
    <t xml:space="preserve">9271296666</t>
  </si>
  <si>
    <t xml:space="preserve">jalsa.pillay989@yahoo.com</t>
  </si>
  <si>
    <t xml:space="preserve">29/11, Rao Road</t>
  </si>
  <si>
    <t xml:space="preserve">600835</t>
  </si>
  <si>
    <t xml:space="preserve">CUST00178</t>
  </si>
  <si>
    <t xml:space="preserve">Nirja Rout</t>
  </si>
  <si>
    <t xml:space="preserve">9335421689</t>
  </si>
  <si>
    <t xml:space="preserve">nirja.rout314@gmail.com</t>
  </si>
  <si>
    <t xml:space="preserve">517, Varughese Chowk</t>
  </si>
  <si>
    <t xml:space="preserve">104478</t>
  </si>
  <si>
    <t xml:space="preserve">06/05/2026</t>
  </si>
  <si>
    <t xml:space="preserve">CUST00179</t>
  </si>
  <si>
    <t xml:space="preserve">Kabir Gopal</t>
  </si>
  <si>
    <t xml:space="preserve">9753260332</t>
  </si>
  <si>
    <t xml:space="preserve">kabir.gopal217@outlook.com</t>
  </si>
  <si>
    <t xml:space="preserve">80, Vasa Zila</t>
  </si>
  <si>
    <t xml:space="preserve">098215</t>
  </si>
  <si>
    <t xml:space="preserve">18/03/2023</t>
  </si>
  <si>
    <t xml:space="preserve">CUST00180</t>
  </si>
  <si>
    <t xml:space="preserve">Daksha Gala</t>
  </si>
  <si>
    <t xml:space="preserve">9010016761</t>
  </si>
  <si>
    <t xml:space="preserve">daksha.gala561@yahoo.com</t>
  </si>
  <si>
    <t xml:space="preserve">H.No. 35, Mander Circle</t>
  </si>
  <si>
    <t xml:space="preserve">723046</t>
  </si>
  <si>
    <t xml:space="preserve">26/07/2023</t>
  </si>
  <si>
    <t xml:space="preserve">CUST00181</t>
  </si>
  <si>
    <t xml:space="preserve">Zashil Hegde</t>
  </si>
  <si>
    <t xml:space="preserve">9189141173</t>
  </si>
  <si>
    <t xml:space="preserve">zashil.hegde624@gmail.com</t>
  </si>
  <si>
    <t xml:space="preserve">498, Thakkar Zila</t>
  </si>
  <si>
    <t xml:space="preserve">483564</t>
  </si>
  <si>
    <t xml:space="preserve">25/11/2023</t>
  </si>
  <si>
    <t xml:space="preserve">CUST00182</t>
  </si>
  <si>
    <t xml:space="preserve">Mitesh Garg</t>
  </si>
  <si>
    <t xml:space="preserve">9011972181</t>
  </si>
  <si>
    <t xml:space="preserve">mitesh.garg741@outlook.com</t>
  </si>
  <si>
    <t xml:space="preserve">00/10, Lanka</t>
  </si>
  <si>
    <t xml:space="preserve">143744</t>
  </si>
  <si>
    <t xml:space="preserve">08/08/2025</t>
  </si>
  <si>
    <t xml:space="preserve">CUST00183</t>
  </si>
  <si>
    <t xml:space="preserve">Omaja Balasubramanian</t>
  </si>
  <si>
    <t xml:space="preserve">9561100225</t>
  </si>
  <si>
    <t xml:space="preserve">omaja.balasubramanian367@yahoo.com</t>
  </si>
  <si>
    <t xml:space="preserve">84/473, Mishra Marg</t>
  </si>
  <si>
    <t xml:space="preserve">941552</t>
  </si>
  <si>
    <t xml:space="preserve">22/08/2023</t>
  </si>
  <si>
    <t xml:space="preserve">CUST00184</t>
  </si>
  <si>
    <t xml:space="preserve">Elijah Bhasin</t>
  </si>
  <si>
    <t xml:space="preserve">9762120216</t>
  </si>
  <si>
    <t xml:space="preserve">elijah.bhasin934@outlook.com</t>
  </si>
  <si>
    <t xml:space="preserve">67, Jani Chowk</t>
  </si>
  <si>
    <t xml:space="preserve">797296</t>
  </si>
  <si>
    <t xml:space="preserve">04/01/2025</t>
  </si>
  <si>
    <t xml:space="preserve">CUST00185</t>
  </si>
  <si>
    <t xml:space="preserve">Maanas Munshi</t>
  </si>
  <si>
    <t xml:space="preserve">9167014508</t>
  </si>
  <si>
    <t xml:space="preserve">maanas.munshi786@outlook.com</t>
  </si>
  <si>
    <t xml:space="preserve">56/258, Cherian Circle</t>
  </si>
  <si>
    <t xml:space="preserve">993588</t>
  </si>
  <si>
    <t xml:space="preserve">CUST00186</t>
  </si>
  <si>
    <t xml:space="preserve">Wyatt Shukla</t>
  </si>
  <si>
    <t xml:space="preserve">9628900287</t>
  </si>
  <si>
    <t xml:space="preserve">wyatt.shukla873@yahoo.com</t>
  </si>
  <si>
    <t xml:space="preserve">H.No. 73, Chatterjee Street</t>
  </si>
  <si>
    <t xml:space="preserve">217535</t>
  </si>
  <si>
    <t xml:space="preserve">23/07/2024</t>
  </si>
  <si>
    <t xml:space="preserve">CUST00187</t>
  </si>
  <si>
    <t xml:space="preserve">Bina Rajagopalan</t>
  </si>
  <si>
    <t xml:space="preserve">9177971775</t>
  </si>
  <si>
    <t xml:space="preserve">bina.rajagopalan122@yahoo.com</t>
  </si>
  <si>
    <t xml:space="preserve">259, Gupta Path</t>
  </si>
  <si>
    <t xml:space="preserve">016608</t>
  </si>
  <si>
    <t xml:space="preserve">29/01/2026</t>
  </si>
  <si>
    <t xml:space="preserve">CUST00188</t>
  </si>
  <si>
    <t xml:space="preserve">Wishi Varma</t>
  </si>
  <si>
    <t xml:space="preserve">9755037589</t>
  </si>
  <si>
    <t xml:space="preserve">wishi.varma615@yahoo.com</t>
  </si>
  <si>
    <t xml:space="preserve">47, Chana Nagar</t>
  </si>
  <si>
    <t xml:space="preserve">571130</t>
  </si>
  <si>
    <t xml:space="preserve">30/11/2024</t>
  </si>
  <si>
    <t xml:space="preserve">CUST00189</t>
  </si>
  <si>
    <t xml:space="preserve">Yashasvi Shankar</t>
  </si>
  <si>
    <t xml:space="preserve">9027261493</t>
  </si>
  <si>
    <t xml:space="preserve">yashasvi.shankar193@gmail.com</t>
  </si>
  <si>
    <t xml:space="preserve">950, Manda Nagar</t>
  </si>
  <si>
    <t xml:space="preserve">637351</t>
  </si>
  <si>
    <t xml:space="preserve">28/04/2025</t>
  </si>
  <si>
    <t xml:space="preserve">CUST00190</t>
  </si>
  <si>
    <t xml:space="preserve">Upma Mangal</t>
  </si>
  <si>
    <t xml:space="preserve">9779827080</t>
  </si>
  <si>
    <t xml:space="preserve">upma.mangal567@yahoo.com</t>
  </si>
  <si>
    <t xml:space="preserve">H.No. 624, Rau Path</t>
  </si>
  <si>
    <t xml:space="preserve">978292</t>
  </si>
  <si>
    <t xml:space="preserve">20/09/2023</t>
  </si>
  <si>
    <t xml:space="preserve">CUST00191</t>
  </si>
  <si>
    <t xml:space="preserve">Chakradev Rattan</t>
  </si>
  <si>
    <t xml:space="preserve">9693465472</t>
  </si>
  <si>
    <t xml:space="preserve">chakradev.rattan142@yahoo.com</t>
  </si>
  <si>
    <t xml:space="preserve">83/58, Borah Road</t>
  </si>
  <si>
    <t xml:space="preserve">984858</t>
  </si>
  <si>
    <t xml:space="preserve">19/07/2026</t>
  </si>
  <si>
    <t xml:space="preserve">CUST00192</t>
  </si>
  <si>
    <t xml:space="preserve">Yamini Seshadri</t>
  </si>
  <si>
    <t xml:space="preserve">9228851587</t>
  </si>
  <si>
    <t xml:space="preserve">yamini.seshadri597@outlook.com</t>
  </si>
  <si>
    <t xml:space="preserve">91/21, Prakash Marg</t>
  </si>
  <si>
    <t xml:space="preserve">684608</t>
  </si>
  <si>
    <t xml:space="preserve">07/08/2023</t>
  </si>
  <si>
    <t xml:space="preserve">CUST00193</t>
  </si>
  <si>
    <t xml:space="preserve">Jasmit Dhawan</t>
  </si>
  <si>
    <t xml:space="preserve">9244204380</t>
  </si>
  <si>
    <t xml:space="preserve">jasmit.dhawan368@yahoo.com</t>
  </si>
  <si>
    <t xml:space="preserve">86/80, Barad Nagar</t>
  </si>
  <si>
    <t xml:space="preserve">198386</t>
  </si>
  <si>
    <t xml:space="preserve">01/05/2024</t>
  </si>
  <si>
    <t xml:space="preserve">CUST00194</t>
  </si>
  <si>
    <t xml:space="preserve">Gauri Som</t>
  </si>
  <si>
    <t xml:space="preserve">9666580043</t>
  </si>
  <si>
    <t xml:space="preserve">gauri.som636@yahoo.com</t>
  </si>
  <si>
    <t xml:space="preserve">982, Nagar Path</t>
  </si>
  <si>
    <t xml:space="preserve">359893</t>
  </si>
  <si>
    <t xml:space="preserve">01/02/2024</t>
  </si>
  <si>
    <t xml:space="preserve">CUST00195</t>
  </si>
  <si>
    <t xml:space="preserve">Maya Mistry</t>
  </si>
  <si>
    <t xml:space="preserve">9816064842</t>
  </si>
  <si>
    <t xml:space="preserve">maya.mistry165@outlook.com</t>
  </si>
  <si>
    <t xml:space="preserve">88/79, Soman Road</t>
  </si>
  <si>
    <t xml:space="preserve">405720</t>
  </si>
  <si>
    <t xml:space="preserve">11/11/2023</t>
  </si>
  <si>
    <t xml:space="preserve">CUST00196</t>
  </si>
  <si>
    <t xml:space="preserve">Jyoti Narula</t>
  </si>
  <si>
    <t xml:space="preserve">9851583281</t>
  </si>
  <si>
    <t xml:space="preserve">jyoti.narula806@outlook.com</t>
  </si>
  <si>
    <t xml:space="preserve">94, Som Nagar</t>
  </si>
  <si>
    <t xml:space="preserve">268861</t>
  </si>
  <si>
    <t xml:space="preserve">16/12/2024</t>
  </si>
  <si>
    <t xml:space="preserve">CUST00197</t>
  </si>
  <si>
    <t xml:space="preserve">Vedant Behl</t>
  </si>
  <si>
    <t xml:space="preserve">9398780157</t>
  </si>
  <si>
    <t xml:space="preserve">vedant.behl247@outlook.com</t>
  </si>
  <si>
    <t xml:space="preserve">896, Kibe Street</t>
  </si>
  <si>
    <t xml:space="preserve">993056</t>
  </si>
  <si>
    <t xml:space="preserve">21/08/2023</t>
  </si>
  <si>
    <t xml:space="preserve">CUST00198</t>
  </si>
  <si>
    <t xml:space="preserve">Imaran Halder</t>
  </si>
  <si>
    <t xml:space="preserve">9588770435</t>
  </si>
  <si>
    <t xml:space="preserve">imaran.halder527@gmail.com</t>
  </si>
  <si>
    <t xml:space="preserve">56, Sachar Street</t>
  </si>
  <si>
    <t xml:space="preserve">128801</t>
  </si>
  <si>
    <t xml:space="preserve">07/03/2024</t>
  </si>
  <si>
    <t xml:space="preserve">CUST00199</t>
  </si>
  <si>
    <t xml:space="preserve">Nirja Thaker</t>
  </si>
  <si>
    <t xml:space="preserve">9612075011</t>
  </si>
  <si>
    <t xml:space="preserve">nirja.thaker56@gmail.com</t>
  </si>
  <si>
    <t xml:space="preserve">02/838, Sridhar Path</t>
  </si>
  <si>
    <t xml:space="preserve">481934</t>
  </si>
  <si>
    <t xml:space="preserve">14/04/2025</t>
  </si>
  <si>
    <t xml:space="preserve">CUST00200</t>
  </si>
  <si>
    <t xml:space="preserve">Dipta Ghose</t>
  </si>
  <si>
    <t xml:space="preserve">9180919015</t>
  </si>
  <si>
    <t xml:space="preserve">dipta.ghose951@outlook.com</t>
  </si>
  <si>
    <t xml:space="preserve">58/54, Sule</t>
  </si>
  <si>
    <t xml:space="preserve">144914</t>
  </si>
  <si>
    <t xml:space="preserve">15/06/2025</t>
  </si>
  <si>
    <t xml:space="preserve">CUST00201</t>
  </si>
  <si>
    <t xml:space="preserve">Yatin Mallick</t>
  </si>
  <si>
    <t xml:space="preserve">9326842450</t>
  </si>
  <si>
    <t xml:space="preserve">yatin.mallick567@outlook.com</t>
  </si>
  <si>
    <t xml:space="preserve">443, Nadig Chowk</t>
  </si>
  <si>
    <t xml:space="preserve">Sambalpur</t>
  </si>
  <si>
    <t xml:space="preserve">210099</t>
  </si>
  <si>
    <t xml:space="preserve">18/03/2025</t>
  </si>
  <si>
    <t xml:space="preserve">CUST00202</t>
  </si>
  <si>
    <t xml:space="preserve">Ikshita Mahal</t>
  </si>
  <si>
    <t xml:space="preserve">9536822239</t>
  </si>
  <si>
    <t xml:space="preserve">ikshita.mahal855@yahoo.com</t>
  </si>
  <si>
    <t xml:space="preserve">H.No. 986, Pai Marg</t>
  </si>
  <si>
    <t xml:space="preserve">312908</t>
  </si>
  <si>
    <t xml:space="preserve">02/08/2025</t>
  </si>
  <si>
    <t xml:space="preserve">CUST00203</t>
  </si>
  <si>
    <t xml:space="preserve">Bina Basak</t>
  </si>
  <si>
    <t xml:space="preserve">9975523149</t>
  </si>
  <si>
    <t xml:space="preserve">bina.basak72@gmail.com</t>
  </si>
  <si>
    <t xml:space="preserve">15/747, Jaggi Ganj</t>
  </si>
  <si>
    <t xml:space="preserve">577594</t>
  </si>
  <si>
    <t xml:space="preserve">11/04/2026</t>
  </si>
  <si>
    <t xml:space="preserve">CUST00204</t>
  </si>
  <si>
    <t xml:space="preserve">Anita Devan</t>
  </si>
  <si>
    <t xml:space="preserve">9533645257</t>
  </si>
  <si>
    <t xml:space="preserve">anita.devan474@yahoo.com</t>
  </si>
  <si>
    <t xml:space="preserve">93/30, Kara Circle</t>
  </si>
  <si>
    <t xml:space="preserve">547812</t>
  </si>
  <si>
    <t xml:space="preserve">27/05/2026</t>
  </si>
  <si>
    <t xml:space="preserve">CUST00205</t>
  </si>
  <si>
    <t xml:space="preserve">Charles Chaudhry</t>
  </si>
  <si>
    <t xml:space="preserve">9110809969</t>
  </si>
  <si>
    <t xml:space="preserve">charles.chaudhry218@gmail.com</t>
  </si>
  <si>
    <t xml:space="preserve">H.No. 71, Ahluwalia Street</t>
  </si>
  <si>
    <t xml:space="preserve">848872</t>
  </si>
  <si>
    <t xml:space="preserve">CUST00206</t>
  </si>
  <si>
    <t xml:space="preserve">Niharika Soni</t>
  </si>
  <si>
    <t xml:space="preserve">9816580392</t>
  </si>
  <si>
    <t xml:space="preserve">niharika.soni776@outlook.com</t>
  </si>
  <si>
    <t xml:space="preserve">34/540, Kata Zila</t>
  </si>
  <si>
    <t xml:space="preserve">272299</t>
  </si>
  <si>
    <t xml:space="preserve">27/10/2023</t>
  </si>
  <si>
    <t xml:space="preserve">CUST00207</t>
  </si>
  <si>
    <t xml:space="preserve">Parth Sahni</t>
  </si>
  <si>
    <t xml:space="preserve">9314530385</t>
  </si>
  <si>
    <t xml:space="preserve">parth.sahni398@yahoo.com</t>
  </si>
  <si>
    <t xml:space="preserve">H.No. 672, Barad Road</t>
  </si>
  <si>
    <t xml:space="preserve">700518</t>
  </si>
  <si>
    <t xml:space="preserve">21/07/2026</t>
  </si>
  <si>
    <t xml:space="preserve">CUST00208</t>
  </si>
  <si>
    <t xml:space="preserve">Chanchal Chhabra</t>
  </si>
  <si>
    <t xml:space="preserve">9266591846</t>
  </si>
  <si>
    <t xml:space="preserve">chanchal.chhabra997@gmail.com</t>
  </si>
  <si>
    <t xml:space="preserve">H.No. 78, Tak Circle</t>
  </si>
  <si>
    <t xml:space="preserve">865577</t>
  </si>
  <si>
    <t xml:space="preserve">22/05/2026</t>
  </si>
  <si>
    <t xml:space="preserve">CUST00209</t>
  </si>
  <si>
    <t xml:space="preserve">Yamini Sidhu</t>
  </si>
  <si>
    <t xml:space="preserve">9843222591</t>
  </si>
  <si>
    <t xml:space="preserve">yamini.sidhu677@gmail.com</t>
  </si>
  <si>
    <t xml:space="preserve">152, Kurian Chowk</t>
  </si>
  <si>
    <t xml:space="preserve">651777</t>
  </si>
  <si>
    <t xml:space="preserve">CUST00210</t>
  </si>
  <si>
    <t xml:space="preserve">Akshay Nazareth</t>
  </si>
  <si>
    <t xml:space="preserve">9992280920</t>
  </si>
  <si>
    <t xml:space="preserve">akshay.nazareth171@yahoo.com</t>
  </si>
  <si>
    <t xml:space="preserve">32/96, Varma Marg</t>
  </si>
  <si>
    <t xml:space="preserve">286990</t>
  </si>
  <si>
    <t xml:space="preserve">03/08/2024</t>
  </si>
  <si>
    <t xml:space="preserve">CUST00211</t>
  </si>
  <si>
    <t xml:space="preserve">Gabriel Rattan</t>
  </si>
  <si>
    <t xml:space="preserve">9692929842</t>
  </si>
  <si>
    <t xml:space="preserve">gabriel.rattan742@outlook.com</t>
  </si>
  <si>
    <t xml:space="preserve">275, Ahuja Ganj</t>
  </si>
  <si>
    <t xml:space="preserve">579913</t>
  </si>
  <si>
    <t xml:space="preserve">13/02/2025</t>
  </si>
  <si>
    <t xml:space="preserve">CUST00212</t>
  </si>
  <si>
    <t xml:space="preserve">Leela Keer</t>
  </si>
  <si>
    <t xml:space="preserve">9862912799</t>
  </si>
  <si>
    <t xml:space="preserve">leela.keer40@outlook.com</t>
  </si>
  <si>
    <t xml:space="preserve">H.No. 54, Apte</t>
  </si>
  <si>
    <t xml:space="preserve">811729</t>
  </si>
  <si>
    <t xml:space="preserve">CUST00213</t>
  </si>
  <si>
    <t xml:space="preserve">Jagvi Keer</t>
  </si>
  <si>
    <t xml:space="preserve">9086376599</t>
  </si>
  <si>
    <t xml:space="preserve">jagvi.keer101@yahoo.com</t>
  </si>
  <si>
    <t xml:space="preserve">17/426, Mukhopadhyay Circle</t>
  </si>
  <si>
    <t xml:space="preserve">247314</t>
  </si>
  <si>
    <t xml:space="preserve">10/05/2026</t>
  </si>
  <si>
    <t xml:space="preserve">CUST00214</t>
  </si>
  <si>
    <t xml:space="preserve">Chakrika Pillai</t>
  </si>
  <si>
    <t xml:space="preserve">9098180635</t>
  </si>
  <si>
    <t xml:space="preserve">chakrika.pillai419@yahoo.com</t>
  </si>
  <si>
    <t xml:space="preserve">272, Prakash Chowk</t>
  </si>
  <si>
    <t xml:space="preserve">126944</t>
  </si>
  <si>
    <t xml:space="preserve">02/01/2026</t>
  </si>
  <si>
    <t xml:space="preserve">CUST00215</t>
  </si>
  <si>
    <t xml:space="preserve">Urishilla Yogi</t>
  </si>
  <si>
    <t xml:space="preserve">9368872588</t>
  </si>
  <si>
    <t xml:space="preserve">urishilla.yogi496@yahoo.com</t>
  </si>
  <si>
    <t xml:space="preserve">918, Wable Chowk</t>
  </si>
  <si>
    <t xml:space="preserve">495621</t>
  </si>
  <si>
    <t xml:space="preserve">CUST00216</t>
  </si>
  <si>
    <t xml:space="preserve">Faras Choudhury</t>
  </si>
  <si>
    <t xml:space="preserve">9589026012</t>
  </si>
  <si>
    <t xml:space="preserve">faras.choudhury483@outlook.com</t>
  </si>
  <si>
    <t xml:space="preserve">83/98, Gala Street</t>
  </si>
  <si>
    <t xml:space="preserve">611435</t>
  </si>
  <si>
    <t xml:space="preserve">13/06/2023</t>
  </si>
  <si>
    <t xml:space="preserve">CUST00217</t>
  </si>
  <si>
    <t xml:space="preserve">Zinal Sathe</t>
  </si>
  <si>
    <t xml:space="preserve">9902770384</t>
  </si>
  <si>
    <t xml:space="preserve">zinal.sathe200@gmail.com</t>
  </si>
  <si>
    <t xml:space="preserve">39/718, Bhakta Chowk</t>
  </si>
  <si>
    <t xml:space="preserve">988392</t>
  </si>
  <si>
    <t xml:space="preserve">15/03/2023</t>
  </si>
  <si>
    <t xml:space="preserve">CUST00218</t>
  </si>
  <si>
    <t xml:space="preserve">Kevin Varghese</t>
  </si>
  <si>
    <t xml:space="preserve">9656693801</t>
  </si>
  <si>
    <t xml:space="preserve">kevin.varghese942@gmail.com</t>
  </si>
  <si>
    <t xml:space="preserve">90, Shere Circle</t>
  </si>
  <si>
    <t xml:space="preserve">848955</t>
  </si>
  <si>
    <t xml:space="preserve">20/07/2024</t>
  </si>
  <si>
    <t xml:space="preserve">CUST00219</t>
  </si>
  <si>
    <t xml:space="preserve">Anthony Randhawa</t>
  </si>
  <si>
    <t xml:space="preserve">9426818184</t>
  </si>
  <si>
    <t xml:space="preserve">anthony.randhawa349@gmail.com</t>
  </si>
  <si>
    <t xml:space="preserve">H.No. 391, Sampath Nagar</t>
  </si>
  <si>
    <t xml:space="preserve">848947</t>
  </si>
  <si>
    <t xml:space="preserve">11/02/2025</t>
  </si>
  <si>
    <t xml:space="preserve">CUST00220</t>
  </si>
  <si>
    <t xml:space="preserve">Devansh Bhasin</t>
  </si>
  <si>
    <t xml:space="preserve">9907141633</t>
  </si>
  <si>
    <t xml:space="preserve">devansh.bhasin820@yahoo.com</t>
  </si>
  <si>
    <t xml:space="preserve">04, Gole Marg</t>
  </si>
  <si>
    <t xml:space="preserve">658804</t>
  </si>
  <si>
    <t xml:space="preserve">23/05/2024</t>
  </si>
  <si>
    <t xml:space="preserve">CUST00221</t>
  </si>
  <si>
    <t xml:space="preserve">Osha Prasad</t>
  </si>
  <si>
    <t xml:space="preserve">9275539423</t>
  </si>
  <si>
    <t xml:space="preserve">osha.prasad511@outlook.com</t>
  </si>
  <si>
    <t xml:space="preserve">66, Zacharia Zila</t>
  </si>
  <si>
    <t xml:space="preserve">333433</t>
  </si>
  <si>
    <t xml:space="preserve">20/02/2024</t>
  </si>
  <si>
    <t xml:space="preserve">CUST00222</t>
  </si>
  <si>
    <t xml:space="preserve">Ijaya Dani</t>
  </si>
  <si>
    <t xml:space="preserve">9117908075</t>
  </si>
  <si>
    <t xml:space="preserve">ijaya.dani636@yahoo.com</t>
  </si>
  <si>
    <t xml:space="preserve">68/23, Bajaj Nagar</t>
  </si>
  <si>
    <t xml:space="preserve">794728</t>
  </si>
  <si>
    <t xml:space="preserve">27/07/2024</t>
  </si>
  <si>
    <t xml:space="preserve">CUST00223</t>
  </si>
  <si>
    <t xml:space="preserve">Ubika Samra</t>
  </si>
  <si>
    <t xml:space="preserve">9678085627</t>
  </si>
  <si>
    <t xml:space="preserve">ubika.samra124@outlook.com</t>
  </si>
  <si>
    <t xml:space="preserve">375, Majumdar Street</t>
  </si>
  <si>
    <t xml:space="preserve">Raipur</t>
  </si>
  <si>
    <t xml:space="preserve">875003</t>
  </si>
  <si>
    <t xml:space="preserve">16/02/2025</t>
  </si>
  <si>
    <t xml:space="preserve">CUST00224</t>
  </si>
  <si>
    <t xml:space="preserve">Isaiah Balay</t>
  </si>
  <si>
    <t xml:space="preserve">9347955276</t>
  </si>
  <si>
    <t xml:space="preserve">isaiah.balay216@yahoo.com</t>
  </si>
  <si>
    <t xml:space="preserve">03/31, Bandi Zila</t>
  </si>
  <si>
    <t xml:space="preserve">556472</t>
  </si>
  <si>
    <t xml:space="preserve">16/03/2026</t>
  </si>
  <si>
    <t xml:space="preserve">CUST00225</t>
  </si>
  <si>
    <t xml:space="preserve">Chanakya Konda</t>
  </si>
  <si>
    <t xml:space="preserve">9386632270</t>
  </si>
  <si>
    <t xml:space="preserve">chanakya.konda181@yahoo.com</t>
  </si>
  <si>
    <t xml:space="preserve">73, Kalla Circle</t>
  </si>
  <si>
    <t xml:space="preserve">728857</t>
  </si>
  <si>
    <t xml:space="preserve">CUST00226</t>
  </si>
  <si>
    <t xml:space="preserve">Logan Thakur</t>
  </si>
  <si>
    <t xml:space="preserve">9203471754</t>
  </si>
  <si>
    <t xml:space="preserve">logan.thakur370@yahoo.com</t>
  </si>
  <si>
    <t xml:space="preserve">959, Nagi</t>
  </si>
  <si>
    <t xml:space="preserve">884506</t>
  </si>
  <si>
    <t xml:space="preserve">06/09/2023</t>
  </si>
  <si>
    <t xml:space="preserve">CUST00227</t>
  </si>
  <si>
    <t xml:space="preserve">Chasmum Dhar</t>
  </si>
  <si>
    <t xml:space="preserve">9824558771</t>
  </si>
  <si>
    <t xml:space="preserve">chasmum.dhar391@outlook.com</t>
  </si>
  <si>
    <t xml:space="preserve">44, Gill Nagar</t>
  </si>
  <si>
    <t xml:space="preserve">472256</t>
  </si>
  <si>
    <t xml:space="preserve">CUST00228</t>
  </si>
  <si>
    <t xml:space="preserve">Warhi Batta</t>
  </si>
  <si>
    <t xml:space="preserve">9554496475</t>
  </si>
  <si>
    <t xml:space="preserve">warhi.batta766@outlook.com</t>
  </si>
  <si>
    <t xml:space="preserve">68/566, Mital Street</t>
  </si>
  <si>
    <t xml:space="preserve">876220</t>
  </si>
  <si>
    <t xml:space="preserve">14/09/2023</t>
  </si>
  <si>
    <t xml:space="preserve">CUST00229</t>
  </si>
  <si>
    <t xml:space="preserve">Qarin Yogi</t>
  </si>
  <si>
    <t xml:space="preserve">9111780068</t>
  </si>
  <si>
    <t xml:space="preserve">qarin.yogi784@gmail.com</t>
  </si>
  <si>
    <t xml:space="preserve">342, Bhardwaj Chowk</t>
  </si>
  <si>
    <t xml:space="preserve">149216</t>
  </si>
  <si>
    <t xml:space="preserve">25/09/2024</t>
  </si>
  <si>
    <t xml:space="preserve">CUST00230</t>
  </si>
  <si>
    <t xml:space="preserve">Omaja Wagle</t>
  </si>
  <si>
    <t xml:space="preserve">9820055778</t>
  </si>
  <si>
    <t xml:space="preserve">omaja.wagle958@yahoo.com</t>
  </si>
  <si>
    <t xml:space="preserve">34, Narayanan Ganj</t>
  </si>
  <si>
    <t xml:space="preserve">Udaipur</t>
  </si>
  <si>
    <t xml:space="preserve">872829</t>
  </si>
  <si>
    <t xml:space="preserve">08/05/2026</t>
  </si>
  <si>
    <t xml:space="preserve">CUST00231</t>
  </si>
  <si>
    <t xml:space="preserve">Shivani Prabhakar</t>
  </si>
  <si>
    <t xml:space="preserve">9845783174</t>
  </si>
  <si>
    <t xml:space="preserve">shivani.prabhakar375@yahoo.com</t>
  </si>
  <si>
    <t xml:space="preserve">30/46, Baral</t>
  </si>
  <si>
    <t xml:space="preserve">424008</t>
  </si>
  <si>
    <t xml:space="preserve">07/10/2023</t>
  </si>
  <si>
    <t xml:space="preserve">CUST00232</t>
  </si>
  <si>
    <t xml:space="preserve">Raghav Kalla</t>
  </si>
  <si>
    <t xml:space="preserve">9740649308</t>
  </si>
  <si>
    <t xml:space="preserve">raghav.kalla383@gmail.com</t>
  </si>
  <si>
    <t xml:space="preserve">540, Gupta Ganj</t>
  </si>
  <si>
    <t xml:space="preserve">Puri</t>
  </si>
  <si>
    <t xml:space="preserve">686632</t>
  </si>
  <si>
    <t xml:space="preserve">09/03/2025</t>
  </si>
  <si>
    <t xml:space="preserve">CUST00233</t>
  </si>
  <si>
    <t xml:space="preserve">Varenya Kibe</t>
  </si>
  <si>
    <t xml:space="preserve">9894484631</t>
  </si>
  <si>
    <t xml:space="preserve">varenya.kibe187@gmail.com</t>
  </si>
  <si>
    <t xml:space="preserve">38, Mandal Path</t>
  </si>
  <si>
    <t xml:space="preserve">417974</t>
  </si>
  <si>
    <t xml:space="preserve">29/06/2026</t>
  </si>
  <si>
    <t xml:space="preserve">CUST00234</t>
  </si>
  <si>
    <t xml:space="preserve">Unnati Walla</t>
  </si>
  <si>
    <t xml:space="preserve">9021442703</t>
  </si>
  <si>
    <t xml:space="preserve">unnati.walla93@gmail.com</t>
  </si>
  <si>
    <t xml:space="preserve">H.No. 45, Tank Circle</t>
  </si>
  <si>
    <t xml:space="preserve">073564</t>
  </si>
  <si>
    <t xml:space="preserve">17/10/2025</t>
  </si>
  <si>
    <t xml:space="preserve">CUST00235</t>
  </si>
  <si>
    <t xml:space="preserve">Guneet Singh</t>
  </si>
  <si>
    <t xml:space="preserve">9204618723</t>
  </si>
  <si>
    <t xml:space="preserve">guneet.singh918@yahoo.com</t>
  </si>
  <si>
    <t xml:space="preserve">556, Kant Nagar</t>
  </si>
  <si>
    <t xml:space="preserve">601367</t>
  </si>
  <si>
    <t xml:space="preserve">21/05/2024</t>
  </si>
  <si>
    <t xml:space="preserve">CUST00236</t>
  </si>
  <si>
    <t xml:space="preserve">Amol Lal</t>
  </si>
  <si>
    <t xml:space="preserve">9837645208</t>
  </si>
  <si>
    <t xml:space="preserve">amol.lal534@gmail.com</t>
  </si>
  <si>
    <t xml:space="preserve">H.No. 23, Karpe Path</t>
  </si>
  <si>
    <t xml:space="preserve">474350</t>
  </si>
  <si>
    <t xml:space="preserve">22/03/2024</t>
  </si>
  <si>
    <t xml:space="preserve">CUST00237</t>
  </si>
  <si>
    <t xml:space="preserve">Yatan Tata</t>
  </si>
  <si>
    <t xml:space="preserve">9491630097</t>
  </si>
  <si>
    <t xml:space="preserve">yatan.tata705@outlook.com</t>
  </si>
  <si>
    <t xml:space="preserve">H.No. 77, Ganguly Chowk</t>
  </si>
  <si>
    <t xml:space="preserve">251327</t>
  </si>
  <si>
    <t xml:space="preserve">07/07/2023</t>
  </si>
  <si>
    <t xml:space="preserve">CUST00238</t>
  </si>
  <si>
    <t xml:space="preserve">Omkaar Dey</t>
  </si>
  <si>
    <t xml:space="preserve">9281273585</t>
  </si>
  <si>
    <t xml:space="preserve">omkaar.dey825@yahoo.com</t>
  </si>
  <si>
    <t xml:space="preserve">808, Borde Nagar</t>
  </si>
  <si>
    <t xml:space="preserve">306524</t>
  </si>
  <si>
    <t xml:space="preserve">22/03/2023</t>
  </si>
  <si>
    <t xml:space="preserve">CUST00239</t>
  </si>
  <si>
    <t xml:space="preserve">Abeer Sachar</t>
  </si>
  <si>
    <t xml:space="preserve">9392855749</t>
  </si>
  <si>
    <t xml:space="preserve">abeer.sachar937@outlook.com</t>
  </si>
  <si>
    <t xml:space="preserve">31/203, Shah Circle</t>
  </si>
  <si>
    <t xml:space="preserve">218274</t>
  </si>
  <si>
    <t xml:space="preserve">23/06/2024</t>
  </si>
  <si>
    <t xml:space="preserve">CUST00240</t>
  </si>
  <si>
    <t xml:space="preserve">Darpan Subramanian</t>
  </si>
  <si>
    <t xml:space="preserve">9095935186</t>
  </si>
  <si>
    <t xml:space="preserve">darpan.subramanian195@outlook.com</t>
  </si>
  <si>
    <t xml:space="preserve">H.No. 088, Arora Marg</t>
  </si>
  <si>
    <t xml:space="preserve">782945</t>
  </si>
  <si>
    <t xml:space="preserve">CUST00241</t>
  </si>
  <si>
    <t xml:space="preserve">Anvi Wason</t>
  </si>
  <si>
    <t xml:space="preserve">9220317310</t>
  </si>
  <si>
    <t xml:space="preserve">anvi.wason585@outlook.com</t>
  </si>
  <si>
    <t xml:space="preserve">H.No. 862, Char Zila</t>
  </si>
  <si>
    <t xml:space="preserve">678994</t>
  </si>
  <si>
    <t xml:space="preserve">CUST00242</t>
  </si>
  <si>
    <t xml:space="preserve">Wridesh Handa</t>
  </si>
  <si>
    <t xml:space="preserve">9371705865</t>
  </si>
  <si>
    <t xml:space="preserve">wridesh.handa814@outlook.com</t>
  </si>
  <si>
    <t xml:space="preserve">H.No. 46, Prakash Zila</t>
  </si>
  <si>
    <t xml:space="preserve">094801</t>
  </si>
  <si>
    <t xml:space="preserve">14/09/2024</t>
  </si>
  <si>
    <t xml:space="preserve">CUST00243</t>
  </si>
  <si>
    <t xml:space="preserve">Tripti Kohli</t>
  </si>
  <si>
    <t xml:space="preserve">9863383928</t>
  </si>
  <si>
    <t xml:space="preserve">tripti.kohli768@outlook.com</t>
  </si>
  <si>
    <t xml:space="preserve">H.No. 10, Ravi Zila</t>
  </si>
  <si>
    <t xml:space="preserve">619576</t>
  </si>
  <si>
    <t xml:space="preserve">02/08/2023</t>
  </si>
  <si>
    <t xml:space="preserve">CUST00244</t>
  </si>
  <si>
    <t xml:space="preserve">Krishna Soni</t>
  </si>
  <si>
    <t xml:space="preserve">9897558556</t>
  </si>
  <si>
    <t xml:space="preserve">krishna.soni783@outlook.com</t>
  </si>
  <si>
    <t xml:space="preserve">02/176, Chandran Path</t>
  </si>
  <si>
    <t xml:space="preserve">659398</t>
  </si>
  <si>
    <t xml:space="preserve">CUST00245</t>
  </si>
  <si>
    <t xml:space="preserve">Victor Kakar</t>
  </si>
  <si>
    <t xml:space="preserve">9760049082</t>
  </si>
  <si>
    <t xml:space="preserve">victor.kakar912@yahoo.com</t>
  </si>
  <si>
    <t xml:space="preserve">H.No. 01, Bali Road</t>
  </si>
  <si>
    <t xml:space="preserve">043350</t>
  </si>
  <si>
    <t xml:space="preserve">CUST00246</t>
  </si>
  <si>
    <t xml:space="preserve">Divya Babu</t>
  </si>
  <si>
    <t xml:space="preserve">9752245933</t>
  </si>
  <si>
    <t xml:space="preserve">divya.babu263@yahoo.com</t>
  </si>
  <si>
    <t xml:space="preserve">26/14, Khosla Street</t>
  </si>
  <si>
    <t xml:space="preserve">196931</t>
  </si>
  <si>
    <t xml:space="preserve">26/10/2024</t>
  </si>
  <si>
    <t xml:space="preserve">CUST00247</t>
  </si>
  <si>
    <t xml:space="preserve">Garima Rajagopalan</t>
  </si>
  <si>
    <t xml:space="preserve">9409610556</t>
  </si>
  <si>
    <t xml:space="preserve">garima.rajagopalan427@gmail.com</t>
  </si>
  <si>
    <t xml:space="preserve">18/501, Kata Marg</t>
  </si>
  <si>
    <t xml:space="preserve">390604</t>
  </si>
  <si>
    <t xml:space="preserve">09/12/2025</t>
  </si>
  <si>
    <t xml:space="preserve">CUST00248</t>
  </si>
  <si>
    <t xml:space="preserve">Harini Ranganathan</t>
  </si>
  <si>
    <t xml:space="preserve">9320679981</t>
  </si>
  <si>
    <t xml:space="preserve">harini.ranganathan228@yahoo.com</t>
  </si>
  <si>
    <t xml:space="preserve">H.No. 477, Parekh Ganj</t>
  </si>
  <si>
    <t xml:space="preserve">462251</t>
  </si>
  <si>
    <t xml:space="preserve">CUST00249</t>
  </si>
  <si>
    <t xml:space="preserve">Rachana Grewal</t>
  </si>
  <si>
    <t xml:space="preserve">9862278376</t>
  </si>
  <si>
    <t xml:space="preserve">rachana.grewal668@outlook.com</t>
  </si>
  <si>
    <t xml:space="preserve">H.No. 943, Butala Zila</t>
  </si>
  <si>
    <t xml:space="preserve">389833</t>
  </si>
  <si>
    <t xml:space="preserve">27/05/2023</t>
  </si>
  <si>
    <t xml:space="preserve">CUST00250</t>
  </si>
  <si>
    <t xml:space="preserve">Mitesh Rai</t>
  </si>
  <si>
    <t xml:space="preserve">9665535590</t>
  </si>
  <si>
    <t xml:space="preserve">mitesh.rai789@yahoo.com</t>
  </si>
  <si>
    <t xml:space="preserve">65/511, Morar Nagar</t>
  </si>
  <si>
    <t xml:space="preserve">259792</t>
  </si>
  <si>
    <t xml:space="preserve">21/06/2025</t>
  </si>
  <si>
    <t xml:space="preserve">CUST00251</t>
  </si>
  <si>
    <t xml:space="preserve">Jagvi Madan</t>
  </si>
  <si>
    <t xml:space="preserve">9110392405</t>
  </si>
  <si>
    <t xml:space="preserve">jagvi.madan711@gmail.com</t>
  </si>
  <si>
    <t xml:space="preserve">126, Vala Chowk</t>
  </si>
  <si>
    <t xml:space="preserve">477053</t>
  </si>
  <si>
    <t xml:space="preserve">06/01/2026</t>
  </si>
  <si>
    <t xml:space="preserve">CUST00252</t>
  </si>
  <si>
    <t xml:space="preserve">Harshil Bal</t>
  </si>
  <si>
    <t xml:space="preserve">9206980420</t>
  </si>
  <si>
    <t xml:space="preserve">harshil.bal291@gmail.com</t>
  </si>
  <si>
    <t xml:space="preserve">H.No. 81, Nair</t>
  </si>
  <si>
    <t xml:space="preserve">940701</t>
  </si>
  <si>
    <t xml:space="preserve">06/03/2025</t>
  </si>
  <si>
    <t xml:space="preserve">CUST00253</t>
  </si>
  <si>
    <t xml:space="preserve">Advik Manne</t>
  </si>
  <si>
    <t xml:space="preserve">9636815798</t>
  </si>
  <si>
    <t xml:space="preserve">advik.manne91@gmail.com</t>
  </si>
  <si>
    <t xml:space="preserve">18, Verma Ganj</t>
  </si>
  <si>
    <t xml:space="preserve">387800</t>
  </si>
  <si>
    <t xml:space="preserve">CUST00254</t>
  </si>
  <si>
    <t xml:space="preserve">Lajita Gara</t>
  </si>
  <si>
    <t xml:space="preserve">9055543840</t>
  </si>
  <si>
    <t xml:space="preserve">lajita.gara641@yahoo.com</t>
  </si>
  <si>
    <t xml:space="preserve">H.No. 44, Dhingra Chowk</t>
  </si>
  <si>
    <t xml:space="preserve">608432</t>
  </si>
  <si>
    <t xml:space="preserve">CUST00255</t>
  </si>
  <si>
    <t xml:space="preserve">Oliver Saran</t>
  </si>
  <si>
    <t xml:space="preserve">9936392649</t>
  </si>
  <si>
    <t xml:space="preserve">oliver.saran338@yahoo.com</t>
  </si>
  <si>
    <t xml:space="preserve">47, Patel Zila</t>
  </si>
  <si>
    <t xml:space="preserve">823298</t>
  </si>
  <si>
    <t xml:space="preserve">CUST00256</t>
  </si>
  <si>
    <t xml:space="preserve">Yatin Tandon</t>
  </si>
  <si>
    <t xml:space="preserve">9292518812</t>
  </si>
  <si>
    <t xml:space="preserve">yatin.tandon326@gmail.com</t>
  </si>
  <si>
    <t xml:space="preserve">12, Ahuja Road</t>
  </si>
  <si>
    <t xml:space="preserve">056647</t>
  </si>
  <si>
    <t xml:space="preserve">CUST00257</t>
  </si>
  <si>
    <t xml:space="preserve">Gaurangi Rai</t>
  </si>
  <si>
    <t xml:space="preserve">9099499939</t>
  </si>
  <si>
    <t xml:space="preserve">gaurangi.rai238@gmail.com</t>
  </si>
  <si>
    <t xml:space="preserve">56, Deshpande</t>
  </si>
  <si>
    <t xml:space="preserve">051728</t>
  </si>
  <si>
    <t xml:space="preserve">23/05/2026</t>
  </si>
  <si>
    <t xml:space="preserve">CUST00258</t>
  </si>
  <si>
    <t xml:space="preserve">Ekani Iyer</t>
  </si>
  <si>
    <t xml:space="preserve">9223306046</t>
  </si>
  <si>
    <t xml:space="preserve">ekani.iyer228@outlook.com</t>
  </si>
  <si>
    <t xml:space="preserve">H.No. 26, Manne Path</t>
  </si>
  <si>
    <t xml:space="preserve">331279</t>
  </si>
  <si>
    <t xml:space="preserve">30/09/2025</t>
  </si>
  <si>
    <t xml:space="preserve">CUST00259</t>
  </si>
  <si>
    <t xml:space="preserve">Xavier Nanda</t>
  </si>
  <si>
    <t xml:space="preserve">9096569998</t>
  </si>
  <si>
    <t xml:space="preserve">xavier.nanda538@outlook.com</t>
  </si>
  <si>
    <t xml:space="preserve">H.No. 65, Iyengar Zila</t>
  </si>
  <si>
    <t xml:space="preserve">081770</t>
  </si>
  <si>
    <t xml:space="preserve">18/05/2024</t>
  </si>
  <si>
    <t xml:space="preserve">CUST00260</t>
  </si>
  <si>
    <t xml:space="preserve">Avi Shenoy</t>
  </si>
  <si>
    <t xml:space="preserve">9034764472</t>
  </si>
  <si>
    <t xml:space="preserve">avi.shenoy433@yahoo.com</t>
  </si>
  <si>
    <t xml:space="preserve">41, Tata Marg</t>
  </si>
  <si>
    <t xml:space="preserve">908277</t>
  </si>
  <si>
    <t xml:space="preserve">05/07/2023</t>
  </si>
  <si>
    <t xml:space="preserve">CUST00261</t>
  </si>
  <si>
    <t xml:space="preserve">Chavvi Khurana</t>
  </si>
  <si>
    <t xml:space="preserve">9570279371</t>
  </si>
  <si>
    <t xml:space="preserve">chavvi.khurana257@yahoo.com</t>
  </si>
  <si>
    <t xml:space="preserve">26/617, Srinivas</t>
  </si>
  <si>
    <t xml:space="preserve">211175</t>
  </si>
  <si>
    <t xml:space="preserve">24/06/2023</t>
  </si>
  <si>
    <t xml:space="preserve">CUST00262</t>
  </si>
  <si>
    <t xml:space="preserve">Yashawini Sahota</t>
  </si>
  <si>
    <t xml:space="preserve">9602592222</t>
  </si>
  <si>
    <t xml:space="preserve">yashawini.sahota788@outlook.com</t>
  </si>
  <si>
    <t xml:space="preserve">H.No. 89, Chopra Zila</t>
  </si>
  <si>
    <t xml:space="preserve">064474</t>
  </si>
  <si>
    <t xml:space="preserve">06/07/2026</t>
  </si>
  <si>
    <t xml:space="preserve">CUST00263</t>
  </si>
  <si>
    <t xml:space="preserve">Isha Ganesan</t>
  </si>
  <si>
    <t xml:space="preserve">9407778097</t>
  </si>
  <si>
    <t xml:space="preserve">isha.ganesan244@gmail.com</t>
  </si>
  <si>
    <t xml:space="preserve">65/61, Chaudhari Nagar</t>
  </si>
  <si>
    <t xml:space="preserve">977671</t>
  </si>
  <si>
    <t xml:space="preserve">16/05/2026</t>
  </si>
  <si>
    <t xml:space="preserve">CUST00264</t>
  </si>
  <si>
    <t xml:space="preserve">Tristan Uppal</t>
  </si>
  <si>
    <t xml:space="preserve">9302205020</t>
  </si>
  <si>
    <t xml:space="preserve">tristan.uppal684@outlook.com</t>
  </si>
  <si>
    <t xml:space="preserve">56, Tella Chowk</t>
  </si>
  <si>
    <t xml:space="preserve">945101</t>
  </si>
  <si>
    <t xml:space="preserve">03/05/2025</t>
  </si>
  <si>
    <t xml:space="preserve">CUST00265</t>
  </si>
  <si>
    <t xml:space="preserve">Hemani Bakshi</t>
  </si>
  <si>
    <t xml:space="preserve">9950145561</t>
  </si>
  <si>
    <t xml:space="preserve">hemani.bakshi777@yahoo.com</t>
  </si>
  <si>
    <t xml:space="preserve">H.No. 461, Dhar Zila</t>
  </si>
  <si>
    <t xml:space="preserve">814721</t>
  </si>
  <si>
    <t xml:space="preserve">16/07/2024</t>
  </si>
  <si>
    <t xml:space="preserve">CUST00266</t>
  </si>
  <si>
    <t xml:space="preserve">Devika Oza</t>
  </si>
  <si>
    <t xml:space="preserve">9019817946</t>
  </si>
  <si>
    <t xml:space="preserve">devika.oza624@yahoo.com</t>
  </si>
  <si>
    <t xml:space="preserve">875, Chatterjee Chowk</t>
  </si>
  <si>
    <t xml:space="preserve">489952</t>
  </si>
  <si>
    <t xml:space="preserve">12/06/2026</t>
  </si>
  <si>
    <t xml:space="preserve">CUST00267</t>
  </si>
  <si>
    <t xml:space="preserve">Sneha Nagar</t>
  </si>
  <si>
    <t xml:space="preserve">9934301071</t>
  </si>
  <si>
    <t xml:space="preserve">sneha.nagar756@gmail.com</t>
  </si>
  <si>
    <t xml:space="preserve">H.No. 01, Oza Nagar</t>
  </si>
  <si>
    <t xml:space="preserve">966055</t>
  </si>
  <si>
    <t xml:space="preserve">21/02/2026</t>
  </si>
  <si>
    <t xml:space="preserve">CUST00268</t>
  </si>
  <si>
    <t xml:space="preserve">Nitesh Kohli</t>
  </si>
  <si>
    <t xml:space="preserve">9144885015</t>
  </si>
  <si>
    <t xml:space="preserve">nitesh.kohli350@yahoo.com</t>
  </si>
  <si>
    <t xml:space="preserve">25/86, Kata Chowk</t>
  </si>
  <si>
    <t xml:space="preserve">990235</t>
  </si>
  <si>
    <t xml:space="preserve">CUST00269</t>
  </si>
  <si>
    <t xml:space="preserve">Qarin Grewal</t>
  </si>
  <si>
    <t xml:space="preserve">9785760849</t>
  </si>
  <si>
    <t xml:space="preserve">qarin.grewal743@outlook.com</t>
  </si>
  <si>
    <t xml:space="preserve">09, Sengupta Ganj</t>
  </si>
  <si>
    <t xml:space="preserve">588039</t>
  </si>
  <si>
    <t xml:space="preserve">10/11/2024</t>
  </si>
  <si>
    <t xml:space="preserve">CUST00270</t>
  </si>
  <si>
    <t xml:space="preserve">Lopa Agrawal</t>
  </si>
  <si>
    <t xml:space="preserve">9056829962</t>
  </si>
  <si>
    <t xml:space="preserve">lopa.agrawal610@gmail.com</t>
  </si>
  <si>
    <t xml:space="preserve">419, Yadav Zila</t>
  </si>
  <si>
    <t xml:space="preserve">450461</t>
  </si>
  <si>
    <t xml:space="preserve">14/10/2025</t>
  </si>
  <si>
    <t xml:space="preserve">CUST00271</t>
  </si>
  <si>
    <t xml:space="preserve">Jasmit Nanda</t>
  </si>
  <si>
    <t xml:space="preserve">9215031780</t>
  </si>
  <si>
    <t xml:space="preserve">jasmit.nanda819@yahoo.com</t>
  </si>
  <si>
    <t xml:space="preserve">14, Wable Chowk</t>
  </si>
  <si>
    <t xml:space="preserve">823578</t>
  </si>
  <si>
    <t xml:space="preserve">CUST00272</t>
  </si>
  <si>
    <t xml:space="preserve">Lipika Ramanathan</t>
  </si>
  <si>
    <t xml:space="preserve">9076810409</t>
  </si>
  <si>
    <t xml:space="preserve">lipika.ramanathan893@gmail.com</t>
  </si>
  <si>
    <t xml:space="preserve">H.No. 57, Gera</t>
  </si>
  <si>
    <t xml:space="preserve">570184</t>
  </si>
  <si>
    <t xml:space="preserve">16/02/2023</t>
  </si>
  <si>
    <t xml:space="preserve">CUST00273</t>
  </si>
  <si>
    <t xml:space="preserve">Frado Desai</t>
  </si>
  <si>
    <t xml:space="preserve">9448571422</t>
  </si>
  <si>
    <t xml:space="preserve">frado.desai281@gmail.com</t>
  </si>
  <si>
    <t xml:space="preserve">H.No. 341, Prakash Street</t>
  </si>
  <si>
    <t xml:space="preserve">098813</t>
  </si>
  <si>
    <t xml:space="preserve">16/01/2026</t>
  </si>
  <si>
    <t xml:space="preserve">CUST00274</t>
  </si>
  <si>
    <t xml:space="preserve">Yasti Rama</t>
  </si>
  <si>
    <t xml:space="preserve">9932149587</t>
  </si>
  <si>
    <t xml:space="preserve">yasti.rama52@gmail.com</t>
  </si>
  <si>
    <t xml:space="preserve">29/66, Sur Street</t>
  </si>
  <si>
    <t xml:space="preserve">070160</t>
  </si>
  <si>
    <t xml:space="preserve">26/06/2023</t>
  </si>
  <si>
    <t xml:space="preserve">CUST00275</t>
  </si>
  <si>
    <t xml:space="preserve">Ojas Suri</t>
  </si>
  <si>
    <t xml:space="preserve">9453817921</t>
  </si>
  <si>
    <t xml:space="preserve">ojas.suri833@outlook.com</t>
  </si>
  <si>
    <t xml:space="preserve">257, Bera</t>
  </si>
  <si>
    <t xml:space="preserve">717477</t>
  </si>
  <si>
    <t xml:space="preserve">CUST00276</t>
  </si>
  <si>
    <t xml:space="preserve">Aditya Sundaram</t>
  </si>
  <si>
    <t xml:space="preserve">9557701715</t>
  </si>
  <si>
    <t xml:space="preserve">aditya.sundaram491@yahoo.com</t>
  </si>
  <si>
    <t xml:space="preserve">688, Rege Chowk</t>
  </si>
  <si>
    <t xml:space="preserve">245992</t>
  </si>
  <si>
    <t xml:space="preserve">06/11/2025</t>
  </si>
  <si>
    <t xml:space="preserve">CUST00277</t>
  </si>
  <si>
    <t xml:space="preserve">Ojasvi Sawhney</t>
  </si>
  <si>
    <t xml:space="preserve">9148769639</t>
  </si>
  <si>
    <t xml:space="preserve">ojasvi.sawhney250@outlook.com</t>
  </si>
  <si>
    <t xml:space="preserve">190, Master Ganj</t>
  </si>
  <si>
    <t xml:space="preserve">276153</t>
  </si>
  <si>
    <t xml:space="preserve">25/04/2026</t>
  </si>
  <si>
    <t xml:space="preserve">CUST00278</t>
  </si>
  <si>
    <t xml:space="preserve">Anvi Kar</t>
  </si>
  <si>
    <t xml:space="preserve">9321971997</t>
  </si>
  <si>
    <t xml:space="preserve">anvi.kar334@outlook.com</t>
  </si>
  <si>
    <t xml:space="preserve">797, Vaidya Circle</t>
  </si>
  <si>
    <t xml:space="preserve">172461</t>
  </si>
  <si>
    <t xml:space="preserve">CUST00279</t>
  </si>
  <si>
    <t xml:space="preserve">Ishaan Loyal</t>
  </si>
  <si>
    <t xml:space="preserve">9013290227</t>
  </si>
  <si>
    <t xml:space="preserve">ishaan.loyal545@yahoo.com</t>
  </si>
  <si>
    <t xml:space="preserve">07/83, Chaudry Marg</t>
  </si>
  <si>
    <t xml:space="preserve">699733</t>
  </si>
  <si>
    <t xml:space="preserve">10/10/2024</t>
  </si>
  <si>
    <t xml:space="preserve">CUST00280</t>
  </si>
  <si>
    <t xml:space="preserve">Chameli Bali</t>
  </si>
  <si>
    <t xml:space="preserve">9519098624</t>
  </si>
  <si>
    <t xml:space="preserve">chameli.bali64@yahoo.com</t>
  </si>
  <si>
    <t xml:space="preserve">H.No. 51, Dalal Chowk</t>
  </si>
  <si>
    <t xml:space="preserve">800851</t>
  </si>
  <si>
    <t xml:space="preserve">31/07/2024</t>
  </si>
  <si>
    <t xml:space="preserve">CUST00281</t>
  </si>
  <si>
    <t xml:space="preserve">Shaurya Panchal</t>
  </si>
  <si>
    <t xml:space="preserve">9666683272</t>
  </si>
  <si>
    <t xml:space="preserve">shaurya.panchal193@outlook.com</t>
  </si>
  <si>
    <t xml:space="preserve">923, Bhargava Ganj</t>
  </si>
  <si>
    <t xml:space="preserve">656242</t>
  </si>
  <si>
    <t xml:space="preserve">CUST00282</t>
  </si>
  <si>
    <t xml:space="preserve">Avni Yohannan</t>
  </si>
  <si>
    <t xml:space="preserve">9621267969</t>
  </si>
  <si>
    <t xml:space="preserve">avni.yohannan185@yahoo.com</t>
  </si>
  <si>
    <t xml:space="preserve">H.No. 44, Loke</t>
  </si>
  <si>
    <t xml:space="preserve">868765</t>
  </si>
  <si>
    <t xml:space="preserve">07/04/2024</t>
  </si>
  <si>
    <t xml:space="preserve">CUST00283</t>
  </si>
  <si>
    <t xml:space="preserve">Krishna Sabharwal</t>
  </si>
  <si>
    <t xml:space="preserve">9384689500</t>
  </si>
  <si>
    <t xml:space="preserve">krishna.sabharwal582@yahoo.com</t>
  </si>
  <si>
    <t xml:space="preserve">H.No. 22, Dhingra Ganj</t>
  </si>
  <si>
    <t xml:space="preserve">519712</t>
  </si>
  <si>
    <t xml:space="preserve">14/12/2025</t>
  </si>
  <si>
    <t xml:space="preserve">CUST00284</t>
  </si>
  <si>
    <t xml:space="preserve">Yug Ramaswamy</t>
  </si>
  <si>
    <t xml:space="preserve">9913718949</t>
  </si>
  <si>
    <t xml:space="preserve">yug.ramaswamy55@yahoo.com</t>
  </si>
  <si>
    <t xml:space="preserve">946, Seth Marg</t>
  </si>
  <si>
    <t xml:space="preserve">807787</t>
  </si>
  <si>
    <t xml:space="preserve">21/03/2026</t>
  </si>
  <si>
    <t xml:space="preserve">CUST00285</t>
  </si>
  <si>
    <t xml:space="preserve">Girik Rau</t>
  </si>
  <si>
    <t xml:space="preserve">9949407929</t>
  </si>
  <si>
    <t xml:space="preserve">girik.rau53@outlook.com</t>
  </si>
  <si>
    <t xml:space="preserve">57/759, Chander Nagar</t>
  </si>
  <si>
    <t xml:space="preserve">490471</t>
  </si>
  <si>
    <t xml:space="preserve">17/09/2023</t>
  </si>
  <si>
    <t xml:space="preserve">CUST00286</t>
  </si>
  <si>
    <t xml:space="preserve">Ishita Bhatnagar</t>
  </si>
  <si>
    <t xml:space="preserve">9440192927</t>
  </si>
  <si>
    <t xml:space="preserve">ishita.bhatnagar379@gmail.com</t>
  </si>
  <si>
    <t xml:space="preserve">637, Naidu Road</t>
  </si>
  <si>
    <t xml:space="preserve">437280</t>
  </si>
  <si>
    <t xml:space="preserve">03/12/2024</t>
  </si>
  <si>
    <t xml:space="preserve">CUST00287</t>
  </si>
  <si>
    <t xml:space="preserve">Geetika De</t>
  </si>
  <si>
    <t xml:space="preserve">9663723950</t>
  </si>
  <si>
    <t xml:space="preserve">geetika.de658@yahoo.com</t>
  </si>
  <si>
    <t xml:space="preserve">H.No. 00, Sharaf Zila</t>
  </si>
  <si>
    <t xml:space="preserve">102767</t>
  </si>
  <si>
    <t xml:space="preserve">09/09/2024</t>
  </si>
  <si>
    <t xml:space="preserve">CUST00288</t>
  </si>
  <si>
    <t xml:space="preserve">Jeet Dugar</t>
  </si>
  <si>
    <t xml:space="preserve">9674286047</t>
  </si>
  <si>
    <t xml:space="preserve">jeet.dugar392@outlook.com</t>
  </si>
  <si>
    <t xml:space="preserve">06, Deo Ganj</t>
  </si>
  <si>
    <t xml:space="preserve">580185</t>
  </si>
  <si>
    <t xml:space="preserve">03/06/2025</t>
  </si>
  <si>
    <t xml:space="preserve">CUST00289</t>
  </si>
  <si>
    <t xml:space="preserve">Nathan Mahal</t>
  </si>
  <si>
    <t xml:space="preserve">9149673938</t>
  </si>
  <si>
    <t xml:space="preserve">nathan.mahal346@outlook.com</t>
  </si>
  <si>
    <t xml:space="preserve">54/152, Randhawa Nagar</t>
  </si>
  <si>
    <t xml:space="preserve">258001</t>
  </si>
  <si>
    <t xml:space="preserve">25/01/2023</t>
  </si>
  <si>
    <t xml:space="preserve">CUST00290</t>
  </si>
  <si>
    <t xml:space="preserve">Vivaan Sanghvi</t>
  </si>
  <si>
    <t xml:space="preserve">9443009109</t>
  </si>
  <si>
    <t xml:space="preserve">vivaan.sanghvi673@gmail.com</t>
  </si>
  <si>
    <t xml:space="preserve">10/371, Kara Street</t>
  </si>
  <si>
    <t xml:space="preserve">911192</t>
  </si>
  <si>
    <t xml:space="preserve">CUST00291</t>
  </si>
  <si>
    <t xml:space="preserve">Aditya Anand</t>
  </si>
  <si>
    <t xml:space="preserve">9244717465</t>
  </si>
  <si>
    <t xml:space="preserve">aditya.anand264@gmail.com</t>
  </si>
  <si>
    <t xml:space="preserve">H.No. 627, Karnik Zila</t>
  </si>
  <si>
    <t xml:space="preserve">140665</t>
  </si>
  <si>
    <t xml:space="preserve">04/05/2023</t>
  </si>
  <si>
    <t xml:space="preserve">CUST00292</t>
  </si>
  <si>
    <t xml:space="preserve">Gaurav Chaudry</t>
  </si>
  <si>
    <t xml:space="preserve">9396271286</t>
  </si>
  <si>
    <t xml:space="preserve">gaurav.chaudry224@outlook.com</t>
  </si>
  <si>
    <t xml:space="preserve">H.No. 54, Raja Street</t>
  </si>
  <si>
    <t xml:space="preserve">174101</t>
  </si>
  <si>
    <t xml:space="preserve">25/05/2023</t>
  </si>
  <si>
    <t xml:space="preserve">CUST00293</t>
  </si>
  <si>
    <t xml:space="preserve">Luke Biswas</t>
  </si>
  <si>
    <t xml:space="preserve">9006425690</t>
  </si>
  <si>
    <t xml:space="preserve">luke.biswas528@outlook.com</t>
  </si>
  <si>
    <t xml:space="preserve">27/53, Sabharwal Street</t>
  </si>
  <si>
    <t xml:space="preserve">776618</t>
  </si>
  <si>
    <t xml:space="preserve">CUST00294</t>
  </si>
  <si>
    <t xml:space="preserve">Teerth Chadha</t>
  </si>
  <si>
    <t xml:space="preserve">9554601585</t>
  </si>
  <si>
    <t xml:space="preserve">teerthgmail.com</t>
  </si>
  <si>
    <t xml:space="preserve">196, Sanghvi Path</t>
  </si>
  <si>
    <t xml:space="preserve">432806</t>
  </si>
  <si>
    <t xml:space="preserve">27/01/2024</t>
  </si>
  <si>
    <t xml:space="preserve">CUST00295</t>
  </si>
  <si>
    <t xml:space="preserve">Logan Kota</t>
  </si>
  <si>
    <t xml:space="preserve">9732030937</t>
  </si>
  <si>
    <t xml:space="preserve">logan.kota399@gmail.com</t>
  </si>
  <si>
    <t xml:space="preserve">13/899, Mane</t>
  </si>
  <si>
    <t xml:space="preserve">847870</t>
  </si>
  <si>
    <t xml:space="preserve">CUST00296</t>
  </si>
  <si>
    <t xml:space="preserve">Charvi Jha</t>
  </si>
  <si>
    <t xml:space="preserve">9878293102</t>
  </si>
  <si>
    <t xml:space="preserve">charvi.jha501@outlook.com</t>
  </si>
  <si>
    <t xml:space="preserve">64/037, Chowdhury Marg</t>
  </si>
  <si>
    <t xml:space="preserve">079032</t>
  </si>
  <si>
    <t xml:space="preserve">30/01/2023</t>
  </si>
  <si>
    <t xml:space="preserve">CUST00297</t>
  </si>
  <si>
    <t xml:space="preserve">Xalak Bobal</t>
  </si>
  <si>
    <t xml:space="preserve">9911179931</t>
  </si>
  <si>
    <t xml:space="preserve">xalak.bobal824@gmail.com</t>
  </si>
  <si>
    <t xml:space="preserve">H.No. 52, Salvi Marg</t>
  </si>
  <si>
    <t xml:space="preserve">656519</t>
  </si>
  <si>
    <t xml:space="preserve">22/01/2026</t>
  </si>
  <si>
    <t xml:space="preserve">CUST00298</t>
  </si>
  <si>
    <t xml:space="preserve">Orinder Sinha</t>
  </si>
  <si>
    <t xml:space="preserve">9142625827</t>
  </si>
  <si>
    <t xml:space="preserve">orinder.sinha250@outlook.com</t>
  </si>
  <si>
    <t xml:space="preserve">H.No. 910, Kale Road</t>
  </si>
  <si>
    <t xml:space="preserve">021962</t>
  </si>
  <si>
    <t xml:space="preserve">CUST00299</t>
  </si>
  <si>
    <t xml:space="preserve">Darpan Rao</t>
  </si>
  <si>
    <t xml:space="preserve">9946723248</t>
  </si>
  <si>
    <t xml:space="preserve">darpan.rao462@yahoo.com</t>
  </si>
  <si>
    <t xml:space="preserve">86/661, Yogi Circle</t>
  </si>
  <si>
    <t xml:space="preserve">329092</t>
  </si>
  <si>
    <t xml:space="preserve">CUST00300</t>
  </si>
  <si>
    <t xml:space="preserve">Arunima Chacko</t>
  </si>
  <si>
    <t xml:space="preserve">9833181958</t>
  </si>
  <si>
    <t xml:space="preserve">arunima.chacko520@gmail.com</t>
  </si>
  <si>
    <t xml:space="preserve">H.No. 832, Narain Circle</t>
  </si>
  <si>
    <t xml:space="preserve">734031</t>
  </si>
  <si>
    <t xml:space="preserve">02/11/2023</t>
  </si>
  <si>
    <t xml:space="preserve">CUST00301</t>
  </si>
  <si>
    <t xml:space="preserve">Dominic Mukherjee</t>
  </si>
  <si>
    <t xml:space="preserve">9005436459</t>
  </si>
  <si>
    <t xml:space="preserve">dominic.mukherjee825@yahoo.com</t>
  </si>
  <si>
    <t xml:space="preserve">30/316, Setty Zila</t>
  </si>
  <si>
    <t xml:space="preserve">010822</t>
  </si>
  <si>
    <t xml:space="preserve">01/03/2023</t>
  </si>
  <si>
    <t xml:space="preserve">CUST00302</t>
  </si>
  <si>
    <t xml:space="preserve">Dayamai Gill</t>
  </si>
  <si>
    <t xml:space="preserve">9956353153</t>
  </si>
  <si>
    <t xml:space="preserve">dayamai.gill101@gmail.com</t>
  </si>
  <si>
    <t xml:space="preserve">H.No. 202, Palan Chowk</t>
  </si>
  <si>
    <t xml:space="preserve">636317</t>
  </si>
  <si>
    <t xml:space="preserve">13/04/2026</t>
  </si>
  <si>
    <t xml:space="preserve">CUST00303</t>
  </si>
  <si>
    <t xml:space="preserve">Ojas Prabhu</t>
  </si>
  <si>
    <t xml:space="preserve">9726527354</t>
  </si>
  <si>
    <t xml:space="preserve">ojas.prabhu208@yahoo.com</t>
  </si>
  <si>
    <t xml:space="preserve">41/056, Viswanathan Road</t>
  </si>
  <si>
    <t xml:space="preserve">209042</t>
  </si>
  <si>
    <t xml:space="preserve">16/08/2023</t>
  </si>
  <si>
    <t xml:space="preserve">CUST00304</t>
  </si>
  <si>
    <t xml:space="preserve">Adya Bose</t>
  </si>
  <si>
    <t xml:space="preserve">9492929831</t>
  </si>
  <si>
    <t xml:space="preserve">adya.bose422@outlook.com</t>
  </si>
  <si>
    <t xml:space="preserve">85, Tata Nagar</t>
  </si>
  <si>
    <t xml:space="preserve">739774</t>
  </si>
  <si>
    <t xml:space="preserve">CUST00305</t>
  </si>
  <si>
    <t xml:space="preserve">Jhalak Dugar</t>
  </si>
  <si>
    <t xml:space="preserve">9392906007</t>
  </si>
  <si>
    <t xml:space="preserve">jhalak.dugar752@outlook.com</t>
  </si>
  <si>
    <t xml:space="preserve">H.No. 913, Agate Circle</t>
  </si>
  <si>
    <t xml:space="preserve">068671</t>
  </si>
  <si>
    <t xml:space="preserve">15/07/2025</t>
  </si>
  <si>
    <t xml:space="preserve">CUST00306</t>
  </si>
  <si>
    <t xml:space="preserve">Advik Konda</t>
  </si>
  <si>
    <t xml:space="preserve">9325431074</t>
  </si>
  <si>
    <t xml:space="preserve">advik.konda166@outlook.com</t>
  </si>
  <si>
    <t xml:space="preserve">56, Gola Street</t>
  </si>
  <si>
    <t xml:space="preserve">799077</t>
  </si>
  <si>
    <t xml:space="preserve">11/10/2023</t>
  </si>
  <si>
    <t xml:space="preserve">CUST00307</t>
  </si>
  <si>
    <t xml:space="preserve">  Oni Kapur   </t>
  </si>
  <si>
    <t xml:space="preserve">9016580464</t>
  </si>
  <si>
    <t xml:space="preserve">oni.kapur715@outlook.com</t>
  </si>
  <si>
    <t xml:space="preserve">654, Pradhan Zila</t>
  </si>
  <si>
    <t xml:space="preserve">893195</t>
  </si>
  <si>
    <t xml:space="preserve">23/04/2023</t>
  </si>
  <si>
    <t xml:space="preserve">CUST00308</t>
  </si>
  <si>
    <t xml:space="preserve">Yadavi Ben</t>
  </si>
  <si>
    <t xml:space="preserve">9579055281</t>
  </si>
  <si>
    <t xml:space="preserve">yadavi.ben575@outlook.com</t>
  </si>
  <si>
    <t xml:space="preserve">806, Shroff Zila</t>
  </si>
  <si>
    <t xml:space="preserve">325381</t>
  </si>
  <si>
    <t xml:space="preserve">06/09/2025</t>
  </si>
  <si>
    <t xml:space="preserve">CUST00309</t>
  </si>
  <si>
    <t xml:space="preserve">Deepa Narang</t>
  </si>
  <si>
    <t xml:space="preserve">9554864015</t>
  </si>
  <si>
    <t xml:space="preserve">deepa.narang354@yahoo.com</t>
  </si>
  <si>
    <t xml:space="preserve">70/53, Modi Road</t>
  </si>
  <si>
    <t xml:space="preserve">788178</t>
  </si>
  <si>
    <t xml:space="preserve">27/12/2025</t>
  </si>
  <si>
    <t xml:space="preserve">CUST00310</t>
  </si>
  <si>
    <t xml:space="preserve">Ucchal Pillay</t>
  </si>
  <si>
    <t xml:space="preserve">9711624112</t>
  </si>
  <si>
    <t xml:space="preserve">ucchal.pillay283@gmail.com</t>
  </si>
  <si>
    <t xml:space="preserve">832, Rout Nagar</t>
  </si>
  <si>
    <t xml:space="preserve">272380</t>
  </si>
  <si>
    <t xml:space="preserve">23/08/2024</t>
  </si>
  <si>
    <t xml:space="preserve">CUST00311</t>
  </si>
  <si>
    <t xml:space="preserve">Viraj Pal</t>
  </si>
  <si>
    <t xml:space="preserve">9704310385</t>
  </si>
  <si>
    <t xml:space="preserve">viraj.pal422@outlook.com</t>
  </si>
  <si>
    <t xml:space="preserve">H.No. 06, Chawla Road</t>
  </si>
  <si>
    <t xml:space="preserve">557988</t>
  </si>
  <si>
    <t xml:space="preserve">30/06/2025</t>
  </si>
  <si>
    <t xml:space="preserve">CUST00312</t>
  </si>
  <si>
    <t xml:space="preserve">Wazir Saini</t>
  </si>
  <si>
    <t xml:space="preserve">9375402547</t>
  </si>
  <si>
    <t xml:space="preserve">wazir.saini980@gmail.com</t>
  </si>
  <si>
    <t xml:space="preserve">H.No. 241, Kata Nagar</t>
  </si>
  <si>
    <t xml:space="preserve">928422</t>
  </si>
  <si>
    <t xml:space="preserve">CUST00313</t>
  </si>
  <si>
    <t xml:space="preserve">Kashish Shanker</t>
  </si>
  <si>
    <t xml:space="preserve">9452380552</t>
  </si>
  <si>
    <t xml:space="preserve">kashish.shanker382@yahoo.com</t>
  </si>
  <si>
    <t xml:space="preserve">18/26, Bhatia Zila</t>
  </si>
  <si>
    <t xml:space="preserve">828410</t>
  </si>
  <si>
    <t xml:space="preserve">08/04/2025</t>
  </si>
  <si>
    <t xml:space="preserve">CUST00314</t>
  </si>
  <si>
    <t xml:space="preserve">Kalpit Khalsa</t>
  </si>
  <si>
    <t xml:space="preserve">9885474929</t>
  </si>
  <si>
    <t xml:space="preserve">kalpit.khalsa747@yahoo.com</t>
  </si>
  <si>
    <t xml:space="preserve">H.No. 56, Nadkarni Path</t>
  </si>
  <si>
    <t xml:space="preserve">517028</t>
  </si>
  <si>
    <t xml:space="preserve">28/08/2023</t>
  </si>
  <si>
    <t xml:space="preserve">CUST00315</t>
  </si>
  <si>
    <t xml:space="preserve">Anita Kaur</t>
  </si>
  <si>
    <t xml:space="preserve">9509398343</t>
  </si>
  <si>
    <t xml:space="preserve">anita.kaur24@gmail.com</t>
  </si>
  <si>
    <t xml:space="preserve">291, Cherian Street</t>
  </si>
  <si>
    <t xml:space="preserve">871863</t>
  </si>
  <si>
    <t xml:space="preserve">01/10/2025</t>
  </si>
  <si>
    <t xml:space="preserve">CUST00316</t>
  </si>
  <si>
    <t xml:space="preserve">Shivani Shukla</t>
  </si>
  <si>
    <t xml:space="preserve">9656504554</t>
  </si>
  <si>
    <t xml:space="preserve">shivani.shukla457@outlook.com</t>
  </si>
  <si>
    <t xml:space="preserve">18, Johal Path</t>
  </si>
  <si>
    <t xml:space="preserve">137674</t>
  </si>
  <si>
    <t xml:space="preserve">02/12/2023</t>
  </si>
  <si>
    <t xml:space="preserve">CUST00317</t>
  </si>
  <si>
    <t xml:space="preserve">Darika Sheth</t>
  </si>
  <si>
    <t xml:space="preserve">9912347851</t>
  </si>
  <si>
    <t xml:space="preserve">darika.sheth956@outlook.com</t>
  </si>
  <si>
    <t xml:space="preserve">H.No. 124, Baria</t>
  </si>
  <si>
    <t xml:space="preserve">610646</t>
  </si>
  <si>
    <t xml:space="preserve">25/12/2023</t>
  </si>
  <si>
    <t xml:space="preserve">CUST00318</t>
  </si>
  <si>
    <t xml:space="preserve">Falak Divan</t>
  </si>
  <si>
    <t xml:space="preserve">9648704947</t>
  </si>
  <si>
    <t xml:space="preserve">falak.divan573@outlook.com</t>
  </si>
  <si>
    <t xml:space="preserve">35/680, Lad Road</t>
  </si>
  <si>
    <t xml:space="preserve">730024</t>
  </si>
  <si>
    <t xml:space="preserve">CUST00319</t>
  </si>
  <si>
    <t xml:space="preserve">Azaan Ravel</t>
  </si>
  <si>
    <t xml:space="preserve">9462730147</t>
  </si>
  <si>
    <t xml:space="preserve">azaan.ravel994@gmail.com</t>
  </si>
  <si>
    <t xml:space="preserve">83/17, Dey Zila</t>
  </si>
  <si>
    <t xml:space="preserve">959796</t>
  </si>
  <si>
    <t xml:space="preserve">12/06/2024</t>
  </si>
  <si>
    <t xml:space="preserve">CUST00320</t>
  </si>
  <si>
    <t xml:space="preserve">Advik Bhatia</t>
  </si>
  <si>
    <t xml:space="preserve">9904290257</t>
  </si>
  <si>
    <t xml:space="preserve">advik.bhatia900@outlook.com</t>
  </si>
  <si>
    <t xml:space="preserve">365, Lad Zila</t>
  </si>
  <si>
    <t xml:space="preserve">252045</t>
  </si>
  <si>
    <t xml:space="preserve">CUST00321</t>
  </si>
  <si>
    <t xml:space="preserve">Anthony Bhattacharyya</t>
  </si>
  <si>
    <t xml:space="preserve">9183219285</t>
  </si>
  <si>
    <t xml:space="preserve">anthony.bhattacharyya894@yahoo.com</t>
  </si>
  <si>
    <t xml:space="preserve">72/151, Shenoy Nagar</t>
  </si>
  <si>
    <t xml:space="preserve">445189</t>
  </si>
  <si>
    <t xml:space="preserve">21/12/2024</t>
  </si>
  <si>
    <t xml:space="preserve">CUST00322</t>
  </si>
  <si>
    <t xml:space="preserve">Om Sant</t>
  </si>
  <si>
    <t xml:space="preserve">9765213283</t>
  </si>
  <si>
    <t xml:space="preserve">om.sant852@gmail.com</t>
  </si>
  <si>
    <t xml:space="preserve">06, Gera Marg</t>
  </si>
  <si>
    <t xml:space="preserve">898881</t>
  </si>
  <si>
    <t xml:space="preserve">04/05/2025</t>
  </si>
  <si>
    <t xml:space="preserve">CUST00323</t>
  </si>
  <si>
    <t xml:space="preserve">Tanish Grover</t>
  </si>
  <si>
    <t xml:space="preserve">9452798524</t>
  </si>
  <si>
    <t xml:space="preserve">tanish.grover30@outlook.com</t>
  </si>
  <si>
    <t xml:space="preserve">H.No. 72, Korpal Nagar</t>
  </si>
  <si>
    <t xml:space="preserve">132234</t>
  </si>
  <si>
    <t xml:space="preserve">CUST00324</t>
  </si>
  <si>
    <t xml:space="preserve">Wishi Sabharwal</t>
  </si>
  <si>
    <t xml:space="preserve">9110760310</t>
  </si>
  <si>
    <t xml:space="preserve">wishi.sabharwal813@outlook.com</t>
  </si>
  <si>
    <t xml:space="preserve">H.No. 146, Saini Street</t>
  </si>
  <si>
    <t xml:space="preserve">890714</t>
  </si>
  <si>
    <t xml:space="preserve">CUST00325</t>
  </si>
  <si>
    <t xml:space="preserve">Zaid Bahl</t>
  </si>
  <si>
    <t xml:space="preserve">9393250124</t>
  </si>
  <si>
    <t xml:space="preserve">zaid.bahl972@outlook.com</t>
  </si>
  <si>
    <t xml:space="preserve">57/875, Thakkar</t>
  </si>
  <si>
    <t xml:space="preserve">552893</t>
  </si>
  <si>
    <t xml:space="preserve">31/10/2025</t>
  </si>
  <si>
    <t xml:space="preserve">CUST00326</t>
  </si>
  <si>
    <t xml:space="preserve">Lipika Madan</t>
  </si>
  <si>
    <t xml:space="preserve">9342801387</t>
  </si>
  <si>
    <t xml:space="preserve">lipika.madan376@outlook.com</t>
  </si>
  <si>
    <t xml:space="preserve">H.No. 593, Mand Nagar</t>
  </si>
  <si>
    <t xml:space="preserve">Jharsuguda</t>
  </si>
  <si>
    <t xml:space="preserve">927125</t>
  </si>
  <si>
    <t xml:space="preserve">CUST00327</t>
  </si>
  <si>
    <t xml:space="preserve">Urmi Wagle</t>
  </si>
  <si>
    <t xml:space="preserve">9517182754</t>
  </si>
  <si>
    <t xml:space="preserve">urmi.wagle571@outlook.com</t>
  </si>
  <si>
    <t xml:space="preserve">32/13, Lata Ganj</t>
  </si>
  <si>
    <t xml:space="preserve">015716</t>
  </si>
  <si>
    <t xml:space="preserve">CUST00328</t>
  </si>
  <si>
    <t xml:space="preserve">Theodore Rama</t>
  </si>
  <si>
    <t xml:space="preserve">9463175207</t>
  </si>
  <si>
    <t xml:space="preserve">theodore.rama689@gmail.com</t>
  </si>
  <si>
    <t xml:space="preserve">239, Parmer Path</t>
  </si>
  <si>
    <t xml:space="preserve">678112</t>
  </si>
  <si>
    <t xml:space="preserve">19/03/2025</t>
  </si>
  <si>
    <t xml:space="preserve">CUST00329</t>
  </si>
  <si>
    <t xml:space="preserve">Indira Dhar</t>
  </si>
  <si>
    <t xml:space="preserve">9353961367</t>
  </si>
  <si>
    <t xml:space="preserve">indira.dhar286@outlook.com</t>
  </si>
  <si>
    <t xml:space="preserve">84, Swaminathan Street</t>
  </si>
  <si>
    <t xml:space="preserve">994657</t>
  </si>
  <si>
    <t xml:space="preserve">20/05/2026</t>
  </si>
  <si>
    <t xml:space="preserve">CUST00330</t>
  </si>
  <si>
    <t xml:space="preserve">Gautam Bhalla</t>
  </si>
  <si>
    <t xml:space="preserve">9114773201</t>
  </si>
  <si>
    <t xml:space="preserve">gautam.bhalla756@gmail.com</t>
  </si>
  <si>
    <t xml:space="preserve">30/87, Narula Nagar</t>
  </si>
  <si>
    <t xml:space="preserve">170269</t>
  </si>
  <si>
    <t xml:space="preserve">CUST00331</t>
  </si>
  <si>
    <t xml:space="preserve">Kalpit Oak</t>
  </si>
  <si>
    <t xml:space="preserve">9877347784</t>
  </si>
  <si>
    <t xml:space="preserve">kalpit.oak556@yahoo.com</t>
  </si>
  <si>
    <t xml:space="preserve">H.No. 00, Dhar Street</t>
  </si>
  <si>
    <t xml:space="preserve">880061</t>
  </si>
  <si>
    <t xml:space="preserve">24/02/2025</t>
  </si>
  <si>
    <t xml:space="preserve">CUST00332</t>
  </si>
  <si>
    <t xml:space="preserve">Janya Bora</t>
  </si>
  <si>
    <t xml:space="preserve">9284276246</t>
  </si>
  <si>
    <t xml:space="preserve">janya.bora500@gmail.com</t>
  </si>
  <si>
    <t xml:space="preserve">69/154, Deshpande Path</t>
  </si>
  <si>
    <t xml:space="preserve">978897</t>
  </si>
  <si>
    <t xml:space="preserve">CUST00333</t>
  </si>
  <si>
    <t xml:space="preserve">Rajeshri Sur</t>
  </si>
  <si>
    <t xml:space="preserve">9969545009</t>
  </si>
  <si>
    <t xml:space="preserve">rajeshri.sur47@gmail.com</t>
  </si>
  <si>
    <t xml:space="preserve">895, Gill Ganj</t>
  </si>
  <si>
    <t xml:space="preserve">559056</t>
  </si>
  <si>
    <t xml:space="preserve">19/07/2023</t>
  </si>
  <si>
    <t xml:space="preserve">CUST00334</t>
  </si>
  <si>
    <t xml:space="preserve">Damyanti Menon</t>
  </si>
  <si>
    <t xml:space="preserve">9333491141</t>
  </si>
  <si>
    <t xml:space="preserve">damyanti.menon346@gmail.com</t>
  </si>
  <si>
    <t xml:space="preserve">096, Bali</t>
  </si>
  <si>
    <t xml:space="preserve">085076</t>
  </si>
  <si>
    <t xml:space="preserve">09/03/2026</t>
  </si>
  <si>
    <t xml:space="preserve">CUST00335</t>
  </si>
  <si>
    <t xml:space="preserve">Eesha Kant</t>
  </si>
  <si>
    <t xml:space="preserve">9056965917</t>
  </si>
  <si>
    <t xml:space="preserve">eesha.kant103@outlook.com</t>
  </si>
  <si>
    <t xml:space="preserve">25, Khanna Zila</t>
  </si>
  <si>
    <t xml:space="preserve">357852</t>
  </si>
  <si>
    <t xml:space="preserve">CUST00336</t>
  </si>
  <si>
    <t xml:space="preserve">Ekaja Ganesh</t>
  </si>
  <si>
    <t xml:space="preserve">9183440496</t>
  </si>
  <si>
    <t xml:space="preserve">ekaja.ganesh824@gmail.com</t>
  </si>
  <si>
    <t xml:space="preserve">57/043, Bir Ganj</t>
  </si>
  <si>
    <t xml:space="preserve">919195</t>
  </si>
  <si>
    <t xml:space="preserve">13/07/2024</t>
  </si>
  <si>
    <t xml:space="preserve">CUST00337</t>
  </si>
  <si>
    <t xml:space="preserve">Aahana Chokshi</t>
  </si>
  <si>
    <t xml:space="preserve">9148468536</t>
  </si>
  <si>
    <t xml:space="preserve">aahana.chokshi412@yahoo.com</t>
  </si>
  <si>
    <t xml:space="preserve">H.No. 676, Sachdev Street</t>
  </si>
  <si>
    <t xml:space="preserve">987820</t>
  </si>
  <si>
    <t xml:space="preserve">09/07/2026</t>
  </si>
  <si>
    <t xml:space="preserve">CUST00338</t>
  </si>
  <si>
    <t xml:space="preserve">Kritika Panchal</t>
  </si>
  <si>
    <t xml:space="preserve">9748969083</t>
  </si>
  <si>
    <t xml:space="preserve">kritika.panchal374@yahoo.com</t>
  </si>
  <si>
    <t xml:space="preserve">H.No. 793, Seth Street</t>
  </si>
  <si>
    <t xml:space="preserve">232466</t>
  </si>
  <si>
    <t xml:space="preserve">14/10/2024</t>
  </si>
  <si>
    <t xml:space="preserve">CUST00339</t>
  </si>
  <si>
    <t xml:space="preserve">Bahadurjit Menon</t>
  </si>
  <si>
    <t xml:space="preserve">9424936312</t>
  </si>
  <si>
    <t xml:space="preserve">bahadurjit.menon197@gmail.com</t>
  </si>
  <si>
    <t xml:space="preserve">H.No. 41, Oommen Zila</t>
  </si>
  <si>
    <t xml:space="preserve">347786</t>
  </si>
  <si>
    <t xml:space="preserve">14/05/2025</t>
  </si>
  <si>
    <t xml:space="preserve">CUST00340</t>
  </si>
  <si>
    <t xml:space="preserve">Keya Dyal</t>
  </si>
  <si>
    <t xml:space="preserve">9448207001</t>
  </si>
  <si>
    <t xml:space="preserve">keya.dyal322@outlook.com</t>
  </si>
  <si>
    <t xml:space="preserve">15/99, Balasubramanian Chowk</t>
  </si>
  <si>
    <t xml:space="preserve">416516</t>
  </si>
  <si>
    <t xml:space="preserve">15/10/2023</t>
  </si>
  <si>
    <t xml:space="preserve">CUST00341</t>
  </si>
  <si>
    <t xml:space="preserve">Nitesh Saraf</t>
  </si>
  <si>
    <t xml:space="preserve">9984713915</t>
  </si>
  <si>
    <t xml:space="preserve">nitesh.saraf338@outlook.com</t>
  </si>
  <si>
    <t xml:space="preserve">H.No. 153, Rout Ganj</t>
  </si>
  <si>
    <t xml:space="preserve">636321</t>
  </si>
  <si>
    <t xml:space="preserve">CUST00342</t>
  </si>
  <si>
    <t xml:space="preserve">Baghyawati Mishra</t>
  </si>
  <si>
    <t xml:space="preserve">9078515867</t>
  </si>
  <si>
    <t xml:space="preserve">baghyawati.mishra700@gmail.com</t>
  </si>
  <si>
    <t xml:space="preserve">H.No. 069, Swaminathan Circle</t>
  </si>
  <si>
    <t xml:space="preserve">425754</t>
  </si>
  <si>
    <t xml:space="preserve">13/02/2023</t>
  </si>
  <si>
    <t xml:space="preserve">CUST00343</t>
  </si>
  <si>
    <t xml:space="preserve">Chatura Patel</t>
  </si>
  <si>
    <t xml:space="preserve">9348645183</t>
  </si>
  <si>
    <t xml:space="preserve">chatura.patel879@yahoo.com</t>
  </si>
  <si>
    <t xml:space="preserve">14, Srinivasan</t>
  </si>
  <si>
    <t xml:space="preserve">606441</t>
  </si>
  <si>
    <t xml:space="preserve">CUST00344</t>
  </si>
  <si>
    <t xml:space="preserve">Gunbir Bal</t>
  </si>
  <si>
    <t xml:space="preserve">9604177656</t>
  </si>
  <si>
    <t xml:space="preserve">gunbir.bal898@gmail.com</t>
  </si>
  <si>
    <t xml:space="preserve">417, Morar Zila</t>
  </si>
  <si>
    <t xml:space="preserve">248156</t>
  </si>
  <si>
    <t xml:space="preserve">18/05/2026</t>
  </si>
  <si>
    <t xml:space="preserve">CUST00345</t>
  </si>
  <si>
    <t xml:space="preserve">Urishilla Suresh</t>
  </si>
  <si>
    <t xml:space="preserve">9027206345</t>
  </si>
  <si>
    <t xml:space="preserve">urishilla.suresh590@gmail.com</t>
  </si>
  <si>
    <t xml:space="preserve">H.No. 862, Raj Path</t>
  </si>
  <si>
    <t xml:space="preserve">Delhi </t>
  </si>
  <si>
    <t xml:space="preserve">123829</t>
  </si>
  <si>
    <t xml:space="preserve">20/04/2025</t>
  </si>
  <si>
    <t xml:space="preserve">CUST00346</t>
  </si>
  <si>
    <t xml:space="preserve">Rachit Sehgal</t>
  </si>
  <si>
    <t xml:space="preserve">9954316526</t>
  </si>
  <si>
    <t xml:space="preserve">rachit.sehgal898@yahoo.com</t>
  </si>
  <si>
    <t xml:space="preserve">H.No. 77, Kara Road</t>
  </si>
  <si>
    <t xml:space="preserve">930089</t>
  </si>
  <si>
    <t xml:space="preserve">07/07/2026</t>
  </si>
  <si>
    <t xml:space="preserve">CUST00347</t>
  </si>
  <si>
    <t xml:space="preserve">David Dora</t>
  </si>
  <si>
    <t xml:space="preserve">9206969421</t>
  </si>
  <si>
    <t xml:space="preserve">david.dora982@yahoo.com</t>
  </si>
  <si>
    <t xml:space="preserve">H.No. 586, Karan</t>
  </si>
  <si>
    <t xml:space="preserve">291086</t>
  </si>
  <si>
    <t xml:space="preserve">18/07/2025</t>
  </si>
  <si>
    <t xml:space="preserve">CUST00348</t>
  </si>
  <si>
    <t xml:space="preserve">Lila Virk</t>
  </si>
  <si>
    <t xml:space="preserve">9447626393</t>
  </si>
  <si>
    <t xml:space="preserve">lila.virk844@yahoo.com</t>
  </si>
  <si>
    <t xml:space="preserve">79/37, Brar Road</t>
  </si>
  <si>
    <t xml:space="preserve">362620</t>
  </si>
  <si>
    <t xml:space="preserve">17/08/2024</t>
  </si>
  <si>
    <t xml:space="preserve">CUST00349</t>
  </si>
  <si>
    <t xml:space="preserve">Bakhshi Thakkar</t>
  </si>
  <si>
    <t xml:space="preserve">9710725636</t>
  </si>
  <si>
    <t xml:space="preserve">bakhshigmail.com</t>
  </si>
  <si>
    <t xml:space="preserve">H.No. 722, Hans Ganj</t>
  </si>
  <si>
    <t xml:space="preserve">941180</t>
  </si>
  <si>
    <t xml:space="preserve">17/04/2023</t>
  </si>
  <si>
    <t xml:space="preserve">CUST00350</t>
  </si>
  <si>
    <t xml:space="preserve">Brijesh Sampath</t>
  </si>
  <si>
    <t xml:space="preserve">9896465280</t>
  </si>
  <si>
    <t xml:space="preserve">brijesh.sampath595@gmail.com</t>
  </si>
  <si>
    <t xml:space="preserve">63/294, Bhavsar Path</t>
  </si>
  <si>
    <t xml:space="preserve">428757</t>
  </si>
  <si>
    <t xml:space="preserve">28/09/2023</t>
  </si>
  <si>
    <t xml:space="preserve">CUST00351</t>
  </si>
  <si>
    <t xml:space="preserve">Lipika Ranganathan</t>
  </si>
  <si>
    <t xml:space="preserve">9502745644</t>
  </si>
  <si>
    <t xml:space="preserve">lipika.ranganathan628@yahoo.com</t>
  </si>
  <si>
    <t xml:space="preserve">H.No. 87, Virk Nagar</t>
  </si>
  <si>
    <t xml:space="preserve">856257</t>
  </si>
  <si>
    <t xml:space="preserve">06/11/2023</t>
  </si>
  <si>
    <t xml:space="preserve">CUST00352</t>
  </si>
  <si>
    <t xml:space="preserve">Isaiah Sachdeva</t>
  </si>
  <si>
    <t xml:space="preserve">9032074276</t>
  </si>
  <si>
    <t xml:space="preserve">isaiah.sachdeva119@yahoo.com</t>
  </si>
  <si>
    <t xml:space="preserve">999, Cherian Zila</t>
  </si>
  <si>
    <t xml:space="preserve">075877</t>
  </si>
  <si>
    <t xml:space="preserve">06/10/2025</t>
  </si>
  <si>
    <t xml:space="preserve">CUST00353</t>
  </si>
  <si>
    <t xml:space="preserve">Bhavika Wason</t>
  </si>
  <si>
    <t xml:space="preserve">9422849939</t>
  </si>
  <si>
    <t xml:space="preserve">bhavika.wason995@gmail.com</t>
  </si>
  <si>
    <t xml:space="preserve">46, Solanki Chowk</t>
  </si>
  <si>
    <t xml:space="preserve">892613</t>
  </si>
  <si>
    <t xml:space="preserve">CUST00354</t>
  </si>
  <si>
    <t xml:space="preserve">Orinder Majumdar</t>
  </si>
  <si>
    <t xml:space="preserve">9165915201</t>
  </si>
  <si>
    <t xml:space="preserve">orinder.majumdar472@outlook.com</t>
  </si>
  <si>
    <t xml:space="preserve">996, Randhawa Nagar</t>
  </si>
  <si>
    <t xml:space="preserve">Rourkela</t>
  </si>
  <si>
    <t xml:space="preserve">774905</t>
  </si>
  <si>
    <t xml:space="preserve">CUST00355</t>
  </si>
  <si>
    <t xml:space="preserve">Wazir Bawa</t>
  </si>
  <si>
    <t xml:space="preserve">9923045018</t>
  </si>
  <si>
    <t xml:space="preserve">wazir.bawa975@outlook.com</t>
  </si>
  <si>
    <t xml:space="preserve">H.No. 50, Mitter Path</t>
  </si>
  <si>
    <t xml:space="preserve">616423</t>
  </si>
  <si>
    <t xml:space="preserve">CUST00356</t>
  </si>
  <si>
    <t xml:space="preserve">Avni Swamy</t>
  </si>
  <si>
    <t xml:space="preserve">9421476492</t>
  </si>
  <si>
    <t xml:space="preserve">avni.swamy368@outlook.com</t>
  </si>
  <si>
    <t xml:space="preserve">247, Luthra Path</t>
  </si>
  <si>
    <t xml:space="preserve">158377</t>
  </si>
  <si>
    <t xml:space="preserve">05/03/2025</t>
  </si>
  <si>
    <t xml:space="preserve">CUST00357</t>
  </si>
  <si>
    <t xml:space="preserve">Gaurav Guha</t>
  </si>
  <si>
    <t xml:space="preserve">9592661085</t>
  </si>
  <si>
    <t xml:space="preserve">gaurav.guha997@yahoo.com</t>
  </si>
  <si>
    <t xml:space="preserve">678, Bhalla Path</t>
  </si>
  <si>
    <t xml:space="preserve">327881</t>
  </si>
  <si>
    <t xml:space="preserve">18/08/2024</t>
  </si>
  <si>
    <t xml:space="preserve">CUST00358</t>
  </si>
  <si>
    <t xml:space="preserve">Dominic Mukhopadhyay</t>
  </si>
  <si>
    <t xml:space="preserve">9438649081</t>
  </si>
  <si>
    <t xml:space="preserve">dominic.mukhopadhyay940@gmail.com</t>
  </si>
  <si>
    <t xml:space="preserve">890, Hans Street</t>
  </si>
  <si>
    <t xml:space="preserve">818661</t>
  </si>
  <si>
    <t xml:space="preserve">09/08/2025</t>
  </si>
  <si>
    <t xml:space="preserve">CUST00359</t>
  </si>
  <si>
    <t xml:space="preserve">Dalbir Krish</t>
  </si>
  <si>
    <t xml:space="preserve">9801722601</t>
  </si>
  <si>
    <t xml:space="preserve">dalbir.krish427@outlook.com</t>
  </si>
  <si>
    <t xml:space="preserve">05, Mahal Ganj</t>
  </si>
  <si>
    <t xml:space="preserve">459779</t>
  </si>
  <si>
    <t xml:space="preserve">26/06/2024</t>
  </si>
  <si>
    <t xml:space="preserve">CUST00360</t>
  </si>
  <si>
    <t xml:space="preserve">Ucchal Tiwari</t>
  </si>
  <si>
    <t xml:space="preserve">9941680061</t>
  </si>
  <si>
    <t xml:space="preserve">ucchal.tiwari14@gmail.com</t>
  </si>
  <si>
    <t xml:space="preserve">10/357, Sehgal</t>
  </si>
  <si>
    <t xml:space="preserve">776974</t>
  </si>
  <si>
    <t xml:space="preserve">CUST00361</t>
  </si>
  <si>
    <t xml:space="preserve">Urvi Palla</t>
  </si>
  <si>
    <t xml:space="preserve">9203103037</t>
  </si>
  <si>
    <t xml:space="preserve">urvi.palla665@gmail.com</t>
  </si>
  <si>
    <t xml:space="preserve">414, Raju Nagar</t>
  </si>
  <si>
    <t xml:space="preserve">368314</t>
  </si>
  <si>
    <t xml:space="preserve">07/08/2025</t>
  </si>
  <si>
    <t xml:space="preserve">CUST00362</t>
  </si>
  <si>
    <t xml:space="preserve">Nicholas Kala</t>
  </si>
  <si>
    <t xml:space="preserve">9777079334</t>
  </si>
  <si>
    <t xml:space="preserve">nicholas.kala584@yahoo.com</t>
  </si>
  <si>
    <t xml:space="preserve">33/468, Andra Nagar</t>
  </si>
  <si>
    <t xml:space="preserve">050166</t>
  </si>
  <si>
    <t xml:space="preserve">12/10/2025</t>
  </si>
  <si>
    <t xml:space="preserve">CUST00363</t>
  </si>
  <si>
    <t xml:space="preserve">Kevin Ghose</t>
  </si>
  <si>
    <t xml:space="preserve">9678997308</t>
  </si>
  <si>
    <t xml:space="preserve">kevin.ghose20@yahoo.com</t>
  </si>
  <si>
    <t xml:space="preserve">494, Sampath Road</t>
  </si>
  <si>
    <t xml:space="preserve">958146</t>
  </si>
  <si>
    <t xml:space="preserve">27/08/2025</t>
  </si>
  <si>
    <t xml:space="preserve">CUST00364</t>
  </si>
  <si>
    <t xml:space="preserve">Ikshita Sharaf</t>
  </si>
  <si>
    <t xml:space="preserve">480717</t>
  </si>
  <si>
    <t xml:space="preserve">ikshita.sharaf225@outlook.com</t>
  </si>
  <si>
    <t xml:space="preserve">748, Ranganathan</t>
  </si>
  <si>
    <t xml:space="preserve">597246</t>
  </si>
  <si>
    <t xml:space="preserve">CUST00365</t>
  </si>
  <si>
    <t xml:space="preserve">Abhimanyu Vaidya</t>
  </si>
  <si>
    <t xml:space="preserve">9293417223</t>
  </si>
  <si>
    <t xml:space="preserve">abhimanyu.vaidya161@outlook.com</t>
  </si>
  <si>
    <t xml:space="preserve">99/44, Subramaniam Zila</t>
  </si>
  <si>
    <t xml:space="preserve">716743</t>
  </si>
  <si>
    <t xml:space="preserve">04/03/2024</t>
  </si>
  <si>
    <t xml:space="preserve">CUST00366</t>
  </si>
  <si>
    <t xml:space="preserve">Gayathri Malhotra</t>
  </si>
  <si>
    <t xml:space="preserve">9228015619</t>
  </si>
  <si>
    <t xml:space="preserve">gayathri.malhotra233@gmail.com</t>
  </si>
  <si>
    <t xml:space="preserve">H.No. 44, Doctor Ganj</t>
  </si>
  <si>
    <t xml:space="preserve">837455</t>
  </si>
  <si>
    <t xml:space="preserve">06/04/2023</t>
  </si>
  <si>
    <t xml:space="preserve">CUST00367</t>
  </si>
  <si>
    <t xml:space="preserve">Dakshesh Raval</t>
  </si>
  <si>
    <t xml:space="preserve">9910771199</t>
  </si>
  <si>
    <t xml:space="preserve">dakshesh.raval801@gmail.com</t>
  </si>
  <si>
    <t xml:space="preserve">20/744, Ravel Marg</t>
  </si>
  <si>
    <t xml:space="preserve">808121</t>
  </si>
  <si>
    <t xml:space="preserve">25/02/2024</t>
  </si>
  <si>
    <t xml:space="preserve">CUST00368</t>
  </si>
  <si>
    <t xml:space="preserve">Balendra Gupta</t>
  </si>
  <si>
    <t xml:space="preserve">9871255213</t>
  </si>
  <si>
    <t xml:space="preserve">balendra.gupta450@yahoo.com</t>
  </si>
  <si>
    <t xml:space="preserve">38/758, Garde Road</t>
  </si>
  <si>
    <t xml:space="preserve">037548</t>
  </si>
  <si>
    <t xml:space="preserve">17/12/2023</t>
  </si>
  <si>
    <t xml:space="preserve">CUST00369</t>
  </si>
  <si>
    <t xml:space="preserve">Chaaya Chatterjee</t>
  </si>
  <si>
    <t xml:space="preserve">9328632666</t>
  </si>
  <si>
    <t xml:space="preserve">chaaya.chatterjee920@yahoo.com</t>
  </si>
  <si>
    <t xml:space="preserve">482, Chakraborty Path</t>
  </si>
  <si>
    <t xml:space="preserve">850720</t>
  </si>
  <si>
    <t xml:space="preserve">CUST00370</t>
  </si>
  <si>
    <t xml:space="preserve">Isha Kapoor</t>
  </si>
  <si>
    <t xml:space="preserve">9602908466</t>
  </si>
  <si>
    <t xml:space="preserve">isha.kapoor908@outlook.com</t>
  </si>
  <si>
    <t xml:space="preserve">55, Menon Road</t>
  </si>
  <si>
    <t xml:space="preserve">845504</t>
  </si>
  <si>
    <t xml:space="preserve">16/12/2025</t>
  </si>
  <si>
    <t xml:space="preserve">CUST00371</t>
  </si>
  <si>
    <t xml:space="preserve">Jacob Singhal</t>
  </si>
  <si>
    <t xml:space="preserve">9899756341</t>
  </si>
  <si>
    <t xml:space="preserve">jacob.singhal38@outlook.com</t>
  </si>
  <si>
    <t xml:space="preserve">99/917, Tella Ganj</t>
  </si>
  <si>
    <t xml:space="preserve">562884</t>
  </si>
  <si>
    <t xml:space="preserve">13/03/2024</t>
  </si>
  <si>
    <t xml:space="preserve">CUST00372</t>
  </si>
  <si>
    <t xml:space="preserve">Lakshmi Wagle</t>
  </si>
  <si>
    <t xml:space="preserve">9200894346</t>
  </si>
  <si>
    <t xml:space="preserve">lakshmi.wagle518@gmail.com</t>
  </si>
  <si>
    <t xml:space="preserve">02, Iyer Street</t>
  </si>
  <si>
    <t xml:space="preserve">054851</t>
  </si>
  <si>
    <t xml:space="preserve">08/04/2023</t>
  </si>
  <si>
    <t xml:space="preserve">CUST00373</t>
  </si>
  <si>
    <t xml:space="preserve">Nimrat Shankar</t>
  </si>
  <si>
    <t xml:space="preserve">9075399893</t>
  </si>
  <si>
    <t xml:space="preserve">nimrat.shankar359@yahoo.com</t>
  </si>
  <si>
    <t xml:space="preserve">H.No. 21, Natarajan Chowk</t>
  </si>
  <si>
    <t xml:space="preserve">492683</t>
  </si>
  <si>
    <t xml:space="preserve">04/08/2023</t>
  </si>
  <si>
    <t xml:space="preserve">CUST00374</t>
  </si>
  <si>
    <t xml:space="preserve">Dhriti Bhardwaj</t>
  </si>
  <si>
    <t xml:space="preserve">9661106273</t>
  </si>
  <si>
    <t xml:space="preserve">dhriti.bhardwaj457@gmail.com</t>
  </si>
  <si>
    <t xml:space="preserve">43, Dutt Street</t>
  </si>
  <si>
    <t xml:space="preserve">586988</t>
  </si>
  <si>
    <t xml:space="preserve">CUST00375</t>
  </si>
  <si>
    <t xml:space="preserve">Gaurang Dayal</t>
  </si>
  <si>
    <t xml:space="preserve">9762282772</t>
  </si>
  <si>
    <t xml:space="preserve">gaurang.dayal992@outlook.com</t>
  </si>
  <si>
    <t xml:space="preserve">66/676, Barad Nagar</t>
  </si>
  <si>
    <t xml:space="preserve">881377</t>
  </si>
  <si>
    <t xml:space="preserve">08/03/2023</t>
  </si>
  <si>
    <t xml:space="preserve">CUST00376</t>
  </si>
  <si>
    <t xml:space="preserve">Kashvi Atwal</t>
  </si>
  <si>
    <t xml:space="preserve">9611594082</t>
  </si>
  <si>
    <t xml:space="preserve">kashvi.atwal121@yahoo.com</t>
  </si>
  <si>
    <t xml:space="preserve">30/03, Padmanabhan Ganj</t>
  </si>
  <si>
    <t xml:space="preserve">454470</t>
  </si>
  <si>
    <t xml:space="preserve">20/10/2023</t>
  </si>
  <si>
    <t xml:space="preserve">CUST00377</t>
  </si>
  <si>
    <t xml:space="preserve">Kai Chauhan</t>
  </si>
  <si>
    <t xml:space="preserve">9327018510</t>
  </si>
  <si>
    <t xml:space="preserve">kai.chauhan428@yahoo.com</t>
  </si>
  <si>
    <t xml:space="preserve">94/21, Misra Nagar</t>
  </si>
  <si>
    <t xml:space="preserve">949756</t>
  </si>
  <si>
    <t xml:space="preserve">31/08/2025</t>
  </si>
  <si>
    <t xml:space="preserve">CUST00378</t>
  </si>
  <si>
    <t xml:space="preserve">Tamanna Venkatesh</t>
  </si>
  <si>
    <t xml:space="preserve">9777251996</t>
  </si>
  <si>
    <t xml:space="preserve">tamanna.venkatesh397@gmail.com</t>
  </si>
  <si>
    <t xml:space="preserve">25, Parmer Chowk</t>
  </si>
  <si>
    <t xml:space="preserve">658074</t>
  </si>
  <si>
    <t xml:space="preserve">01/07/2023</t>
  </si>
  <si>
    <t xml:space="preserve">CUST00379</t>
  </si>
  <si>
    <t xml:space="preserve">Nitesh Raval</t>
  </si>
  <si>
    <t xml:space="preserve">9181398909</t>
  </si>
  <si>
    <t xml:space="preserve">nitesh.raval535@gmail.com</t>
  </si>
  <si>
    <t xml:space="preserve">323, Thaman Nagar</t>
  </si>
  <si>
    <t xml:space="preserve">780182</t>
  </si>
  <si>
    <t xml:space="preserve">08/02/2023</t>
  </si>
  <si>
    <t xml:space="preserve">CUST00380</t>
  </si>
  <si>
    <t xml:space="preserve">  Jatin Peri   </t>
  </si>
  <si>
    <t xml:space="preserve">9895690705</t>
  </si>
  <si>
    <t xml:space="preserve">jatin.peri448@gmail.com</t>
  </si>
  <si>
    <t xml:space="preserve">48, Bava</t>
  </si>
  <si>
    <t xml:space="preserve">608564</t>
  </si>
  <si>
    <t xml:space="preserve">CUST00381</t>
  </si>
  <si>
    <t xml:space="preserve">Hritik Bahri</t>
  </si>
  <si>
    <t xml:space="preserve">9412462095</t>
  </si>
  <si>
    <t xml:space="preserve">hritik.bahri186@gmail.com</t>
  </si>
  <si>
    <t xml:space="preserve">16/761, Krishnan Circle</t>
  </si>
  <si>
    <t xml:space="preserve">046152</t>
  </si>
  <si>
    <t xml:space="preserve">25/04/2025</t>
  </si>
  <si>
    <t xml:space="preserve">CUST00382</t>
  </si>
  <si>
    <t xml:space="preserve">Michael Jha</t>
  </si>
  <si>
    <t xml:space="preserve">9993788614</t>
  </si>
  <si>
    <t xml:space="preserve">michael.jha63@yahoo.com</t>
  </si>
  <si>
    <t xml:space="preserve">H.No. 61, Madan Circle</t>
  </si>
  <si>
    <t xml:space="preserve">786170</t>
  </si>
  <si>
    <t xml:space="preserve">CUST00383</t>
  </si>
  <si>
    <t xml:space="preserve">Omya Cheema</t>
  </si>
  <si>
    <t xml:space="preserve">9138249671</t>
  </si>
  <si>
    <t xml:space="preserve">omya.cheema867@outlook.com</t>
  </si>
  <si>
    <t xml:space="preserve">H.No. 11, Issac Chowk</t>
  </si>
  <si>
    <t xml:space="preserve">832582</t>
  </si>
  <si>
    <t xml:space="preserve">17/05/2024</t>
  </si>
  <si>
    <t xml:space="preserve">CUST00384</t>
  </si>
  <si>
    <t xml:space="preserve">Adya Virk</t>
  </si>
  <si>
    <t xml:space="preserve">9794200749</t>
  </si>
  <si>
    <t xml:space="preserve">adya.virk257@outlook.com</t>
  </si>
  <si>
    <t xml:space="preserve">H.No. 64, Baral Street</t>
  </si>
  <si>
    <t xml:space="preserve">653984</t>
  </si>
  <si>
    <t xml:space="preserve">04/04/2023</t>
  </si>
  <si>
    <t xml:space="preserve">CUST00385</t>
  </si>
  <si>
    <t xml:space="preserve">Sarthak Srivastava</t>
  </si>
  <si>
    <t xml:space="preserve">9128463985</t>
  </si>
  <si>
    <t xml:space="preserve">sarthak.srivastava906@outlook.com</t>
  </si>
  <si>
    <t xml:space="preserve">001, Tak Zila</t>
  </si>
  <si>
    <t xml:space="preserve">547435</t>
  </si>
  <si>
    <t xml:space="preserve">CUST00386</t>
  </si>
  <si>
    <t xml:space="preserve">Gautam Vaidya</t>
  </si>
  <si>
    <t xml:space="preserve">9209700268</t>
  </si>
  <si>
    <t xml:space="preserve">gautam.vaidya917@outlook.com</t>
  </si>
  <si>
    <t xml:space="preserve">14/374, Shetty Road</t>
  </si>
  <si>
    <t xml:space="preserve">768118</t>
  </si>
  <si>
    <t xml:space="preserve">05/03/2023</t>
  </si>
  <si>
    <t xml:space="preserve">CUST00387</t>
  </si>
  <si>
    <t xml:space="preserve">Harish Ghosh</t>
  </si>
  <si>
    <t xml:space="preserve">9695620175</t>
  </si>
  <si>
    <t xml:space="preserve">harish.ghosh959@gmail.com</t>
  </si>
  <si>
    <t xml:space="preserve">H.No. 55, D’Alia Marg</t>
  </si>
  <si>
    <t xml:space="preserve">703045</t>
  </si>
  <si>
    <t xml:space="preserve">28/01/2024</t>
  </si>
  <si>
    <t xml:space="preserve">CUST00388</t>
  </si>
  <si>
    <t xml:space="preserve">Chakradev Andra</t>
  </si>
  <si>
    <t xml:space="preserve">9750479303</t>
  </si>
  <si>
    <t xml:space="preserve">chakradev.andra841@outlook.com</t>
  </si>
  <si>
    <t xml:space="preserve">25/579, Chander Road</t>
  </si>
  <si>
    <t xml:space="preserve">UP.</t>
  </si>
  <si>
    <t xml:space="preserve">614987</t>
  </si>
  <si>
    <t xml:space="preserve">CUST00389</t>
  </si>
  <si>
    <t xml:space="preserve">Hema Goswami</t>
  </si>
  <si>
    <t xml:space="preserve">9212493843</t>
  </si>
  <si>
    <t xml:space="preserve">hema.goswami869@outlook.com</t>
  </si>
  <si>
    <t xml:space="preserve">67, Rajan Road</t>
  </si>
  <si>
    <t xml:space="preserve">089487</t>
  </si>
  <si>
    <t xml:space="preserve">05/01/2023</t>
  </si>
  <si>
    <t xml:space="preserve">CUST00390</t>
  </si>
  <si>
    <t xml:space="preserve">Oviya Ganesan</t>
  </si>
  <si>
    <t xml:space="preserve">9641877580</t>
  </si>
  <si>
    <t xml:space="preserve">oviya.ganesan906@outlook.com</t>
  </si>
  <si>
    <t xml:space="preserve">021, Subramanian Marg</t>
  </si>
  <si>
    <t xml:space="preserve">304687</t>
  </si>
  <si>
    <t xml:space="preserve">09/10/2024</t>
  </si>
  <si>
    <t xml:space="preserve">CUST00391</t>
  </si>
  <si>
    <t xml:space="preserve">Pratyush Raghavan</t>
  </si>
  <si>
    <t xml:space="preserve">9361332541</t>
  </si>
  <si>
    <t xml:space="preserve">pratyush.raghavan642@outlook.com</t>
  </si>
  <si>
    <t xml:space="preserve">02/77, Sabharwal Zila</t>
  </si>
  <si>
    <t xml:space="preserve">107609</t>
  </si>
  <si>
    <t xml:space="preserve">CUST00392</t>
  </si>
  <si>
    <t xml:space="preserve">Chakradhar Bhatnagar</t>
  </si>
  <si>
    <t xml:space="preserve">9505831997</t>
  </si>
  <si>
    <t xml:space="preserve">chakradhar.bhatnagar783@gmail.com</t>
  </si>
  <si>
    <t xml:space="preserve">50/899, Nigam Ganj</t>
  </si>
  <si>
    <t xml:space="preserve">791100</t>
  </si>
  <si>
    <t xml:space="preserve">CUST00393</t>
  </si>
  <si>
    <t xml:space="preserve">Rachita Kothari</t>
  </si>
  <si>
    <t xml:space="preserve">9704961108</t>
  </si>
  <si>
    <t xml:space="preserve">rachita.kothari54@yahoo.com</t>
  </si>
  <si>
    <t xml:space="preserve">H.No. 62, Bhagat Circle</t>
  </si>
  <si>
    <t xml:space="preserve">661963</t>
  </si>
  <si>
    <t xml:space="preserve">12/05/2026</t>
  </si>
  <si>
    <t xml:space="preserve">CUST00394</t>
  </si>
  <si>
    <t xml:space="preserve">Naksh Tiwari</t>
  </si>
  <si>
    <t xml:space="preserve">9699150785</t>
  </si>
  <si>
    <t xml:space="preserve">naksh.tiwari602@gmail.com</t>
  </si>
  <si>
    <t xml:space="preserve">21, Nagi Chowk</t>
  </si>
  <si>
    <t xml:space="preserve">110919</t>
  </si>
  <si>
    <t xml:space="preserve">CUST00395</t>
  </si>
  <si>
    <t xml:space="preserve">Ganga Mall</t>
  </si>
  <si>
    <t xml:space="preserve">9797232002</t>
  </si>
  <si>
    <t xml:space="preserve">ganga.mall320@outlook.com</t>
  </si>
  <si>
    <t xml:space="preserve">38/66, Brar Ganj</t>
  </si>
  <si>
    <t xml:space="preserve">685498</t>
  </si>
  <si>
    <t xml:space="preserve">26/10/2023</t>
  </si>
  <si>
    <t xml:space="preserve">CUST00396</t>
  </si>
  <si>
    <t xml:space="preserve">Sachi Sem</t>
  </si>
  <si>
    <t xml:space="preserve">9089203880</t>
  </si>
  <si>
    <t xml:space="preserve">sachi.sem433@yahoo.com</t>
  </si>
  <si>
    <t xml:space="preserve">75, Tank Zila</t>
  </si>
  <si>
    <t xml:space="preserve">333153</t>
  </si>
  <si>
    <t xml:space="preserve">CUST00397</t>
  </si>
  <si>
    <t xml:space="preserve">Harshil Raval</t>
  </si>
  <si>
    <t xml:space="preserve">9594652170</t>
  </si>
  <si>
    <t xml:space="preserve">harshil.raval508@gmail.com</t>
  </si>
  <si>
    <t xml:space="preserve">H.No. 880, Modi Zila</t>
  </si>
  <si>
    <t xml:space="preserve">033793</t>
  </si>
  <si>
    <t xml:space="preserve">04/05/2024</t>
  </si>
  <si>
    <t xml:space="preserve">CUST00398</t>
  </si>
  <si>
    <t xml:space="preserve">Tanmayi Om</t>
  </si>
  <si>
    <t xml:space="preserve">9050150812</t>
  </si>
  <si>
    <t xml:space="preserve">tanmayi.om298@yahoo.com</t>
  </si>
  <si>
    <t xml:space="preserve">H.No. 375, Solanki Circle</t>
  </si>
  <si>
    <t xml:space="preserve">395003</t>
  </si>
  <si>
    <t xml:space="preserve">10/02/2024</t>
  </si>
  <si>
    <t xml:space="preserve">CUST00399</t>
  </si>
  <si>
    <t xml:space="preserve">Sneha Comar</t>
  </si>
  <si>
    <t xml:space="preserve">9323024102</t>
  </si>
  <si>
    <t xml:space="preserve">sneha.comar389@outlook.com</t>
  </si>
  <si>
    <t xml:space="preserve">30/554, Vig Circle</t>
  </si>
  <si>
    <t xml:space="preserve">153473</t>
  </si>
  <si>
    <t xml:space="preserve">27/01/2025</t>
  </si>
  <si>
    <t xml:space="preserve">CUST00400</t>
  </si>
  <si>
    <t xml:space="preserve">Hitesh Bath</t>
  </si>
  <si>
    <t xml:space="preserve">9112233865</t>
  </si>
  <si>
    <t xml:space="preserve">hitesh.bath326@outlook.com</t>
  </si>
  <si>
    <t xml:space="preserve">26, Kumar Zila</t>
  </si>
  <si>
    <t xml:space="preserve">630993</t>
  </si>
  <si>
    <t xml:space="preserve">CUST00401</t>
  </si>
  <si>
    <t xml:space="preserve">Raghav Dara</t>
  </si>
  <si>
    <t xml:space="preserve">9428973179</t>
  </si>
  <si>
    <t xml:space="preserve">raghav.dara67@gmail.com</t>
  </si>
  <si>
    <t xml:space="preserve">735, Sachdeva Zila</t>
  </si>
  <si>
    <t xml:space="preserve">868578</t>
  </si>
  <si>
    <t xml:space="preserve">CUST00402</t>
  </si>
  <si>
    <t xml:space="preserve">Jatin Seshadri</t>
  </si>
  <si>
    <t xml:space="preserve">9774969033</t>
  </si>
  <si>
    <t xml:space="preserve">jatin.seshadri917@gmail.com</t>
  </si>
  <si>
    <t xml:space="preserve">98/270, Bava Circle</t>
  </si>
  <si>
    <t xml:space="preserve">736346</t>
  </si>
  <si>
    <t xml:space="preserve">CUST00403</t>
  </si>
  <si>
    <t xml:space="preserve">Vasudha Trivedi</t>
  </si>
  <si>
    <t xml:space="preserve">9147853907</t>
  </si>
  <si>
    <t xml:space="preserve">vasudha.trivedi525@outlook.com</t>
  </si>
  <si>
    <t xml:space="preserve">92/216, Nagy</t>
  </si>
  <si>
    <t xml:space="preserve">567766</t>
  </si>
  <si>
    <t xml:space="preserve">22/01/2025</t>
  </si>
  <si>
    <t xml:space="preserve">CUST00404</t>
  </si>
  <si>
    <t xml:space="preserve">Omya Kothari</t>
  </si>
  <si>
    <t xml:space="preserve">9341514888</t>
  </si>
  <si>
    <t xml:space="preserve">omya.kothari660@gmail.com</t>
  </si>
  <si>
    <t xml:space="preserve">54, Deol Chowk</t>
  </si>
  <si>
    <t xml:space="preserve">431115</t>
  </si>
  <si>
    <t xml:space="preserve">20/03/2023</t>
  </si>
  <si>
    <t xml:space="preserve">CUST00405</t>
  </si>
  <si>
    <t xml:space="preserve">Nitara Vala</t>
  </si>
  <si>
    <t xml:space="preserve">9439284044</t>
  </si>
  <si>
    <t xml:space="preserve">nitara.vala843@yahoo.com</t>
  </si>
  <si>
    <t xml:space="preserve">85/833, Mannan Ganj</t>
  </si>
  <si>
    <t xml:space="preserve">669078</t>
  </si>
  <si>
    <t xml:space="preserve">CUST00406</t>
  </si>
  <si>
    <t xml:space="preserve">Kevin Gokhale</t>
  </si>
  <si>
    <t xml:space="preserve">9987751536</t>
  </si>
  <si>
    <t xml:space="preserve">kevin.gokhale789@outlook.com</t>
  </si>
  <si>
    <t xml:space="preserve">15/879, Sahni</t>
  </si>
  <si>
    <t xml:space="preserve">637780</t>
  </si>
  <si>
    <t xml:space="preserve">06/02/2025</t>
  </si>
  <si>
    <t xml:space="preserve">CUST00407</t>
  </si>
  <si>
    <t xml:space="preserve">Pahal Arya</t>
  </si>
  <si>
    <t xml:space="preserve">9553666845</t>
  </si>
  <si>
    <t xml:space="preserve">pahal.arya602@gmail.com</t>
  </si>
  <si>
    <t xml:space="preserve">H.No. 620, Iyengar Nagar</t>
  </si>
  <si>
    <t xml:space="preserve">902259</t>
  </si>
  <si>
    <t xml:space="preserve">32/13/2025</t>
  </si>
  <si>
    <t xml:space="preserve">CUST00408</t>
  </si>
  <si>
    <t xml:space="preserve">Naveen Mangat</t>
  </si>
  <si>
    <t xml:space="preserve">9361863715</t>
  </si>
  <si>
    <t xml:space="preserve">naveen.mangat584@yahoo.com</t>
  </si>
  <si>
    <t xml:space="preserve">043, Bali Circle</t>
  </si>
  <si>
    <t xml:space="preserve">412182</t>
  </si>
  <si>
    <t xml:space="preserve">07/03/2023</t>
  </si>
  <si>
    <t xml:space="preserve">CUST00409</t>
  </si>
  <si>
    <t xml:space="preserve">Sneha Chaudry</t>
  </si>
  <si>
    <t xml:space="preserve">9643348170</t>
  </si>
  <si>
    <t xml:space="preserve">sneha.chaudry378@outlook.com</t>
  </si>
  <si>
    <t xml:space="preserve">86/384, Raj Nagar</t>
  </si>
  <si>
    <t xml:space="preserve">025662</t>
  </si>
  <si>
    <t xml:space="preserve">15/08/2023</t>
  </si>
  <si>
    <t xml:space="preserve">CUST00410</t>
  </si>
  <si>
    <t xml:space="preserve">Omaja Munshi</t>
  </si>
  <si>
    <t xml:space="preserve">9323467299</t>
  </si>
  <si>
    <t xml:space="preserve">omaja.munshi962@yahoo.com</t>
  </si>
  <si>
    <t xml:space="preserve">H.No. 439, Kar Chowk</t>
  </si>
  <si>
    <t xml:space="preserve">938743</t>
  </si>
  <si>
    <t xml:space="preserve">16/01/2023</t>
  </si>
  <si>
    <t xml:space="preserve">CUST00411</t>
  </si>
  <si>
    <t xml:space="preserve">Ronith Hari</t>
  </si>
  <si>
    <t xml:space="preserve">9977790147</t>
  </si>
  <si>
    <t xml:space="preserve">ronith.hari356@outlook.com</t>
  </si>
  <si>
    <t xml:space="preserve">21, Ghose Street</t>
  </si>
  <si>
    <t xml:space="preserve">469263</t>
  </si>
  <si>
    <t xml:space="preserve">03/01/2024</t>
  </si>
  <si>
    <t xml:space="preserve">CUST00412</t>
  </si>
  <si>
    <t xml:space="preserve">Krishna Baria</t>
  </si>
  <si>
    <t xml:space="preserve">9291603248</t>
  </si>
  <si>
    <t xml:space="preserve">krishna.baria299@outlook.com</t>
  </si>
  <si>
    <t xml:space="preserve">H.No. 84, Dyal Street</t>
  </si>
  <si>
    <t xml:space="preserve">137681</t>
  </si>
  <si>
    <t xml:space="preserve">25/01/2025</t>
  </si>
  <si>
    <t xml:space="preserve">CUST00413</t>
  </si>
  <si>
    <t xml:space="preserve">Abdul Narayanan</t>
  </si>
  <si>
    <t xml:space="preserve">9438070176</t>
  </si>
  <si>
    <t xml:space="preserve">abdul.narayanan352@outlook.com</t>
  </si>
  <si>
    <t xml:space="preserve">20/259, Mitra Nagar</t>
  </si>
  <si>
    <t xml:space="preserve">636004</t>
  </si>
  <si>
    <t xml:space="preserve">23/08/2023</t>
  </si>
  <si>
    <t xml:space="preserve">CUST00414</t>
  </si>
  <si>
    <t xml:space="preserve">Ishita Bora</t>
  </si>
  <si>
    <t xml:space="preserve">9183727422</t>
  </si>
  <si>
    <t xml:space="preserve">ishita.bora859@gmail.com</t>
  </si>
  <si>
    <t xml:space="preserve">32/81, Dutta Circle</t>
  </si>
  <si>
    <t xml:space="preserve">912418</t>
  </si>
  <si>
    <t xml:space="preserve">11/03/2025</t>
  </si>
  <si>
    <t xml:space="preserve">CUST00415</t>
  </si>
  <si>
    <t xml:space="preserve">Netra Chanda</t>
  </si>
  <si>
    <t xml:space="preserve">9230837081</t>
  </si>
  <si>
    <t xml:space="preserve">netra.chanda400@outlook.com</t>
  </si>
  <si>
    <t xml:space="preserve">355, Memon Path</t>
  </si>
  <si>
    <t xml:space="preserve">470900</t>
  </si>
  <si>
    <t xml:space="preserve">CUST00416</t>
  </si>
  <si>
    <t xml:space="preserve">Vaishnavi Andra</t>
  </si>
  <si>
    <t xml:space="preserve">9060053131</t>
  </si>
  <si>
    <t xml:space="preserve">vaishnavi.andra817@outlook.com</t>
  </si>
  <si>
    <t xml:space="preserve">57/399, Baral Ganj</t>
  </si>
  <si>
    <t xml:space="preserve">220681</t>
  </si>
  <si>
    <t xml:space="preserve">CUST00417</t>
  </si>
  <si>
    <t xml:space="preserve">Lakshmi Comar</t>
  </si>
  <si>
    <t xml:space="preserve">9613315520</t>
  </si>
  <si>
    <t xml:space="preserve">lakshmi.comar412@outlook.com</t>
  </si>
  <si>
    <t xml:space="preserve">H.No. 84, Varughese Nagar</t>
  </si>
  <si>
    <t xml:space="preserve">506373</t>
  </si>
  <si>
    <t xml:space="preserve">16/05/2023</t>
  </si>
  <si>
    <t xml:space="preserve">CUST00418</t>
  </si>
  <si>
    <t xml:space="preserve">Yoshita Trivedi</t>
  </si>
  <si>
    <t xml:space="preserve">9364971892</t>
  </si>
  <si>
    <t xml:space="preserve">yoshita.trivedi258@gmail.com</t>
  </si>
  <si>
    <t xml:space="preserve">04, Nagi Ganj</t>
  </si>
  <si>
    <t xml:space="preserve">956252</t>
  </si>
  <si>
    <t xml:space="preserve">25/07/2026</t>
  </si>
  <si>
    <t xml:space="preserve">CUST00419</t>
  </si>
  <si>
    <t xml:space="preserve">Gopal Ganesh</t>
  </si>
  <si>
    <t xml:space="preserve">9997683890</t>
  </si>
  <si>
    <t xml:space="preserve">gopal.ganesh239@gmail.com</t>
  </si>
  <si>
    <t xml:space="preserve">13/361, Yogi Ganj</t>
  </si>
  <si>
    <t xml:space="preserve">914363</t>
  </si>
  <si>
    <t xml:space="preserve">23/06/2026</t>
  </si>
  <si>
    <t xml:space="preserve">CUST00420</t>
  </si>
  <si>
    <t xml:space="preserve">Ekbal Dube</t>
  </si>
  <si>
    <t xml:space="preserve">9630397524</t>
  </si>
  <si>
    <t xml:space="preserve">ekbal.dube326@outlook.com</t>
  </si>
  <si>
    <t xml:space="preserve">50, Borah Zila</t>
  </si>
  <si>
    <t xml:space="preserve">086403</t>
  </si>
  <si>
    <t xml:space="preserve">09/11/2024</t>
  </si>
  <si>
    <t xml:space="preserve">CUST00421</t>
  </si>
  <si>
    <t xml:space="preserve">Pranav Krishnamurthy</t>
  </si>
  <si>
    <t xml:space="preserve">9396852701</t>
  </si>
  <si>
    <t xml:space="preserve">pranav.krishnamurthy891@yahoo.com</t>
  </si>
  <si>
    <t xml:space="preserve">34/66, Ravel Chowk</t>
  </si>
  <si>
    <t xml:space="preserve">130232</t>
  </si>
  <si>
    <t xml:space="preserve">CUST00422</t>
  </si>
  <si>
    <t xml:space="preserve">Diya Badal</t>
  </si>
  <si>
    <t xml:space="preserve">9742336293</t>
  </si>
  <si>
    <t xml:space="preserve">diya.badal311@yahoo.com</t>
  </si>
  <si>
    <t xml:space="preserve">18/091, Bath</t>
  </si>
  <si>
    <t xml:space="preserve">973471</t>
  </si>
  <si>
    <t xml:space="preserve">06/01/2025</t>
  </si>
  <si>
    <t xml:space="preserve">CUST00423</t>
  </si>
  <si>
    <t xml:space="preserve">Ishita Thakkar</t>
  </si>
  <si>
    <t xml:space="preserve">9627066149</t>
  </si>
  <si>
    <t xml:space="preserve">ishita.thakkar551@gmail.com</t>
  </si>
  <si>
    <t xml:space="preserve">H.No. 49, Manda Zila</t>
  </si>
  <si>
    <t xml:space="preserve">824674</t>
  </si>
  <si>
    <t xml:space="preserve">17/07/2025</t>
  </si>
  <si>
    <t xml:space="preserve">CUST00424</t>
  </si>
  <si>
    <t xml:space="preserve">Lakshmi Rana</t>
  </si>
  <si>
    <t xml:space="preserve">9732300857</t>
  </si>
  <si>
    <t xml:space="preserve">lakshmi.rana415@yahoo.com</t>
  </si>
  <si>
    <t xml:space="preserve">28, Deshpande Ganj</t>
  </si>
  <si>
    <t xml:space="preserve">656749</t>
  </si>
  <si>
    <t xml:space="preserve">CUST00425</t>
  </si>
  <si>
    <t xml:space="preserve">Chakrika Dhawan</t>
  </si>
  <si>
    <t xml:space="preserve">9645875066</t>
  </si>
  <si>
    <t xml:space="preserve">chakrika.dhawan754@gmail.com</t>
  </si>
  <si>
    <t xml:space="preserve">50/882, Barman Zila</t>
  </si>
  <si>
    <t xml:space="preserve">370502</t>
  </si>
  <si>
    <t xml:space="preserve">19/06/2024</t>
  </si>
  <si>
    <t xml:space="preserve">CUST00426</t>
  </si>
  <si>
    <t xml:space="preserve">Meera Yogi</t>
  </si>
  <si>
    <t xml:space="preserve">9920116691</t>
  </si>
  <si>
    <t xml:space="preserve">meera.yogi531@gmail.com</t>
  </si>
  <si>
    <t xml:space="preserve">H.No. 35, Sachar Ganj</t>
  </si>
  <si>
    <t xml:space="preserve">626448</t>
  </si>
  <si>
    <t xml:space="preserve">CUST00427</t>
  </si>
  <si>
    <t xml:space="preserve">Naveen Gour</t>
  </si>
  <si>
    <t xml:space="preserve">9119524364</t>
  </si>
  <si>
    <t xml:space="preserve">naveen.gour7@gmail.com</t>
  </si>
  <si>
    <t xml:space="preserve">43/12, Bhagat</t>
  </si>
  <si>
    <t xml:space="preserve">701168</t>
  </si>
  <si>
    <t xml:space="preserve">CUST00428</t>
  </si>
  <si>
    <t xml:space="preserve">Elijah Mannan</t>
  </si>
  <si>
    <t xml:space="preserve">9237281793</t>
  </si>
  <si>
    <t xml:space="preserve">elijah.mannan191@gmail.com</t>
  </si>
  <si>
    <t xml:space="preserve">H.No. 13, Sur</t>
  </si>
  <si>
    <t xml:space="preserve">023467</t>
  </si>
  <si>
    <t xml:space="preserve">CUST00429</t>
  </si>
  <si>
    <t xml:space="preserve">Ishanvi Dave</t>
  </si>
  <si>
    <t xml:space="preserve">9614150937</t>
  </si>
  <si>
    <t xml:space="preserve">ishanvi.dave497@outlook.com</t>
  </si>
  <si>
    <t xml:space="preserve">H.No. 491, Nadkarni Ganj</t>
  </si>
  <si>
    <t xml:space="preserve">100409</t>
  </si>
  <si>
    <t xml:space="preserve">27/03/2023</t>
  </si>
  <si>
    <t xml:space="preserve">CUST00430</t>
  </si>
  <si>
    <t xml:space="preserve">Shravya Narasimhan</t>
  </si>
  <si>
    <t xml:space="preserve">9759655553</t>
  </si>
  <si>
    <t xml:space="preserve">shravya.narasimhan964@yahoo.com</t>
  </si>
  <si>
    <t xml:space="preserve">92/995, Sangha Path</t>
  </si>
  <si>
    <t xml:space="preserve">669055</t>
  </si>
  <si>
    <t xml:space="preserve">25/07/2023</t>
  </si>
  <si>
    <t xml:space="preserve">CUST00431</t>
  </si>
  <si>
    <t xml:space="preserve">Aayush Munshi</t>
  </si>
  <si>
    <t xml:space="preserve">9184357978</t>
  </si>
  <si>
    <t xml:space="preserve">aayush.munshi424@outlook.com</t>
  </si>
  <si>
    <t xml:space="preserve">645, Narula Street</t>
  </si>
  <si>
    <t xml:space="preserve">305050</t>
  </si>
  <si>
    <t xml:space="preserve">28/10/2024</t>
  </si>
  <si>
    <t xml:space="preserve">CUST00432</t>
  </si>
  <si>
    <t xml:space="preserve">Turvi Sehgal</t>
  </si>
  <si>
    <t xml:space="preserve">9156716493</t>
  </si>
  <si>
    <t xml:space="preserve">turvi.sehgal730@gmail.com</t>
  </si>
  <si>
    <t xml:space="preserve">H.No. 78, Gill Zila</t>
  </si>
  <si>
    <t xml:space="preserve">898027</t>
  </si>
  <si>
    <t xml:space="preserve">28/06/2023</t>
  </si>
  <si>
    <t xml:space="preserve">CUST00433</t>
  </si>
  <si>
    <t xml:space="preserve">Avni Dey</t>
  </si>
  <si>
    <t xml:space="preserve">9178333211</t>
  </si>
  <si>
    <t xml:space="preserve">avni.dey446@outlook.com</t>
  </si>
  <si>
    <t xml:space="preserve">H.No. 11, Tripathi Nagar</t>
  </si>
  <si>
    <t xml:space="preserve">025643</t>
  </si>
  <si>
    <t xml:space="preserve">11/06/2024</t>
  </si>
  <si>
    <t xml:space="preserve">CUST00434</t>
  </si>
  <si>
    <t xml:space="preserve">Nidhi Kala</t>
  </si>
  <si>
    <t xml:space="preserve">9871539915</t>
  </si>
  <si>
    <t xml:space="preserve">nidhi.kala387@outlook.com</t>
  </si>
  <si>
    <t xml:space="preserve">48/87, Pau Street</t>
  </si>
  <si>
    <t xml:space="preserve">686334</t>
  </si>
  <si>
    <t xml:space="preserve">25/08/2023</t>
  </si>
  <si>
    <t xml:space="preserve">CUST00435</t>
  </si>
  <si>
    <t xml:space="preserve">Udant Mannan</t>
  </si>
  <si>
    <t xml:space="preserve">9319525690</t>
  </si>
  <si>
    <t xml:space="preserve">udant.mannan319@gmail.com</t>
  </si>
  <si>
    <t xml:space="preserve">88, Ranganathan Zila</t>
  </si>
  <si>
    <t xml:space="preserve">983665</t>
  </si>
  <si>
    <t xml:space="preserve">17/01/2025</t>
  </si>
  <si>
    <t xml:space="preserve">CUST00436</t>
  </si>
  <si>
    <t xml:space="preserve">Yadavi Anne</t>
  </si>
  <si>
    <t xml:space="preserve">9087524377</t>
  </si>
  <si>
    <t xml:space="preserve">yadavi.anne151@outlook.com</t>
  </si>
  <si>
    <t xml:space="preserve">28/27, Gola Street</t>
  </si>
  <si>
    <t xml:space="preserve">420954</t>
  </si>
  <si>
    <t xml:space="preserve">25/10/2025</t>
  </si>
  <si>
    <t xml:space="preserve">CUST00437</t>
  </si>
  <si>
    <t xml:space="preserve">Veda Parmer</t>
  </si>
  <si>
    <t xml:space="preserve">9374605233</t>
  </si>
  <si>
    <t xml:space="preserve">veda.parmer718@outlook.com</t>
  </si>
  <si>
    <t xml:space="preserve">731, Pingle Road</t>
  </si>
  <si>
    <t xml:space="preserve">027642</t>
  </si>
  <si>
    <t xml:space="preserve">CUST00438</t>
  </si>
  <si>
    <t xml:space="preserve">Brijesh Jhaveri</t>
  </si>
  <si>
    <t xml:space="preserve">9618443861</t>
  </si>
  <si>
    <t xml:space="preserve">brijesh.jhaveri135@yahoo.com</t>
  </si>
  <si>
    <t xml:space="preserve">77, Baral Nagar</t>
  </si>
  <si>
    <t xml:space="preserve">904729</t>
  </si>
  <si>
    <t xml:space="preserve">09/10/2023</t>
  </si>
  <si>
    <t xml:space="preserve">CUST00439</t>
  </si>
  <si>
    <t xml:space="preserve">Harshil Verma</t>
  </si>
  <si>
    <t xml:space="preserve">9305912662</t>
  </si>
  <si>
    <t xml:space="preserve">harshil.verma949@gmail.com</t>
  </si>
  <si>
    <t xml:space="preserve">49/892, Radhakrishnan Marg</t>
  </si>
  <si>
    <t xml:space="preserve">157201</t>
  </si>
  <si>
    <t xml:space="preserve">21/11/2025</t>
  </si>
  <si>
    <t xml:space="preserve">CUST00440</t>
  </si>
  <si>
    <t xml:space="preserve">Faras Varughese</t>
  </si>
  <si>
    <t xml:space="preserve">9301367492</t>
  </si>
  <si>
    <t xml:space="preserve">faras.varughese669@outlook.com</t>
  </si>
  <si>
    <t xml:space="preserve">38, Pandit Marg</t>
  </si>
  <si>
    <t xml:space="preserve">617647</t>
  </si>
  <si>
    <t xml:space="preserve">CUST00441</t>
  </si>
  <si>
    <t xml:space="preserve">Vidhi Subramaniam</t>
  </si>
  <si>
    <t xml:space="preserve">9830999741</t>
  </si>
  <si>
    <t xml:space="preserve">vidhi.subramaniam814@outlook.com</t>
  </si>
  <si>
    <t xml:space="preserve">27/23, Varkey Zila</t>
  </si>
  <si>
    <t xml:space="preserve">267649</t>
  </si>
  <si>
    <t xml:space="preserve">CUST00442</t>
  </si>
  <si>
    <t xml:space="preserve">Siddharth Doctor</t>
  </si>
  <si>
    <t xml:space="preserve">9068887189</t>
  </si>
  <si>
    <t xml:space="preserve">siddharth.doctor552@outlook.com</t>
  </si>
  <si>
    <t xml:space="preserve">591, Sachdeva Ganj</t>
  </si>
  <si>
    <t xml:space="preserve">131292</t>
  </si>
  <si>
    <t xml:space="preserve">CUST00443</t>
  </si>
  <si>
    <t xml:space="preserve">Ishaan Subramaniam</t>
  </si>
  <si>
    <t xml:space="preserve">9321840118</t>
  </si>
  <si>
    <t xml:space="preserve">ishaan.subramaniam306@yahoo.com</t>
  </si>
  <si>
    <t xml:space="preserve">39, Roy Street</t>
  </si>
  <si>
    <t xml:space="preserve">826034</t>
  </si>
  <si>
    <t xml:space="preserve">CUST00444</t>
  </si>
  <si>
    <t xml:space="preserve">Yagnesh Bassi</t>
  </si>
  <si>
    <t xml:space="preserve">9758598831</t>
  </si>
  <si>
    <t xml:space="preserve">yagnesh.bassi679@gmail.com</t>
  </si>
  <si>
    <t xml:space="preserve">92/28, Din Nagar</t>
  </si>
  <si>
    <t xml:space="preserve">303243</t>
  </si>
  <si>
    <t xml:space="preserve">02/10/2023</t>
  </si>
  <si>
    <t xml:space="preserve">CUST00445</t>
  </si>
  <si>
    <t xml:space="preserve">Ojas Kuruvilla</t>
  </si>
  <si>
    <t xml:space="preserve">9961844626</t>
  </si>
  <si>
    <t xml:space="preserve">ojas.kuruvilla468@gmail.com</t>
  </si>
  <si>
    <t xml:space="preserve">69/90, Chada Road</t>
  </si>
  <si>
    <t xml:space="preserve">462831</t>
  </si>
  <si>
    <t xml:space="preserve">13/07/2026</t>
  </si>
  <si>
    <t xml:space="preserve">CUST00446</t>
  </si>
  <si>
    <t xml:space="preserve">Saumya Sinha</t>
  </si>
  <si>
    <t xml:space="preserve">9892625660</t>
  </si>
  <si>
    <t xml:space="preserve">saumya.sinha988@outlook.com</t>
  </si>
  <si>
    <t xml:space="preserve">369, Gopal Street</t>
  </si>
  <si>
    <t xml:space="preserve">314181</t>
  </si>
  <si>
    <t xml:space="preserve">CUST00447</t>
  </si>
  <si>
    <t xml:space="preserve">Oliver Oommen</t>
  </si>
  <si>
    <t xml:space="preserve">9423401636</t>
  </si>
  <si>
    <t xml:space="preserve">oliver.oommen975@gmail.com</t>
  </si>
  <si>
    <t xml:space="preserve">91/36, Deo Marg</t>
  </si>
  <si>
    <t xml:space="preserve">128497</t>
  </si>
  <si>
    <t xml:space="preserve">15/07/2023</t>
  </si>
  <si>
    <t xml:space="preserve">CUST00448</t>
  </si>
  <si>
    <t xml:space="preserve">Amol Jain</t>
  </si>
  <si>
    <t xml:space="preserve">9102562588</t>
  </si>
  <si>
    <t xml:space="preserve">amol.jain609@yahoo.com</t>
  </si>
  <si>
    <t xml:space="preserve">912, Barad Chowk</t>
  </si>
  <si>
    <t xml:space="preserve">792408</t>
  </si>
  <si>
    <t xml:space="preserve">CUST00449</t>
  </si>
  <si>
    <t xml:space="preserve">Girik Subramaniam</t>
  </si>
  <si>
    <t xml:space="preserve">9539672757</t>
  </si>
  <si>
    <t xml:space="preserve">girik.subramaniam515@yahoo.com</t>
  </si>
  <si>
    <t xml:space="preserve">80/68, Prabhakar Marg</t>
  </si>
  <si>
    <t xml:space="preserve">468341</t>
  </si>
  <si>
    <t xml:space="preserve">17/09/2024</t>
  </si>
  <si>
    <t xml:space="preserve">CUST00450</t>
  </si>
  <si>
    <t xml:space="preserve">Pushti Karnik</t>
  </si>
  <si>
    <t xml:space="preserve">9129014870</t>
  </si>
  <si>
    <t xml:space="preserve">pushti.karnik986@yahoo.com</t>
  </si>
  <si>
    <t xml:space="preserve">59, Chaudhari</t>
  </si>
  <si>
    <t xml:space="preserve">827788</t>
  </si>
  <si>
    <t xml:space="preserve">13/09/2023</t>
  </si>
  <si>
    <t xml:space="preserve">CUST00451</t>
  </si>
  <si>
    <t xml:space="preserve">Krish Kumar</t>
  </si>
  <si>
    <t xml:space="preserve">9853890972</t>
  </si>
  <si>
    <t xml:space="preserve">krish.kumar691@outlook.com</t>
  </si>
  <si>
    <t xml:space="preserve">149, Rege Circle</t>
  </si>
  <si>
    <t xml:space="preserve">321528</t>
  </si>
  <si>
    <t xml:space="preserve">24/12/2024</t>
  </si>
  <si>
    <t xml:space="preserve">CUST00452</t>
  </si>
  <si>
    <t xml:space="preserve">Ranbir Ahluwalia</t>
  </si>
  <si>
    <t xml:space="preserve">9538144744</t>
  </si>
  <si>
    <t xml:space="preserve">ranbir.ahluwalia219@gmail.com</t>
  </si>
  <si>
    <t xml:space="preserve">81/80, Jha Marg</t>
  </si>
  <si>
    <t xml:space="preserve">963480</t>
  </si>
  <si>
    <t xml:space="preserve">06/08/2025</t>
  </si>
  <si>
    <t xml:space="preserve">CUST00453</t>
  </si>
  <si>
    <t xml:space="preserve">Kiaan Palla</t>
  </si>
  <si>
    <t xml:space="preserve">9000841626</t>
  </si>
  <si>
    <t xml:space="preserve">kiaan.palla500@yahoo.com</t>
  </si>
  <si>
    <t xml:space="preserve">041, Kaul Street</t>
  </si>
  <si>
    <t xml:space="preserve">014683</t>
  </si>
  <si>
    <t xml:space="preserve">CUST00454</t>
  </si>
  <si>
    <t xml:space="preserve">Jasmit Majumdar</t>
  </si>
  <si>
    <t xml:space="preserve">9437654562</t>
  </si>
  <si>
    <t xml:space="preserve">jasmit.majumdar550@yahoo.com</t>
  </si>
  <si>
    <t xml:space="preserve">688, Gola Chowk</t>
  </si>
  <si>
    <t xml:space="preserve">177225</t>
  </si>
  <si>
    <t xml:space="preserve">07/06/2025</t>
  </si>
  <si>
    <t xml:space="preserve">CUST00455</t>
  </si>
  <si>
    <t xml:space="preserve">Veda Kulkarni</t>
  </si>
  <si>
    <t xml:space="preserve">9026650237</t>
  </si>
  <si>
    <t xml:space="preserve">veda.kulkarni983@outlook.com</t>
  </si>
  <si>
    <t xml:space="preserve">56/21, Sekhon Ganj</t>
  </si>
  <si>
    <t xml:space="preserve">416787</t>
  </si>
  <si>
    <t xml:space="preserve">18/09/2023</t>
  </si>
  <si>
    <t xml:space="preserve">CUST00456</t>
  </si>
  <si>
    <t xml:space="preserve">Harish Kala</t>
  </si>
  <si>
    <t xml:space="preserve">9102258030</t>
  </si>
  <si>
    <t xml:space="preserve">harish.kala695@yahoo.com</t>
  </si>
  <si>
    <t xml:space="preserve">H.No. 89, Dyal Nagar</t>
  </si>
  <si>
    <t xml:space="preserve">690674</t>
  </si>
  <si>
    <t xml:space="preserve">CUST00457</t>
  </si>
  <si>
    <t xml:space="preserve">Abdul Chand</t>
  </si>
  <si>
    <t xml:space="preserve">9823414363</t>
  </si>
  <si>
    <t xml:space="preserve">abdul.chand486@outlook.com</t>
  </si>
  <si>
    <t xml:space="preserve">96, Bhatt Zila</t>
  </si>
  <si>
    <t xml:space="preserve">189239</t>
  </si>
  <si>
    <t xml:space="preserve">12/07/2026</t>
  </si>
  <si>
    <t xml:space="preserve">CUST00458</t>
  </si>
  <si>
    <t xml:space="preserve">Tristan Prabhakar</t>
  </si>
  <si>
    <t xml:space="preserve">9326093106</t>
  </si>
  <si>
    <t xml:space="preserve">tristan.prabhakar418@outlook.com</t>
  </si>
  <si>
    <t xml:space="preserve">06/69, Mangat Circle</t>
  </si>
  <si>
    <t xml:space="preserve">433567</t>
  </si>
  <si>
    <t xml:space="preserve">06/05/2023</t>
  </si>
  <si>
    <t xml:space="preserve">CUST00459</t>
  </si>
  <si>
    <t xml:space="preserve">Parth Talwar</t>
  </si>
  <si>
    <t xml:space="preserve">9456350200</t>
  </si>
  <si>
    <t xml:space="preserve">parth.talwar54@outlook.com</t>
  </si>
  <si>
    <t xml:space="preserve">H.No. 384, Bandi Ganj</t>
  </si>
  <si>
    <t xml:space="preserve">534749</t>
  </si>
  <si>
    <t xml:space="preserve">CUST00460</t>
  </si>
  <si>
    <t xml:space="preserve">Omkaar Banik</t>
  </si>
  <si>
    <t xml:space="preserve">9108255598</t>
  </si>
  <si>
    <t xml:space="preserve">omkaar.banik620@yahoo.com</t>
  </si>
  <si>
    <t xml:space="preserve">021, Ratta Road</t>
  </si>
  <si>
    <t xml:space="preserve">343961</t>
  </si>
  <si>
    <t xml:space="preserve">06/08/2023</t>
  </si>
  <si>
    <t xml:space="preserve">CUST00461</t>
  </si>
  <si>
    <t xml:space="preserve">Megha Ravi</t>
  </si>
  <si>
    <t xml:space="preserve">9337118954</t>
  </si>
  <si>
    <t xml:space="preserve">megha.ravi743@yahoo.com</t>
  </si>
  <si>
    <t xml:space="preserve">01/18, Pall Road</t>
  </si>
  <si>
    <t xml:space="preserve">382023</t>
  </si>
  <si>
    <t xml:space="preserve">06/05/2025</t>
  </si>
  <si>
    <t xml:space="preserve">CUST00462</t>
  </si>
  <si>
    <t xml:space="preserve">Aradhana Kara</t>
  </si>
  <si>
    <t xml:space="preserve">9161768802</t>
  </si>
  <si>
    <t xml:space="preserve">aradhana.kara614@yahoo.com</t>
  </si>
  <si>
    <t xml:space="preserve">69, Lal Nagar</t>
  </si>
  <si>
    <t xml:space="preserve">240903</t>
  </si>
  <si>
    <t xml:space="preserve">25/03/2025</t>
  </si>
  <si>
    <t xml:space="preserve">CUST00463</t>
  </si>
  <si>
    <t xml:space="preserve">Niharika Toor</t>
  </si>
  <si>
    <t xml:space="preserve">9868669432</t>
  </si>
  <si>
    <t xml:space="preserve">niharika.toor4@gmail.com</t>
  </si>
  <si>
    <t xml:space="preserve">18/45, Varghese Zila</t>
  </si>
  <si>
    <t xml:space="preserve">939087</t>
  </si>
  <si>
    <t xml:space="preserve">28/10/2025</t>
  </si>
  <si>
    <t xml:space="preserve">CUST00464</t>
  </si>
  <si>
    <t xml:space="preserve">Zashil Savant</t>
  </si>
  <si>
    <t xml:space="preserve">9481230834</t>
  </si>
  <si>
    <t xml:space="preserve">zashil.savant41@outlook.com</t>
  </si>
  <si>
    <t xml:space="preserve">73/57, Bala Chowk</t>
  </si>
  <si>
    <t xml:space="preserve">242403</t>
  </si>
  <si>
    <t xml:space="preserve">06/03/2024</t>
  </si>
  <si>
    <t xml:space="preserve">CUST00465</t>
  </si>
  <si>
    <t xml:space="preserve">Jackson Kuruvilla</t>
  </si>
  <si>
    <t xml:space="preserve">9842694500</t>
  </si>
  <si>
    <t xml:space="preserve">jackson.kuruvilla844@yahoo.com</t>
  </si>
  <si>
    <t xml:space="preserve">33, Sachar Path</t>
  </si>
  <si>
    <t xml:space="preserve">342408</t>
  </si>
  <si>
    <t xml:space="preserve">09/04/2026</t>
  </si>
  <si>
    <t xml:space="preserve">CUST00466</t>
  </si>
  <si>
    <t xml:space="preserve">Zaitra Wason</t>
  </si>
  <si>
    <t xml:space="preserve">9983735439</t>
  </si>
  <si>
    <t xml:space="preserve">zaitra.wason645@yahoo.com</t>
  </si>
  <si>
    <t xml:space="preserve">43/416, Borra Path</t>
  </si>
  <si>
    <t xml:space="preserve">273652</t>
  </si>
  <si>
    <t xml:space="preserve">CUST00467</t>
  </si>
  <si>
    <t xml:space="preserve">Vamakshi Murthy</t>
  </si>
  <si>
    <t xml:space="preserve">9724042269</t>
  </si>
  <si>
    <t xml:space="preserve">vamakshi.murthy193@gmail.com</t>
  </si>
  <si>
    <t xml:space="preserve">942, Tara Ganj</t>
  </si>
  <si>
    <t xml:space="preserve">216376</t>
  </si>
  <si>
    <t xml:space="preserve">CUST00468</t>
  </si>
  <si>
    <t xml:space="preserve">Wahab Khurana</t>
  </si>
  <si>
    <t xml:space="preserve">9601002314</t>
  </si>
  <si>
    <t xml:space="preserve">wahab.khurana147@outlook.com</t>
  </si>
  <si>
    <t xml:space="preserve">333, Parekh</t>
  </si>
  <si>
    <t xml:space="preserve">900185</t>
  </si>
  <si>
    <t xml:space="preserve">CUST00469</t>
  </si>
  <si>
    <t xml:space="preserve">Hredhaan Dar</t>
  </si>
  <si>
    <t xml:space="preserve">9723084810</t>
  </si>
  <si>
    <t xml:space="preserve">hredhaan.dar845@gmail.com</t>
  </si>
  <si>
    <t xml:space="preserve">79/080, Prabhu Chowk</t>
  </si>
  <si>
    <t xml:space="preserve">184186</t>
  </si>
  <si>
    <t xml:space="preserve">18/10/2023</t>
  </si>
  <si>
    <t xml:space="preserve">CUST00470</t>
  </si>
  <si>
    <t xml:space="preserve">Waida Maharaj</t>
  </si>
  <si>
    <t xml:space="preserve">9543617213</t>
  </si>
  <si>
    <t xml:space="preserve">waida.maharaj105@yahoo.com</t>
  </si>
  <si>
    <t xml:space="preserve">846, Dave Ganj</t>
  </si>
  <si>
    <t xml:space="preserve">519515</t>
  </si>
  <si>
    <t xml:space="preserve">CUST00471</t>
  </si>
  <si>
    <t xml:space="preserve">Pallavi Sridhar</t>
  </si>
  <si>
    <t xml:space="preserve">9926249451</t>
  </si>
  <si>
    <t xml:space="preserve">pallavi.sridhar278@yahoo.com</t>
  </si>
  <si>
    <t xml:space="preserve">56/27, Vasa Zila</t>
  </si>
  <si>
    <t xml:space="preserve">541022</t>
  </si>
  <si>
    <t xml:space="preserve">17/10/2024</t>
  </si>
  <si>
    <t xml:space="preserve">CUST00472</t>
  </si>
  <si>
    <t xml:space="preserve">Diya Anand</t>
  </si>
  <si>
    <t xml:space="preserve">9642152265</t>
  </si>
  <si>
    <t xml:space="preserve">diya.anand327@yahoo.com</t>
  </si>
  <si>
    <t xml:space="preserve">36/915, Lad Path</t>
  </si>
  <si>
    <t xml:space="preserve">676952</t>
  </si>
  <si>
    <t xml:space="preserve">CUST00473</t>
  </si>
  <si>
    <t xml:space="preserve">Adya Khalsa</t>
  </si>
  <si>
    <t xml:space="preserve">9361968931</t>
  </si>
  <si>
    <t xml:space="preserve">adya.khalsa241@yahoo.com</t>
  </si>
  <si>
    <t xml:space="preserve">95, Gour Path</t>
  </si>
  <si>
    <t xml:space="preserve">030587</t>
  </si>
  <si>
    <t xml:space="preserve">01/10/2023</t>
  </si>
  <si>
    <t xml:space="preserve">CUST00474</t>
  </si>
  <si>
    <t xml:space="preserve">Panini Kade</t>
  </si>
  <si>
    <t xml:space="preserve">9286333021</t>
  </si>
  <si>
    <t xml:space="preserve">panini.kade986@outlook.com</t>
  </si>
  <si>
    <t xml:space="preserve">55/647, Deep Street</t>
  </si>
  <si>
    <t xml:space="preserve">260650</t>
  </si>
  <si>
    <t xml:space="preserve">CUST00475</t>
  </si>
  <si>
    <t xml:space="preserve">Harish Madan</t>
  </si>
  <si>
    <t xml:space="preserve">9213109622</t>
  </si>
  <si>
    <t xml:space="preserve">harish.madan482@outlook.com</t>
  </si>
  <si>
    <t xml:space="preserve">66/32, Solanki Street</t>
  </si>
  <si>
    <t xml:space="preserve">284765</t>
  </si>
  <si>
    <t xml:space="preserve">CUST00476</t>
  </si>
  <si>
    <t xml:space="preserve">Patrick Sama</t>
  </si>
  <si>
    <t xml:space="preserve">9092820667</t>
  </si>
  <si>
    <t xml:space="preserve">patrick.sama568@outlook.com</t>
  </si>
  <si>
    <t xml:space="preserve">885, Mital Chowk</t>
  </si>
  <si>
    <t xml:space="preserve">498436</t>
  </si>
  <si>
    <t xml:space="preserve">18/11/2023</t>
  </si>
  <si>
    <t xml:space="preserve">CUST00477</t>
  </si>
  <si>
    <t xml:space="preserve">Champak Rao</t>
  </si>
  <si>
    <t xml:space="preserve">9690362891</t>
  </si>
  <si>
    <t xml:space="preserve">champak.rao837@outlook.com</t>
  </si>
  <si>
    <t xml:space="preserve">20/347, Sengupta Zila</t>
  </si>
  <si>
    <t xml:space="preserve">775662</t>
  </si>
  <si>
    <t xml:space="preserve">22/04/2023</t>
  </si>
  <si>
    <t xml:space="preserve">CUST00478</t>
  </si>
  <si>
    <t xml:space="preserve">Abha Patel</t>
  </si>
  <si>
    <t xml:space="preserve">9159503428</t>
  </si>
  <si>
    <t xml:space="preserve">abha.patel110@gmail.com</t>
  </si>
  <si>
    <t xml:space="preserve">84/50, Dara Marg</t>
  </si>
  <si>
    <t xml:space="preserve">390438</t>
  </si>
  <si>
    <t xml:space="preserve">18/02/2024</t>
  </si>
  <si>
    <t xml:space="preserve">CUST00479</t>
  </si>
  <si>
    <t xml:space="preserve">Rushil Yohannan</t>
  </si>
  <si>
    <t xml:space="preserve">9909700514</t>
  </si>
  <si>
    <t xml:space="preserve">rushil.yohannan9@yahoo.com</t>
  </si>
  <si>
    <t xml:space="preserve">H.No. 55, Sura Circle</t>
  </si>
  <si>
    <t xml:space="preserve">468356</t>
  </si>
  <si>
    <t xml:space="preserve">29/12/2024</t>
  </si>
  <si>
    <t xml:space="preserve">CUST00480</t>
  </si>
  <si>
    <t xml:space="preserve">Farhan Raj</t>
  </si>
  <si>
    <t xml:space="preserve">9818209679</t>
  </si>
  <si>
    <t xml:space="preserve">farhan.raj890@gmail.com</t>
  </si>
  <si>
    <t xml:space="preserve">22, Sama Path</t>
  </si>
  <si>
    <t xml:space="preserve">422711</t>
  </si>
  <si>
    <t xml:space="preserve">CUST00481</t>
  </si>
  <si>
    <t xml:space="preserve">Ekbal Buch</t>
  </si>
  <si>
    <t xml:space="preserve">9889857254</t>
  </si>
  <si>
    <t xml:space="preserve">ekbal.buch369@outlook.com</t>
  </si>
  <si>
    <t xml:space="preserve">H.No. 35, Manne Path</t>
  </si>
  <si>
    <t xml:space="preserve">606339</t>
  </si>
  <si>
    <t xml:space="preserve">CUST00482</t>
  </si>
  <si>
    <t xml:space="preserve">Megha Madan</t>
  </si>
  <si>
    <t xml:space="preserve">9248171752</t>
  </si>
  <si>
    <t xml:space="preserve">megha.madan957@yahoo.com</t>
  </si>
  <si>
    <t xml:space="preserve">H.No. 98, Sachdev Chowk</t>
  </si>
  <si>
    <t xml:space="preserve">214955</t>
  </si>
  <si>
    <t xml:space="preserve">CUST00483</t>
  </si>
  <si>
    <t xml:space="preserve">Qarin Bajaj</t>
  </si>
  <si>
    <t xml:space="preserve">9721970546</t>
  </si>
  <si>
    <t xml:space="preserve">qarin.bajaj419@outlook.com</t>
  </si>
  <si>
    <t xml:space="preserve">34/132, Chauhan Marg</t>
  </si>
  <si>
    <t xml:space="preserve">275895</t>
  </si>
  <si>
    <t xml:space="preserve">04/02/2025</t>
  </si>
  <si>
    <t xml:space="preserve">CUST00484</t>
  </si>
  <si>
    <t xml:space="preserve">Devansh Solanki</t>
  </si>
  <si>
    <t xml:space="preserve">9090380214</t>
  </si>
  <si>
    <t xml:space="preserve">devansh.solanki385@gmail.com</t>
  </si>
  <si>
    <t xml:space="preserve">H.No. 681, Lala Zila</t>
  </si>
  <si>
    <t xml:space="preserve">961367</t>
  </si>
  <si>
    <t xml:space="preserve">11/07/2023</t>
  </si>
  <si>
    <t xml:space="preserve">CUST00485</t>
  </si>
  <si>
    <t xml:space="preserve">Frado Ramakrishnan</t>
  </si>
  <si>
    <t xml:space="preserve">9216636515</t>
  </si>
  <si>
    <t xml:space="preserve">frado.ramakrishnan351@outlook.com</t>
  </si>
  <si>
    <t xml:space="preserve">347, Deep Street</t>
  </si>
  <si>
    <t xml:space="preserve">737147</t>
  </si>
  <si>
    <t xml:space="preserve">CUST00486</t>
  </si>
  <si>
    <t xml:space="preserve">Ayush Banerjee</t>
  </si>
  <si>
    <t xml:space="preserve">9909605673</t>
  </si>
  <si>
    <t xml:space="preserve">ayush.banerjee56@gmail.com</t>
  </si>
  <si>
    <t xml:space="preserve">H.No. 77, Magar Circle</t>
  </si>
  <si>
    <t xml:space="preserve">064421</t>
  </si>
  <si>
    <t xml:space="preserve">CUST00487</t>
  </si>
  <si>
    <t xml:space="preserve">Krishna Zacharia</t>
  </si>
  <si>
    <t xml:space="preserve">9683420165</t>
  </si>
  <si>
    <t xml:space="preserve">krishna.zacharia987@yahoo.com</t>
  </si>
  <si>
    <t xml:space="preserve">97/96, Walla Circle</t>
  </si>
  <si>
    <t xml:space="preserve">235677</t>
  </si>
  <si>
    <t xml:space="preserve">CUST00488</t>
  </si>
  <si>
    <t xml:space="preserve">Idika Subramaniam</t>
  </si>
  <si>
    <t xml:space="preserve">9960893199</t>
  </si>
  <si>
    <t xml:space="preserve">idika.subramaniam149@yahoo.com</t>
  </si>
  <si>
    <t xml:space="preserve">H.No. 745, Lad Marg</t>
  </si>
  <si>
    <t xml:space="preserve">502727</t>
  </si>
  <si>
    <t xml:space="preserve">CUST00489</t>
  </si>
  <si>
    <t xml:space="preserve">Chavvi Anne</t>
  </si>
  <si>
    <t xml:space="preserve">9072791033</t>
  </si>
  <si>
    <t xml:space="preserve">chavvi.anne431@outlook.com</t>
  </si>
  <si>
    <t xml:space="preserve">25/47, Anand Circle</t>
  </si>
  <si>
    <t xml:space="preserve">829635</t>
  </si>
  <si>
    <t xml:space="preserve">05/03/2024</t>
  </si>
  <si>
    <t xml:space="preserve">CUST00490</t>
  </si>
  <si>
    <t xml:space="preserve">Vansha Mistry</t>
  </si>
  <si>
    <t xml:space="preserve">9044817766</t>
  </si>
  <si>
    <t xml:space="preserve">vansha.mistry361@yahoo.com</t>
  </si>
  <si>
    <t xml:space="preserve">49, Amble Ganj</t>
  </si>
  <si>
    <t xml:space="preserve">868512</t>
  </si>
  <si>
    <t xml:space="preserve">28/07/2025</t>
  </si>
  <si>
    <t xml:space="preserve">CUST00491</t>
  </si>
  <si>
    <t xml:space="preserve">Ranbir Sabharwal</t>
  </si>
  <si>
    <t xml:space="preserve">9464911110</t>
  </si>
  <si>
    <t xml:space="preserve">ranbir.sabharwal632@yahoo.com</t>
  </si>
  <si>
    <t xml:space="preserve">32, Radhakrishnan Marg</t>
  </si>
  <si>
    <t xml:space="preserve">Nagpur</t>
  </si>
  <si>
    <t xml:space="preserve">179817</t>
  </si>
  <si>
    <t xml:space="preserve">27/10/2025</t>
  </si>
  <si>
    <t xml:space="preserve">CUST00492</t>
  </si>
  <si>
    <t xml:space="preserve">Adya Buch</t>
  </si>
  <si>
    <t xml:space="preserve">9786137157</t>
  </si>
  <si>
    <t xml:space="preserve">adya.buch423@outlook.com</t>
  </si>
  <si>
    <t xml:space="preserve">38/944, Luthra Circle</t>
  </si>
  <si>
    <t xml:space="preserve">605384</t>
  </si>
  <si>
    <t xml:space="preserve">02/07/2024</t>
  </si>
  <si>
    <t xml:space="preserve">CUST00493</t>
  </si>
  <si>
    <t xml:space="preserve">Raghav Biswas</t>
  </si>
  <si>
    <t xml:space="preserve">9600025895</t>
  </si>
  <si>
    <t xml:space="preserve">raghav.biswas344@gmail.com</t>
  </si>
  <si>
    <t xml:space="preserve">417, Sethi</t>
  </si>
  <si>
    <t xml:space="preserve">963863</t>
  </si>
  <si>
    <t xml:space="preserve">16/06/2026</t>
  </si>
  <si>
    <t xml:space="preserve">CUST00494</t>
  </si>
  <si>
    <t xml:space="preserve">Vyanjana Guha</t>
  </si>
  <si>
    <t xml:space="preserve">9626582631</t>
  </si>
  <si>
    <t xml:space="preserve">vyanjana.guha728@gmail.com</t>
  </si>
  <si>
    <t xml:space="preserve">H.No. 208, Grewal Nagar</t>
  </si>
  <si>
    <t xml:space="preserve">819648</t>
  </si>
  <si>
    <t xml:space="preserve">22/11/2023</t>
  </si>
  <si>
    <t xml:space="preserve">CUST00495</t>
  </si>
  <si>
    <t xml:space="preserve">Yug Bajaj</t>
  </si>
  <si>
    <t xml:space="preserve">9846062938</t>
  </si>
  <si>
    <t xml:space="preserve">yug.bajaj254@gmail.com</t>
  </si>
  <si>
    <t xml:space="preserve">H.No. 141, Parsa Street</t>
  </si>
  <si>
    <t xml:space="preserve">225482</t>
  </si>
  <si>
    <t xml:space="preserve">CUST00496</t>
  </si>
  <si>
    <t xml:space="preserve">Hema Salvi</t>
  </si>
  <si>
    <t xml:space="preserve">9412091179</t>
  </si>
  <si>
    <t xml:space="preserve">hema.salvi126@gmail.com</t>
  </si>
  <si>
    <t xml:space="preserve">57, Narayanan Nagar</t>
  </si>
  <si>
    <t xml:space="preserve">244211</t>
  </si>
  <si>
    <t xml:space="preserve">09/10/2025</t>
  </si>
  <si>
    <t xml:space="preserve">CUST00497</t>
  </si>
  <si>
    <t xml:space="preserve">Madhav Bhalla</t>
  </si>
  <si>
    <t xml:space="preserve">9061713665</t>
  </si>
  <si>
    <t xml:space="preserve">madhav.bhalla649@yahoo.com</t>
  </si>
  <si>
    <t xml:space="preserve">18, Golla Chowk</t>
  </si>
  <si>
    <t xml:space="preserve">224029</t>
  </si>
  <si>
    <t xml:space="preserve">CUST00498</t>
  </si>
  <si>
    <t xml:space="preserve">Zashil Raj</t>
  </si>
  <si>
    <t xml:space="preserve">9998028413</t>
  </si>
  <si>
    <t xml:space="preserve">zashil.raj621@gmail.com</t>
  </si>
  <si>
    <t xml:space="preserve">H.No. 367, Bandi Ganj</t>
  </si>
  <si>
    <t xml:space="preserve">808823</t>
  </si>
  <si>
    <t xml:space="preserve">CUST00499</t>
  </si>
  <si>
    <t xml:space="preserve">Triveni Chandra</t>
  </si>
  <si>
    <t xml:space="preserve">9244731584</t>
  </si>
  <si>
    <t xml:space="preserve">triveni.chandra479@outlook.com</t>
  </si>
  <si>
    <t xml:space="preserve">64, Dutt Path</t>
  </si>
  <si>
    <t xml:space="preserve">768634</t>
  </si>
  <si>
    <t xml:space="preserve">21/12/2023</t>
  </si>
  <si>
    <t xml:space="preserve">CUST00500</t>
  </si>
  <si>
    <t xml:space="preserve">Jason Kulkarni</t>
  </si>
  <si>
    <t xml:space="preserve">9942376769</t>
  </si>
  <si>
    <t xml:space="preserve">jason.kulkarni766@yahoo.com</t>
  </si>
  <si>
    <t xml:space="preserve">43/503, Keer Zila</t>
  </si>
  <si>
    <t xml:space="preserve">591966</t>
  </si>
  <si>
    <t xml:space="preserve">14/02/2024</t>
  </si>
  <si>
    <t xml:space="preserve">Speed &amp; Accuracy Tracker</t>
  </si>
  <si>
    <t xml:space="preserve">Batch-wise typing speed (WPM) and data-entry accuracy, sourced live from Data_Entry sheet</t>
  </si>
  <si>
    <t xml:space="preserve">Records_Entered</t>
  </si>
  <si>
    <t xml:space="preserve">Start_Time</t>
  </si>
  <si>
    <t xml:space="preserve">End_Time</t>
  </si>
  <si>
    <t xml:space="preserve">Duration_Min</t>
  </si>
  <si>
    <t xml:space="preserve">Total_Words</t>
  </si>
  <si>
    <t xml:space="preserve">WPM (Words/Min)</t>
  </si>
  <si>
    <t xml:space="preserve">Errors_Found</t>
  </si>
  <si>
    <t xml:space="preserve">Accuracy %</t>
  </si>
  <si>
    <t xml:space="preserve">09:00:00</t>
  </si>
  <si>
    <t xml:space="preserve">09:41:26</t>
  </si>
  <si>
    <t xml:space="preserve">09:46:26</t>
  </si>
  <si>
    <t xml:space="preserve">10:26:32</t>
  </si>
  <si>
    <t xml:space="preserve">10:31:32</t>
  </si>
  <si>
    <t xml:space="preserve">11:10:36</t>
  </si>
  <si>
    <t xml:space="preserve">11:15:36</t>
  </si>
  <si>
    <t xml:space="preserve">11:54:25</t>
  </si>
  <si>
    <t xml:space="preserve">11:59:25</t>
  </si>
  <si>
    <t xml:space="preserve">12:37:18</t>
  </si>
  <si>
    <t xml:space="preserve">12:42:18</t>
  </si>
  <si>
    <t xml:space="preserve">13:19:20</t>
  </si>
  <si>
    <t xml:space="preserve">13:24:20</t>
  </si>
  <si>
    <t xml:space="preserve">14:01:03</t>
  </si>
  <si>
    <t xml:space="preserve">14:06:03</t>
  </si>
  <si>
    <t xml:space="preserve">14:43:23</t>
  </si>
  <si>
    <t xml:space="preserve">14:48:23</t>
  </si>
  <si>
    <t xml:space="preserve">15:24:24</t>
  </si>
  <si>
    <t xml:space="preserve">15:29:24</t>
  </si>
  <si>
    <t xml:space="preserve">16:04:17</t>
  </si>
  <si>
    <t xml:space="preserve">TOTAL / AVERAGE</t>
  </si>
  <si>
    <t xml:space="preserve">Note: Word_Count uses the standard typing-test convention (1 word = 5 characters, including spaces).</t>
  </si>
  <si>
    <t xml:space="preserve">Yellow cells (Start_Time / End_Time) are the only manual inputs on this sheet - all other values recalculate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</si>
</sst>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h:mm:ss"/>
    <numFmt numFmtId="166" formatCode="0.0"/>
    <numFmt numFmtId="167" formatCode="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4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 t="s">
        <v>31</v>
      </c>
    </row>
    <row r="39" customFormat="false" ht="15" hidden="false" customHeight="false" outlineLevel="0" collapsed="false">
      <c r="A39" s="3" t="s">
        <v>32</v>
      </c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4" t="s">
        <v>33</v>
      </c>
    </row>
    <row r="42" customFormat="false" ht="15" hidden="false" customHeight="false" outlineLevel="0" collapsed="false">
      <c r="A42" s="3" t="s">
        <v>34</v>
      </c>
    </row>
    <row r="43" customFormat="false" ht="15" hidden="false" customHeight="false" outlineLevel="0" collapsed="false">
      <c r="A43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5" t="s">
        <v>36</v>
      </c>
      <c r="B1" s="5" t="s">
        <v>37</v>
      </c>
      <c r="C1" s="5" t="s">
        <v>38</v>
      </c>
    </row>
    <row r="2" customFormat="false" ht="15" hidden="false" customHeight="false" outlineLevel="0" collapsed="false">
      <c r="A2" s="3" t="s">
        <v>39</v>
      </c>
      <c r="B2" s="3" t="s">
        <v>40</v>
      </c>
      <c r="C2" s="3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</row>
    <row r="5" customFormat="false" ht="15" hidden="false" customHeight="false" outlineLevel="0" collapsed="false">
      <c r="A5" s="3" t="s">
        <v>48</v>
      </c>
      <c r="B5" s="3" t="s">
        <v>49</v>
      </c>
      <c r="C5" s="3" t="s">
        <v>50</v>
      </c>
    </row>
    <row r="6" customFormat="false" ht="15" hidden="false" customHeight="false" outlineLevel="0" collapsed="false">
      <c r="A6" s="3" t="s">
        <v>51</v>
      </c>
      <c r="B6" s="3" t="s">
        <v>52</v>
      </c>
      <c r="C6" s="3" t="s">
        <v>53</v>
      </c>
    </row>
    <row r="7" customFormat="false" ht="15" hidden="false" customHeight="false" outlineLevel="0" collapsed="false">
      <c r="A7" s="3" t="s">
        <v>54</v>
      </c>
      <c r="B7" s="3" t="s">
        <v>55</v>
      </c>
      <c r="C7" s="3" t="s">
        <v>56</v>
      </c>
    </row>
    <row r="8" customFormat="false" ht="15" hidden="false" customHeight="false" outlineLevel="0" collapsed="false">
      <c r="A8" s="3" t="s">
        <v>57</v>
      </c>
      <c r="C8" s="3" t="s">
        <v>58</v>
      </c>
    </row>
    <row r="9" customFormat="false" ht="15" hidden="false" customHeight="false" outlineLevel="0" collapsed="false">
      <c r="A9" s="3" t="s">
        <v>59</v>
      </c>
      <c r="C9" s="3" t="s">
        <v>60</v>
      </c>
    </row>
    <row r="10" customFormat="false" ht="15" hidden="false" customHeight="false" outlineLevel="0" collapsed="false">
      <c r="A10" s="3" t="s">
        <v>61</v>
      </c>
      <c r="C10" s="3" t="s">
        <v>62</v>
      </c>
    </row>
    <row r="11" customFormat="false" ht="15" hidden="false" customHeight="false" outlineLevel="0" collapsed="false">
      <c r="A11" s="3" t="s">
        <v>63</v>
      </c>
      <c r="C11" s="3" t="s">
        <v>64</v>
      </c>
    </row>
    <row r="12" customFormat="false" ht="15" hidden="false" customHeight="false" outlineLevel="0" collapsed="false">
      <c r="A12" s="3" t="s">
        <v>65</v>
      </c>
      <c r="C12" s="3" t="s">
        <v>66</v>
      </c>
    </row>
    <row r="13" customFormat="false" ht="15" hidden="false" customHeight="false" outlineLevel="0" collapsed="false">
      <c r="A13" s="3" t="s">
        <v>67</v>
      </c>
      <c r="C13" s="3" t="s">
        <v>68</v>
      </c>
    </row>
    <row r="14" customFormat="false" ht="15" hidden="false" customHeight="false" outlineLevel="0" collapsed="false">
      <c r="A14" s="3" t="s">
        <v>69</v>
      </c>
      <c r="C14" s="3" t="s">
        <v>70</v>
      </c>
    </row>
    <row r="15" customFormat="false" ht="15" hidden="false" customHeight="false" outlineLevel="0" collapsed="false">
      <c r="A15" s="3" t="s">
        <v>71</v>
      </c>
      <c r="C15" s="3" t="s">
        <v>72</v>
      </c>
    </row>
    <row r="16" customFormat="false" ht="15" hidden="false" customHeight="false" outlineLevel="0" collapsed="false">
      <c r="A16" s="3" t="s">
        <v>73</v>
      </c>
      <c r="C16" s="3" t="s">
        <v>74</v>
      </c>
    </row>
    <row r="17" customFormat="false" ht="15" hidden="false" customHeight="false" outlineLevel="0" collapsed="false">
      <c r="A17" s="3" t="s">
        <v>75</v>
      </c>
    </row>
    <row r="18" customFormat="false" ht="15" hidden="false" customHeight="false" outlineLevel="0" collapsed="false">
      <c r="A18" s="3" t="s">
        <v>76</v>
      </c>
    </row>
    <row r="19" customFormat="false" ht="15" hidden="false" customHeight="false" outlineLevel="0" collapsed="false">
      <c r="A19" s="3" t="s">
        <v>77</v>
      </c>
    </row>
    <row r="20" customFormat="false" ht="15" hidden="false" customHeight="false" outlineLevel="0" collapsed="false">
      <c r="A20" s="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0" min="10" style="0" width="9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26"/>
    <col collapsed="false" customWidth="true" hidden="false" outlineLevel="0" max="18" min="18" style="0" width="13"/>
  </cols>
  <sheetData>
    <row r="1" customFormat="false" ht="30" hidden="false" customHeight="true" outlineLevel="0" collapsed="false">
      <c r="A1" s="6" t="s">
        <v>79</v>
      </c>
      <c r="B1" s="6" t="s">
        <v>80</v>
      </c>
      <c r="C1" s="6" t="s">
        <v>81</v>
      </c>
      <c r="D1" s="6" t="s">
        <v>82</v>
      </c>
      <c r="E1" s="6" t="s">
        <v>83</v>
      </c>
      <c r="F1" s="6" t="s">
        <v>84</v>
      </c>
      <c r="G1" s="6" t="s">
        <v>85</v>
      </c>
      <c r="H1" s="6" t="s">
        <v>86</v>
      </c>
      <c r="I1" s="6" t="s">
        <v>87</v>
      </c>
      <c r="J1" s="6" t="s">
        <v>88</v>
      </c>
      <c r="K1" s="6" t="s">
        <v>89</v>
      </c>
      <c r="L1" s="6" t="s">
        <v>90</v>
      </c>
      <c r="M1" s="6" t="s">
        <v>91</v>
      </c>
      <c r="N1" s="6" t="s">
        <v>92</v>
      </c>
      <c r="O1" s="6" t="s">
        <v>93</v>
      </c>
      <c r="P1" s="6" t="s">
        <v>94</v>
      </c>
      <c r="Q1" s="6" t="s">
        <v>95</v>
      </c>
      <c r="R1" s="6" t="s">
        <v>96</v>
      </c>
    </row>
    <row r="2" customFormat="false" ht="15" hidden="false" customHeight="false" outlineLevel="0" collapsed="false">
      <c r="A2" s="3" t="n">
        <v>1</v>
      </c>
      <c r="B2" s="3" t="n">
        <v>1</v>
      </c>
      <c r="C2" s="3" t="s">
        <v>97</v>
      </c>
      <c r="D2" s="3" t="s">
        <v>98</v>
      </c>
      <c r="E2" s="3" t="s">
        <v>99</v>
      </c>
      <c r="F2" s="3" t="s">
        <v>100</v>
      </c>
      <c r="G2" s="3" t="s">
        <v>101</v>
      </c>
      <c r="H2" s="3" t="s">
        <v>102</v>
      </c>
      <c r="I2" s="3" t="s">
        <v>48</v>
      </c>
      <c r="J2" s="3" t="s">
        <v>103</v>
      </c>
      <c r="K2" s="3" t="s">
        <v>104</v>
      </c>
      <c r="L2" s="3" t="s">
        <v>68</v>
      </c>
      <c r="M2" s="3" t="n">
        <v>10467.17</v>
      </c>
      <c r="N2" s="3" t="s">
        <v>52</v>
      </c>
      <c r="O2" s="3" t="n">
        <f aca="false">IFERROR(LEN(C2&amp;D2&amp;E2&amp;F2&amp;G2&amp;H2&amp;I2&amp;J2&amp;K2&amp;L2&amp;M2&amp;N2)/5,0)</f>
        <v>27</v>
      </c>
      <c r="P2" s="3" t="str">
        <f aca="false">IF(OR(D2="",C2=""),"",IF((IFERROR(IF(AND(TRIM(D2)=D2,LEN(D2)&gt;0),0,1),1)+IFERROR(IF(AND(LEN(E2)=10,ISNUMBER(VALUE(E2))),0,1),1)+IFERROR(IF(AND(ISNUMBER(SEARCH("@",F2)),ISNUMBER(SEARCH(".",F2))),0,1),1)+IFERROR(IF(AND(LEN(J2)=6,ISNUMBER(VALUE(J2))),0,1),1)+IFERROR(IF(ISNUMBER(MATCH(TRIM(I2),Lists!$A$2:$A$20,0)),0,1),1)+IFERROR(IF(AND(LEN(K2)=10,VALUE(LEFT(K2,FIND("/",K2)-1))&gt;=1,VALUE(LEFT(K2,FIND("/",K2)-1))&lt;=31,VALUE(LEFT(MID(K2,FIND("/",K2)+1,10),FIND("/",MID(K2,FIND("/",K2)+1,10))-1))&gt;=1,VALUE(LEFT(MID(K2,FIND("/",K2)+1,10),FIND("/",MID(K2,FIND("/",K2)+1,10))-1))&lt;=12,VALUE(LEFT(K2,FIND("/",K2)-1))&lt;=DAY(EOMONTH(DATE(VALUE(MID(MID(K2,FIND("/",K2)+1,10),FIND("/",MID(K2,FIND("/",K2)+1,10))+1,4)),VALUE(LEFT(MID(K2,FIND("/",K2)+1,10),FIND("/",MID(K2,FIND("/",K2)+1,10))-1)),1),0))),0,1),1)+IFERROR(IF(M2&gt;=0,0,1),1)+IFERROR(IF(ISNUMBER(MATCH(N2,Lists!$B$2:$B$7,0)),0,1),1))=0,"OK","ERROR"))</f>
        <v>OK</v>
      </c>
      <c r="Q2" s="3" t="str">
        <f aca="false">IF(D2="","",TRIM(IF(IFERROR(IF(AND(TRIM(D2)=D2,LEN(D2)&gt;0),0,1),1)=1,"Name; ","")&amp;IF(IFERROR(IF(AND(LEN(E2)=10,ISNUMBER(VALUE(E2))),0,1),1)=1,"Phone; ","")&amp;IF(IFERROR(IF(AND(ISNUMBER(SEARCH("@",F2)),ISNUMBER(SEARCH(".",F2))),0,1),1)=1,"Email; ","")&amp;IF(IFERROR(IF(AND(LEN(J2)=6,ISNUMBER(VALUE(J2))),0,1),1)=1,"Pincode; ","")&amp;IF(IFERROR(IF(ISNUMBER(MATCH(TRIM(I2),Lists!$A$2:$A$20,0)),0,1),1)=1,"State; ","")&amp;IF(IFERROR(IF(AND(LEN(K2)=10,VALUE(LEFT(K2,FIND("/",K2)-1))&gt;=1,VALUE(LEFT(K2,FIND("/",K2)-1))&lt;=31,VALUE(LEFT(MID(K2,FIND("/",K2)+1,10),FIND("/",MID(K2,FIND("/",K2)+1,10))-1))&gt;=1,VALUE(LEFT(MID(K2,FIND("/",K2)+1,10),FIND("/",MID(K2,FIND("/",K2)+1,10))-1))&lt;=12,VALUE(LEFT(K2,FIND("/",K2)-1))&lt;=DAY(EOMONTH(DATE(VALUE(MID(MID(K2,FIND("/",K2)+1,10),FIND("/",MID(K2,FIND("/",K2)+1,10))+1,4)),VALUE(LEFT(MID(K2,FIND("/",K2)+1,10),FIND("/",MID(K2,FIND("/",K2)+1,10))-1)),1),0))),0,1),1)=1,"Date; ","")&amp;IF(IFERROR(IF(M2&gt;=0,0,1),1)=1,"Amount; ","")&amp;IF(IFERROR(IF(ISNUMBER(MATCH(N2,Lists!$B$2:$B$7,0)),0,1),1)=1,"Payment; ","")))</f>
        <v/>
      </c>
      <c r="R2" s="3" t="str">
        <f aca="false">IF(D2="","",IF(COUNTIFS($D$2:$D$701,D2,$E$2:$E$701,E2)&gt;1,"DUPLICATE","Unique"))</f>
        <v>Unique</v>
      </c>
    </row>
    <row r="3" customFormat="false" ht="15" hidden="false" customHeight="false" outlineLevel="0" collapsed="false">
      <c r="A3" s="3" t="n">
        <v>2</v>
      </c>
      <c r="B3" s="3" t="n">
        <v>1</v>
      </c>
      <c r="C3" s="3" t="s">
        <v>105</v>
      </c>
      <c r="D3" s="3" t="s">
        <v>106</v>
      </c>
      <c r="E3" s="3" t="s">
        <v>107</v>
      </c>
      <c r="F3" s="3" t="s">
        <v>108</v>
      </c>
      <c r="G3" s="3" t="s">
        <v>109</v>
      </c>
      <c r="H3" s="3" t="s">
        <v>110</v>
      </c>
      <c r="I3" s="3" t="s">
        <v>71</v>
      </c>
      <c r="J3" s="3" t="s">
        <v>111</v>
      </c>
      <c r="K3" s="3" t="s">
        <v>112</v>
      </c>
      <c r="L3" s="3" t="s">
        <v>68</v>
      </c>
      <c r="M3" s="3" t="n">
        <v>7457.91</v>
      </c>
      <c r="N3" s="3" t="s">
        <v>40</v>
      </c>
      <c r="O3" s="3" t="n">
        <f aca="false">IFERROR(LEN(C3&amp;D3&amp;E3&amp;F3&amp;G3&amp;H3&amp;I3&amp;J3&amp;K3&amp;L3&amp;M3&amp;N3)/5,0)</f>
        <v>27.6</v>
      </c>
      <c r="P3" s="3" t="str">
        <f aca="false">IF(OR(D3="",C3=""),"",IF((IFERROR(IF(AND(TRIM(D3)=D3,LEN(D3)&gt;0),0,1),1)+IFERROR(IF(AND(LEN(E3)=10,ISNUMBER(VALUE(E3))),0,1),1)+IFERROR(IF(AND(ISNUMBER(SEARCH("@",F3)),ISNUMBER(SEARCH(".",F3))),0,1),1)+IFERROR(IF(AND(LEN(J3)=6,ISNUMBER(VALUE(J3))),0,1),1)+IFERROR(IF(ISNUMBER(MATCH(TRIM(I3),Lists!$A$2:$A$20,0)),0,1),1)+IFERROR(IF(AND(LEN(K3)=10,VALUE(LEFT(K3,FIND("/",K3)-1))&gt;=1,VALUE(LEFT(K3,FIND("/",K3)-1))&lt;=31,VALUE(LEFT(MID(K3,FIND("/",K3)+1,10),FIND("/",MID(K3,FIND("/",K3)+1,10))-1))&gt;=1,VALUE(LEFT(MID(K3,FIND("/",K3)+1,10),FIND("/",MID(K3,FIND("/",K3)+1,10))-1))&lt;=12,VALUE(LEFT(K3,FIND("/",K3)-1))&lt;=DAY(EOMONTH(DATE(VALUE(MID(MID(K3,FIND("/",K3)+1,10),FIND("/",MID(K3,FIND("/",K3)+1,10))+1,4)),VALUE(LEFT(MID(K3,FIND("/",K3)+1,10),FIND("/",MID(K3,FIND("/",K3)+1,10))-1)),1),0))),0,1),1)+IFERROR(IF(M3&gt;=0,0,1),1)+IFERROR(IF(ISNUMBER(MATCH(N3,Lists!$B$2:$B$7,0)),0,1),1))=0,"OK","ERROR"))</f>
        <v>OK</v>
      </c>
      <c r="Q3" s="3" t="str">
        <f aca="false">IF(D3="","",TRIM(IF(IFERROR(IF(AND(TRIM(D3)=D3,LEN(D3)&gt;0),0,1),1)=1,"Name; ","")&amp;IF(IFERROR(IF(AND(LEN(E3)=10,ISNUMBER(VALUE(E3))),0,1),1)=1,"Phone; ","")&amp;IF(IFERROR(IF(AND(ISNUMBER(SEARCH("@",F3)),ISNUMBER(SEARCH(".",F3))),0,1),1)=1,"Email; ","")&amp;IF(IFERROR(IF(AND(LEN(J3)=6,ISNUMBER(VALUE(J3))),0,1),1)=1,"Pincode; ","")&amp;IF(IFERROR(IF(ISNUMBER(MATCH(TRIM(I3),Lists!$A$2:$A$20,0)),0,1),1)=1,"State; ","")&amp;IF(IFERROR(IF(AND(LEN(K3)=10,VALUE(LEFT(K3,FIND("/",K3)-1))&gt;=1,VALUE(LEFT(K3,FIND("/",K3)-1))&lt;=31,VALUE(LEFT(MID(K3,FIND("/",K3)+1,10),FIND("/",MID(K3,FIND("/",K3)+1,10))-1))&gt;=1,VALUE(LEFT(MID(K3,FIND("/",K3)+1,10),FIND("/",MID(K3,FIND("/",K3)+1,10))-1))&lt;=12,VALUE(LEFT(K3,FIND("/",K3)-1))&lt;=DAY(EOMONTH(DATE(VALUE(MID(MID(K3,FIND("/",K3)+1,10),FIND("/",MID(K3,FIND("/",K3)+1,10))+1,4)),VALUE(LEFT(MID(K3,FIND("/",K3)+1,10),FIND("/",MID(K3,FIND("/",K3)+1,10))-1)),1),0))),0,1),1)=1,"Date; ","")&amp;IF(IFERROR(IF(M3&gt;=0,0,1),1)=1,"Amount; ","")&amp;IF(IFERROR(IF(ISNUMBER(MATCH(N3,Lists!$B$2:$B$7,0)),0,1),1)=1,"Payment; ","")))</f>
        <v/>
      </c>
      <c r="R3" s="3" t="str">
        <f aca="false">IF(D3="","",IF(COUNTIFS($D$2:$D$701,D3,$E$2:$E$701,E3)&gt;1,"DUPLICATE","Unique"))</f>
        <v>Unique</v>
      </c>
    </row>
    <row r="4" customFormat="false" ht="15" hidden="false" customHeight="false" outlineLevel="0" collapsed="false">
      <c r="A4" s="3" t="n">
        <v>3</v>
      </c>
      <c r="B4" s="3" t="n">
        <v>1</v>
      </c>
      <c r="C4" s="3" t="s">
        <v>113</v>
      </c>
      <c r="D4" s="3" t="s">
        <v>114</v>
      </c>
      <c r="E4" s="3" t="s">
        <v>115</v>
      </c>
      <c r="F4" s="3" t="s">
        <v>116</v>
      </c>
      <c r="G4" s="3" t="s">
        <v>117</v>
      </c>
      <c r="H4" s="3" t="s">
        <v>118</v>
      </c>
      <c r="I4" s="3" t="s">
        <v>69</v>
      </c>
      <c r="J4" s="3" t="s">
        <v>119</v>
      </c>
      <c r="K4" s="3" t="s">
        <v>120</v>
      </c>
      <c r="L4" s="3" t="s">
        <v>56</v>
      </c>
      <c r="M4" s="3" t="n">
        <v>3509.21</v>
      </c>
      <c r="N4" s="3" t="s">
        <v>46</v>
      </c>
      <c r="O4" s="3" t="n">
        <f aca="false">IFERROR(LEN(C4&amp;D4&amp;E4&amp;F4&amp;G4&amp;H4&amp;I4&amp;J4&amp;K4&amp;L4&amp;M4&amp;N4)/5,0)</f>
        <v>29.6</v>
      </c>
      <c r="P4" s="3" t="str">
        <f aca="false">IF(OR(D4="",C4=""),"",IF((IFERROR(IF(AND(TRIM(D4)=D4,LEN(D4)&gt;0),0,1),1)+IFERROR(IF(AND(LEN(E4)=10,ISNUMBER(VALUE(E4))),0,1),1)+IFERROR(IF(AND(ISNUMBER(SEARCH("@",F4)),ISNUMBER(SEARCH(".",F4))),0,1),1)+IFERROR(IF(AND(LEN(J4)=6,ISNUMBER(VALUE(J4))),0,1),1)+IFERROR(IF(ISNUMBER(MATCH(TRIM(I4),Lists!$A$2:$A$20,0)),0,1),1)+IFERROR(IF(AND(LEN(K4)=10,VALUE(LEFT(K4,FIND("/",K4)-1))&gt;=1,VALUE(LEFT(K4,FIND("/",K4)-1))&lt;=31,VALUE(LEFT(MID(K4,FIND("/",K4)+1,10),FIND("/",MID(K4,FIND("/",K4)+1,10))-1))&gt;=1,VALUE(LEFT(MID(K4,FIND("/",K4)+1,10),FIND("/",MID(K4,FIND("/",K4)+1,10))-1))&lt;=12,VALUE(LEFT(K4,FIND("/",K4)-1))&lt;=DAY(EOMONTH(DATE(VALUE(MID(MID(K4,FIND("/",K4)+1,10),FIND("/",MID(K4,FIND("/",K4)+1,10))+1,4)),VALUE(LEFT(MID(K4,FIND("/",K4)+1,10),FIND("/",MID(K4,FIND("/",K4)+1,10))-1)),1),0))),0,1),1)+IFERROR(IF(M4&gt;=0,0,1),1)+IFERROR(IF(ISNUMBER(MATCH(N4,Lists!$B$2:$B$7,0)),0,1),1))=0,"OK","ERROR"))</f>
        <v>OK</v>
      </c>
      <c r="Q4" s="3" t="str">
        <f aca="false">IF(D4="","",TRIM(IF(IFERROR(IF(AND(TRIM(D4)=D4,LEN(D4)&gt;0),0,1),1)=1,"Name; ","")&amp;IF(IFERROR(IF(AND(LEN(E4)=10,ISNUMBER(VALUE(E4))),0,1),1)=1,"Phone; ","")&amp;IF(IFERROR(IF(AND(ISNUMBER(SEARCH("@",F4)),ISNUMBER(SEARCH(".",F4))),0,1),1)=1,"Email; ","")&amp;IF(IFERROR(IF(AND(LEN(J4)=6,ISNUMBER(VALUE(J4))),0,1),1)=1,"Pincode; ","")&amp;IF(IFERROR(IF(ISNUMBER(MATCH(TRIM(I4),Lists!$A$2:$A$20,0)),0,1),1)=1,"State; ","")&amp;IF(IFERROR(IF(AND(LEN(K4)=10,VALUE(LEFT(K4,FIND("/",K4)-1))&gt;=1,VALUE(LEFT(K4,FIND("/",K4)-1))&lt;=31,VALUE(LEFT(MID(K4,FIND("/",K4)+1,10),FIND("/",MID(K4,FIND("/",K4)+1,10))-1))&gt;=1,VALUE(LEFT(MID(K4,FIND("/",K4)+1,10),FIND("/",MID(K4,FIND("/",K4)+1,10))-1))&lt;=12,VALUE(LEFT(K4,FIND("/",K4)-1))&lt;=DAY(EOMONTH(DATE(VALUE(MID(MID(K4,FIND("/",K4)+1,10),FIND("/",MID(K4,FIND("/",K4)+1,10))+1,4)),VALUE(LEFT(MID(K4,FIND("/",K4)+1,10),FIND("/",MID(K4,FIND("/",K4)+1,10))-1)),1),0))),0,1),1)=1,"Date; ","")&amp;IF(IFERROR(IF(M4&gt;=0,0,1),1)=1,"Amount; ","")&amp;IF(IFERROR(IF(ISNUMBER(MATCH(N4,Lists!$B$2:$B$7,0)),0,1),1)=1,"Payment; ","")))</f>
        <v/>
      </c>
      <c r="R4" s="3" t="str">
        <f aca="false">IF(D4="","",IF(COUNTIFS($D$2:$D$701,D4,$E$2:$E$701,E4)&gt;1,"DUPLICATE","Unique"))</f>
        <v>Unique</v>
      </c>
    </row>
    <row r="5" customFormat="false" ht="15" hidden="false" customHeight="false" outlineLevel="0" collapsed="false">
      <c r="A5" s="3" t="n">
        <v>4</v>
      </c>
      <c r="B5" s="3" t="n">
        <v>1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126</v>
      </c>
      <c r="I5" s="3" t="s">
        <v>45</v>
      </c>
      <c r="J5" s="3" t="s">
        <v>127</v>
      </c>
      <c r="K5" s="3" t="s">
        <v>128</v>
      </c>
      <c r="L5" s="3" t="s">
        <v>74</v>
      </c>
      <c r="M5" s="3" t="n">
        <v>15096.97</v>
      </c>
      <c r="N5" s="3" t="s">
        <v>55</v>
      </c>
      <c r="O5" s="3" t="n">
        <f aca="false">IFERROR(LEN(C5&amp;D5&amp;E5&amp;F5&amp;G5&amp;H5&amp;I5&amp;J5&amp;K5&amp;L5&amp;M5&amp;N5)/5,0)</f>
        <v>26.2</v>
      </c>
      <c r="P5" s="3" t="str">
        <f aca="false">IF(OR(D5="",C5=""),"",IF((IFERROR(IF(AND(TRIM(D5)=D5,LEN(D5)&gt;0),0,1),1)+IFERROR(IF(AND(LEN(E5)=10,ISNUMBER(VALUE(E5))),0,1),1)+IFERROR(IF(AND(ISNUMBER(SEARCH("@",F5)),ISNUMBER(SEARCH(".",F5))),0,1),1)+IFERROR(IF(AND(LEN(J5)=6,ISNUMBER(VALUE(J5))),0,1),1)+IFERROR(IF(ISNUMBER(MATCH(TRIM(I5),Lists!$A$2:$A$20,0)),0,1),1)+IFERROR(IF(AND(LEN(K5)=10,VALUE(LEFT(K5,FIND("/",K5)-1))&gt;=1,VALUE(LEFT(K5,FIND("/",K5)-1))&lt;=31,VALUE(LEFT(MID(K5,FIND("/",K5)+1,10),FIND("/",MID(K5,FIND("/",K5)+1,10))-1))&gt;=1,VALUE(LEFT(MID(K5,FIND("/",K5)+1,10),FIND("/",MID(K5,FIND("/",K5)+1,10))-1))&lt;=12,VALUE(LEFT(K5,FIND("/",K5)-1))&lt;=DAY(EOMONTH(DATE(VALUE(MID(MID(K5,FIND("/",K5)+1,10),FIND("/",MID(K5,FIND("/",K5)+1,10))+1,4)),VALUE(LEFT(MID(K5,FIND("/",K5)+1,10),FIND("/",MID(K5,FIND("/",K5)+1,10))-1)),1),0))),0,1),1)+IFERROR(IF(M5&gt;=0,0,1),1)+IFERROR(IF(ISNUMBER(MATCH(N5,Lists!$B$2:$B$7,0)),0,1),1))=0,"OK","ERROR"))</f>
        <v>OK</v>
      </c>
      <c r="Q5" s="3" t="str">
        <f aca="false">IF(D5="","",TRIM(IF(IFERROR(IF(AND(TRIM(D5)=D5,LEN(D5)&gt;0),0,1),1)=1,"Name; ","")&amp;IF(IFERROR(IF(AND(LEN(E5)=10,ISNUMBER(VALUE(E5))),0,1),1)=1,"Phone; ","")&amp;IF(IFERROR(IF(AND(ISNUMBER(SEARCH("@",F5)),ISNUMBER(SEARCH(".",F5))),0,1),1)=1,"Email; ","")&amp;IF(IFERROR(IF(AND(LEN(J5)=6,ISNUMBER(VALUE(J5))),0,1),1)=1,"Pincode; ","")&amp;IF(IFERROR(IF(ISNUMBER(MATCH(TRIM(I5),Lists!$A$2:$A$20,0)),0,1),1)=1,"State; ","")&amp;IF(IFERROR(IF(AND(LEN(K5)=10,VALUE(LEFT(K5,FIND("/",K5)-1))&gt;=1,VALUE(LEFT(K5,FIND("/",K5)-1))&lt;=31,VALUE(LEFT(MID(K5,FIND("/",K5)+1,10),FIND("/",MID(K5,FIND("/",K5)+1,10))-1))&gt;=1,VALUE(LEFT(MID(K5,FIND("/",K5)+1,10),FIND("/",MID(K5,FIND("/",K5)+1,10))-1))&lt;=12,VALUE(LEFT(K5,FIND("/",K5)-1))&lt;=DAY(EOMONTH(DATE(VALUE(MID(MID(K5,FIND("/",K5)+1,10),FIND("/",MID(K5,FIND("/",K5)+1,10))+1,4)),VALUE(LEFT(MID(K5,FIND("/",K5)+1,10),FIND("/",MID(K5,FIND("/",K5)+1,10))-1)),1),0))),0,1),1)=1,"Date; ","")&amp;IF(IFERROR(IF(M5&gt;=0,0,1),1)=1,"Amount; ","")&amp;IF(IFERROR(IF(ISNUMBER(MATCH(N5,Lists!$B$2:$B$7,0)),0,1),1)=1,"Payment; ","")))</f>
        <v/>
      </c>
      <c r="R5" s="3" t="str">
        <f aca="false">IF(D5="","",IF(COUNTIFS($D$2:$D$701,D5,$E$2:$E$701,E5)&gt;1,"DUPLICATE","Unique"))</f>
        <v>Unique</v>
      </c>
    </row>
    <row r="6" customFormat="false" ht="15" hidden="false" customHeight="false" outlineLevel="0" collapsed="false">
      <c r="A6" s="3" t="n">
        <v>5</v>
      </c>
      <c r="B6" s="3" t="n">
        <v>1</v>
      </c>
      <c r="C6" s="3" t="s">
        <v>129</v>
      </c>
      <c r="D6" s="3" t="s">
        <v>130</v>
      </c>
      <c r="E6" s="3" t="s">
        <v>131</v>
      </c>
      <c r="F6" s="3" t="s">
        <v>132</v>
      </c>
      <c r="G6" s="3" t="s">
        <v>133</v>
      </c>
      <c r="H6" s="3" t="s">
        <v>134</v>
      </c>
      <c r="I6" s="3" t="s">
        <v>65</v>
      </c>
      <c r="J6" s="3" t="s">
        <v>135</v>
      </c>
      <c r="K6" s="3" t="s">
        <v>136</v>
      </c>
      <c r="L6" s="3" t="s">
        <v>60</v>
      </c>
      <c r="M6" s="3" t="n">
        <v>1635.37</v>
      </c>
      <c r="N6" s="3" t="s">
        <v>40</v>
      </c>
      <c r="O6" s="3" t="n">
        <f aca="false">IFERROR(LEN(C6&amp;D6&amp;E6&amp;F6&amp;G6&amp;H6&amp;I6&amp;J6&amp;K6&amp;L6&amp;M6&amp;N6)/5,0)</f>
        <v>26.2</v>
      </c>
      <c r="P6" s="3" t="str">
        <f aca="false">IF(OR(D6="",C6=""),"",IF((IFERROR(IF(AND(TRIM(D6)=D6,LEN(D6)&gt;0),0,1),1)+IFERROR(IF(AND(LEN(E6)=10,ISNUMBER(VALUE(E6))),0,1),1)+IFERROR(IF(AND(ISNUMBER(SEARCH("@",F6)),ISNUMBER(SEARCH(".",F6))),0,1),1)+IFERROR(IF(AND(LEN(J6)=6,ISNUMBER(VALUE(J6))),0,1),1)+IFERROR(IF(ISNUMBER(MATCH(TRIM(I6),Lists!$A$2:$A$20,0)),0,1),1)+IFERROR(IF(AND(LEN(K6)=10,VALUE(LEFT(K6,FIND("/",K6)-1))&gt;=1,VALUE(LEFT(K6,FIND("/",K6)-1))&lt;=31,VALUE(LEFT(MID(K6,FIND("/",K6)+1,10),FIND("/",MID(K6,FIND("/",K6)+1,10))-1))&gt;=1,VALUE(LEFT(MID(K6,FIND("/",K6)+1,10),FIND("/",MID(K6,FIND("/",K6)+1,10))-1))&lt;=12,VALUE(LEFT(K6,FIND("/",K6)-1))&lt;=DAY(EOMONTH(DATE(VALUE(MID(MID(K6,FIND("/",K6)+1,10),FIND("/",MID(K6,FIND("/",K6)+1,10))+1,4)),VALUE(LEFT(MID(K6,FIND("/",K6)+1,10),FIND("/",MID(K6,FIND("/",K6)+1,10))-1)),1),0))),0,1),1)+IFERROR(IF(M6&gt;=0,0,1),1)+IFERROR(IF(ISNUMBER(MATCH(N6,Lists!$B$2:$B$7,0)),0,1),1))=0,"OK","ERROR"))</f>
        <v>OK</v>
      </c>
      <c r="Q6" s="3" t="str">
        <f aca="false">IF(D6="","",TRIM(IF(IFERROR(IF(AND(TRIM(D6)=D6,LEN(D6)&gt;0),0,1),1)=1,"Name; ","")&amp;IF(IFERROR(IF(AND(LEN(E6)=10,ISNUMBER(VALUE(E6))),0,1),1)=1,"Phone; ","")&amp;IF(IFERROR(IF(AND(ISNUMBER(SEARCH("@",F6)),ISNUMBER(SEARCH(".",F6))),0,1),1)=1,"Email; ","")&amp;IF(IFERROR(IF(AND(LEN(J6)=6,ISNUMBER(VALUE(J6))),0,1),1)=1,"Pincode; ","")&amp;IF(IFERROR(IF(ISNUMBER(MATCH(TRIM(I6),Lists!$A$2:$A$20,0)),0,1),1)=1,"State; ","")&amp;IF(IFERROR(IF(AND(LEN(K6)=10,VALUE(LEFT(K6,FIND("/",K6)-1))&gt;=1,VALUE(LEFT(K6,FIND("/",K6)-1))&lt;=31,VALUE(LEFT(MID(K6,FIND("/",K6)+1,10),FIND("/",MID(K6,FIND("/",K6)+1,10))-1))&gt;=1,VALUE(LEFT(MID(K6,FIND("/",K6)+1,10),FIND("/",MID(K6,FIND("/",K6)+1,10))-1))&lt;=12,VALUE(LEFT(K6,FIND("/",K6)-1))&lt;=DAY(EOMONTH(DATE(VALUE(MID(MID(K6,FIND("/",K6)+1,10),FIND("/",MID(K6,FIND("/",K6)+1,10))+1,4)),VALUE(LEFT(MID(K6,FIND("/",K6)+1,10),FIND("/",MID(K6,FIND("/",K6)+1,10))-1)),1),0))),0,1),1)=1,"Date; ","")&amp;IF(IFERROR(IF(M6&gt;=0,0,1),1)=1,"Amount; ","")&amp;IF(IFERROR(IF(ISNUMBER(MATCH(N6,Lists!$B$2:$B$7,0)),0,1),1)=1,"Payment; ","")))</f>
        <v/>
      </c>
      <c r="R6" s="3" t="str">
        <f aca="false">IF(D6="","",IF(COUNTIFS($D$2:$D$701,D6,$E$2:$E$701,E6)&gt;1,"DUPLICATE","Unique"))</f>
        <v>Unique</v>
      </c>
    </row>
    <row r="7" customFormat="false" ht="15" hidden="false" customHeight="false" outlineLevel="0" collapsed="false">
      <c r="A7" s="3" t="n">
        <v>6</v>
      </c>
      <c r="B7" s="3" t="n">
        <v>1</v>
      </c>
      <c r="C7" s="3" t="s">
        <v>137</v>
      </c>
      <c r="D7" s="3" t="s">
        <v>138</v>
      </c>
      <c r="E7" s="3" t="s">
        <v>139</v>
      </c>
      <c r="F7" s="3" t="s">
        <v>140</v>
      </c>
      <c r="G7" s="3" t="s">
        <v>141</v>
      </c>
      <c r="H7" s="3" t="s">
        <v>102</v>
      </c>
      <c r="I7" s="3" t="s">
        <v>48</v>
      </c>
      <c r="J7" s="3" t="s">
        <v>142</v>
      </c>
      <c r="K7" s="3" t="s">
        <v>143</v>
      </c>
      <c r="L7" s="3" t="s">
        <v>58</v>
      </c>
      <c r="M7" s="3" t="n">
        <v>2697.89</v>
      </c>
      <c r="N7" s="3" t="s">
        <v>40</v>
      </c>
      <c r="O7" s="3" t="n">
        <f aca="false">IFERROR(LEN(C7&amp;D7&amp;E7&amp;F7&amp;G7&amp;H7&amp;I7&amp;J7&amp;K7&amp;L7&amp;M7&amp;N7)/5,0)</f>
        <v>25.8</v>
      </c>
      <c r="P7" s="3" t="str">
        <f aca="false">IF(OR(D7="",C7=""),"",IF((IFERROR(IF(AND(TRIM(D7)=D7,LEN(D7)&gt;0),0,1),1)+IFERROR(IF(AND(LEN(E7)=10,ISNUMBER(VALUE(E7))),0,1),1)+IFERROR(IF(AND(ISNUMBER(SEARCH("@",F7)),ISNUMBER(SEARCH(".",F7))),0,1),1)+IFERROR(IF(AND(LEN(J7)=6,ISNUMBER(VALUE(J7))),0,1),1)+IFERROR(IF(ISNUMBER(MATCH(TRIM(I7),Lists!$A$2:$A$20,0)),0,1),1)+IFERROR(IF(AND(LEN(K7)=10,VALUE(LEFT(K7,FIND("/",K7)-1))&gt;=1,VALUE(LEFT(K7,FIND("/",K7)-1))&lt;=31,VALUE(LEFT(MID(K7,FIND("/",K7)+1,10),FIND("/",MID(K7,FIND("/",K7)+1,10))-1))&gt;=1,VALUE(LEFT(MID(K7,FIND("/",K7)+1,10),FIND("/",MID(K7,FIND("/",K7)+1,10))-1))&lt;=12,VALUE(LEFT(K7,FIND("/",K7)-1))&lt;=DAY(EOMONTH(DATE(VALUE(MID(MID(K7,FIND("/",K7)+1,10),FIND("/",MID(K7,FIND("/",K7)+1,10))+1,4)),VALUE(LEFT(MID(K7,FIND("/",K7)+1,10),FIND("/",MID(K7,FIND("/",K7)+1,10))-1)),1),0))),0,1),1)+IFERROR(IF(M7&gt;=0,0,1),1)+IFERROR(IF(ISNUMBER(MATCH(N7,Lists!$B$2:$B$7,0)),0,1),1))=0,"OK","ERROR"))</f>
        <v>OK</v>
      </c>
      <c r="Q7" s="3" t="str">
        <f aca="false">IF(D7="","",TRIM(IF(IFERROR(IF(AND(TRIM(D7)=D7,LEN(D7)&gt;0),0,1),1)=1,"Name; ","")&amp;IF(IFERROR(IF(AND(LEN(E7)=10,ISNUMBER(VALUE(E7))),0,1),1)=1,"Phone; ","")&amp;IF(IFERROR(IF(AND(ISNUMBER(SEARCH("@",F7)),ISNUMBER(SEARCH(".",F7))),0,1),1)=1,"Email; ","")&amp;IF(IFERROR(IF(AND(LEN(J7)=6,ISNUMBER(VALUE(J7))),0,1),1)=1,"Pincode; ","")&amp;IF(IFERROR(IF(ISNUMBER(MATCH(TRIM(I7),Lists!$A$2:$A$20,0)),0,1),1)=1,"State; ","")&amp;IF(IFERROR(IF(AND(LEN(K7)=10,VALUE(LEFT(K7,FIND("/",K7)-1))&gt;=1,VALUE(LEFT(K7,FIND("/",K7)-1))&lt;=31,VALUE(LEFT(MID(K7,FIND("/",K7)+1,10),FIND("/",MID(K7,FIND("/",K7)+1,10))-1))&gt;=1,VALUE(LEFT(MID(K7,FIND("/",K7)+1,10),FIND("/",MID(K7,FIND("/",K7)+1,10))-1))&lt;=12,VALUE(LEFT(K7,FIND("/",K7)-1))&lt;=DAY(EOMONTH(DATE(VALUE(MID(MID(K7,FIND("/",K7)+1,10),FIND("/",MID(K7,FIND("/",K7)+1,10))+1,4)),VALUE(LEFT(MID(K7,FIND("/",K7)+1,10),FIND("/",MID(K7,FIND("/",K7)+1,10))-1)),1),0))),0,1),1)=1,"Date; ","")&amp;IF(IFERROR(IF(M7&gt;=0,0,1),1)=1,"Amount; ","")&amp;IF(IFERROR(IF(ISNUMBER(MATCH(N7,Lists!$B$2:$B$7,0)),0,1),1)=1,"Payment; ","")))</f>
        <v/>
      </c>
      <c r="R7" s="3" t="str">
        <f aca="false">IF(D7="","",IF(COUNTIFS($D$2:$D$701,D7,$E$2:$E$701,E7)&gt;1,"DUPLICATE","Unique"))</f>
        <v>Unique</v>
      </c>
    </row>
    <row r="8" customFormat="false" ht="15" hidden="false" customHeight="false" outlineLevel="0" collapsed="false">
      <c r="A8" s="3" t="n">
        <v>7</v>
      </c>
      <c r="B8" s="3" t="n">
        <v>1</v>
      </c>
      <c r="C8" s="3" t="s">
        <v>144</v>
      </c>
      <c r="D8" s="3" t="s">
        <v>145</v>
      </c>
      <c r="E8" s="3" t="s">
        <v>146</v>
      </c>
      <c r="F8" s="3" t="s">
        <v>147</v>
      </c>
      <c r="G8" s="3" t="s">
        <v>148</v>
      </c>
      <c r="H8" s="3" t="s">
        <v>149</v>
      </c>
      <c r="I8" s="3" t="s">
        <v>61</v>
      </c>
      <c r="J8" s="3" t="s">
        <v>150</v>
      </c>
      <c r="K8" s="3" t="s">
        <v>151</v>
      </c>
      <c r="L8" s="3" t="s">
        <v>74</v>
      </c>
      <c r="M8" s="3" t="n">
        <v>15767.08</v>
      </c>
      <c r="N8" s="3" t="s">
        <v>46</v>
      </c>
      <c r="O8" s="3" t="n">
        <f aca="false">IFERROR(LEN(C8&amp;D8&amp;E8&amp;F8&amp;G8&amp;H8&amp;I8&amp;J8&amp;K8&amp;L8&amp;M8&amp;N8)/5,0)</f>
        <v>29.4</v>
      </c>
      <c r="P8" s="3" t="str">
        <f aca="false">IF(OR(D8="",C8=""),"",IF((IFERROR(IF(AND(TRIM(D8)=D8,LEN(D8)&gt;0),0,1),1)+IFERROR(IF(AND(LEN(E8)=10,ISNUMBER(VALUE(E8))),0,1),1)+IFERROR(IF(AND(ISNUMBER(SEARCH("@",F8)),ISNUMBER(SEARCH(".",F8))),0,1),1)+IFERROR(IF(AND(LEN(J8)=6,ISNUMBER(VALUE(J8))),0,1),1)+IFERROR(IF(ISNUMBER(MATCH(TRIM(I8),Lists!$A$2:$A$20,0)),0,1),1)+IFERROR(IF(AND(LEN(K8)=10,VALUE(LEFT(K8,FIND("/",K8)-1))&gt;=1,VALUE(LEFT(K8,FIND("/",K8)-1))&lt;=31,VALUE(LEFT(MID(K8,FIND("/",K8)+1,10),FIND("/",MID(K8,FIND("/",K8)+1,10))-1))&gt;=1,VALUE(LEFT(MID(K8,FIND("/",K8)+1,10),FIND("/",MID(K8,FIND("/",K8)+1,10))-1))&lt;=12,VALUE(LEFT(K8,FIND("/",K8)-1))&lt;=DAY(EOMONTH(DATE(VALUE(MID(MID(K8,FIND("/",K8)+1,10),FIND("/",MID(K8,FIND("/",K8)+1,10))+1,4)),VALUE(LEFT(MID(K8,FIND("/",K8)+1,10),FIND("/",MID(K8,FIND("/",K8)+1,10))-1)),1),0))),0,1),1)+IFERROR(IF(M8&gt;=0,0,1),1)+IFERROR(IF(ISNUMBER(MATCH(N8,Lists!$B$2:$B$7,0)),0,1),1))=0,"OK","ERROR"))</f>
        <v>OK</v>
      </c>
      <c r="Q8" s="3" t="str">
        <f aca="false">IF(D8="","",TRIM(IF(IFERROR(IF(AND(TRIM(D8)=D8,LEN(D8)&gt;0),0,1),1)=1,"Name; ","")&amp;IF(IFERROR(IF(AND(LEN(E8)=10,ISNUMBER(VALUE(E8))),0,1),1)=1,"Phone; ","")&amp;IF(IFERROR(IF(AND(ISNUMBER(SEARCH("@",F8)),ISNUMBER(SEARCH(".",F8))),0,1),1)=1,"Email; ","")&amp;IF(IFERROR(IF(AND(LEN(J8)=6,ISNUMBER(VALUE(J8))),0,1),1)=1,"Pincode; ","")&amp;IF(IFERROR(IF(ISNUMBER(MATCH(TRIM(I8),Lists!$A$2:$A$20,0)),0,1),1)=1,"State; ","")&amp;IF(IFERROR(IF(AND(LEN(K8)=10,VALUE(LEFT(K8,FIND("/",K8)-1))&gt;=1,VALUE(LEFT(K8,FIND("/",K8)-1))&lt;=31,VALUE(LEFT(MID(K8,FIND("/",K8)+1,10),FIND("/",MID(K8,FIND("/",K8)+1,10))-1))&gt;=1,VALUE(LEFT(MID(K8,FIND("/",K8)+1,10),FIND("/",MID(K8,FIND("/",K8)+1,10))-1))&lt;=12,VALUE(LEFT(K8,FIND("/",K8)-1))&lt;=DAY(EOMONTH(DATE(VALUE(MID(MID(K8,FIND("/",K8)+1,10),FIND("/",MID(K8,FIND("/",K8)+1,10))+1,4)),VALUE(LEFT(MID(K8,FIND("/",K8)+1,10),FIND("/",MID(K8,FIND("/",K8)+1,10))-1)),1),0))),0,1),1)=1,"Date; ","")&amp;IF(IFERROR(IF(M8&gt;=0,0,1),1)=1,"Amount; ","")&amp;IF(IFERROR(IF(ISNUMBER(MATCH(N8,Lists!$B$2:$B$7,0)),0,1),1)=1,"Payment; ","")))</f>
        <v/>
      </c>
      <c r="R8" s="3" t="str">
        <f aca="false">IF(D8="","",IF(COUNTIFS($D$2:$D$701,D8,$E$2:$E$701,E8)&gt;1,"DUPLICATE","Unique"))</f>
        <v>Unique</v>
      </c>
    </row>
    <row r="9" customFormat="false" ht="15" hidden="false" customHeight="false" outlineLevel="0" collapsed="false">
      <c r="A9" s="3" t="n">
        <v>8</v>
      </c>
      <c r="B9" s="3" t="n">
        <v>1</v>
      </c>
      <c r="C9" s="3" t="s">
        <v>152</v>
      </c>
      <c r="D9" s="3" t="s">
        <v>153</v>
      </c>
      <c r="E9" s="3" t="s">
        <v>154</v>
      </c>
      <c r="F9" s="3" t="s">
        <v>155</v>
      </c>
      <c r="G9" s="3" t="s">
        <v>156</v>
      </c>
      <c r="H9" s="3" t="s">
        <v>157</v>
      </c>
      <c r="I9" s="3" t="s">
        <v>59</v>
      </c>
      <c r="J9" s="3" t="s">
        <v>158</v>
      </c>
      <c r="K9" s="3" t="s">
        <v>159</v>
      </c>
      <c r="L9" s="3" t="s">
        <v>70</v>
      </c>
      <c r="M9" s="3" t="n">
        <v>11731.91</v>
      </c>
      <c r="N9" s="3" t="s">
        <v>43</v>
      </c>
      <c r="O9" s="3" t="n">
        <f aca="false">IFERROR(LEN(C9&amp;D9&amp;E9&amp;F9&amp;G9&amp;H9&amp;I9&amp;J9&amp;K9&amp;L9&amp;M9&amp;N9)/5,0)</f>
        <v>24.4</v>
      </c>
      <c r="P9" s="3" t="str">
        <f aca="false">IF(OR(D9="",C9=""),"",IF((IFERROR(IF(AND(TRIM(D9)=D9,LEN(D9)&gt;0),0,1),1)+IFERROR(IF(AND(LEN(E9)=10,ISNUMBER(VALUE(E9))),0,1),1)+IFERROR(IF(AND(ISNUMBER(SEARCH("@",F9)),ISNUMBER(SEARCH(".",F9))),0,1),1)+IFERROR(IF(AND(LEN(J9)=6,ISNUMBER(VALUE(J9))),0,1),1)+IFERROR(IF(ISNUMBER(MATCH(TRIM(I9),Lists!$A$2:$A$20,0)),0,1),1)+IFERROR(IF(AND(LEN(K9)=10,VALUE(LEFT(K9,FIND("/",K9)-1))&gt;=1,VALUE(LEFT(K9,FIND("/",K9)-1))&lt;=31,VALUE(LEFT(MID(K9,FIND("/",K9)+1,10),FIND("/",MID(K9,FIND("/",K9)+1,10))-1))&gt;=1,VALUE(LEFT(MID(K9,FIND("/",K9)+1,10),FIND("/",MID(K9,FIND("/",K9)+1,10))-1))&lt;=12,VALUE(LEFT(K9,FIND("/",K9)-1))&lt;=DAY(EOMONTH(DATE(VALUE(MID(MID(K9,FIND("/",K9)+1,10),FIND("/",MID(K9,FIND("/",K9)+1,10))+1,4)),VALUE(LEFT(MID(K9,FIND("/",K9)+1,10),FIND("/",MID(K9,FIND("/",K9)+1,10))-1)),1),0))),0,1),1)+IFERROR(IF(M9&gt;=0,0,1),1)+IFERROR(IF(ISNUMBER(MATCH(N9,Lists!$B$2:$B$7,0)),0,1),1))=0,"OK","ERROR"))</f>
        <v>OK</v>
      </c>
      <c r="Q9" s="3" t="str">
        <f aca="false">IF(D9="","",TRIM(IF(IFERROR(IF(AND(TRIM(D9)=D9,LEN(D9)&gt;0),0,1),1)=1,"Name; ","")&amp;IF(IFERROR(IF(AND(LEN(E9)=10,ISNUMBER(VALUE(E9))),0,1),1)=1,"Phone; ","")&amp;IF(IFERROR(IF(AND(ISNUMBER(SEARCH("@",F9)),ISNUMBER(SEARCH(".",F9))),0,1),1)=1,"Email; ","")&amp;IF(IFERROR(IF(AND(LEN(J9)=6,ISNUMBER(VALUE(J9))),0,1),1)=1,"Pincode; ","")&amp;IF(IFERROR(IF(ISNUMBER(MATCH(TRIM(I9),Lists!$A$2:$A$20,0)),0,1),1)=1,"State; ","")&amp;IF(IFERROR(IF(AND(LEN(K9)=10,VALUE(LEFT(K9,FIND("/",K9)-1))&gt;=1,VALUE(LEFT(K9,FIND("/",K9)-1))&lt;=31,VALUE(LEFT(MID(K9,FIND("/",K9)+1,10),FIND("/",MID(K9,FIND("/",K9)+1,10))-1))&gt;=1,VALUE(LEFT(MID(K9,FIND("/",K9)+1,10),FIND("/",MID(K9,FIND("/",K9)+1,10))-1))&lt;=12,VALUE(LEFT(K9,FIND("/",K9)-1))&lt;=DAY(EOMONTH(DATE(VALUE(MID(MID(K9,FIND("/",K9)+1,10),FIND("/",MID(K9,FIND("/",K9)+1,10))+1,4)),VALUE(LEFT(MID(K9,FIND("/",K9)+1,10),FIND("/",MID(K9,FIND("/",K9)+1,10))-1)),1),0))),0,1),1)=1,"Date; ","")&amp;IF(IFERROR(IF(M9&gt;=0,0,1),1)=1,"Amount; ","")&amp;IF(IFERROR(IF(ISNUMBER(MATCH(N9,Lists!$B$2:$B$7,0)),0,1),1)=1,"Payment; ","")))</f>
        <v/>
      </c>
      <c r="R9" s="3" t="str">
        <f aca="false">IF(D9="","",IF(COUNTIFS($D$2:$D$701,D9,$E$2:$E$701,E9)&gt;1,"DUPLICATE","Unique"))</f>
        <v>Unique</v>
      </c>
    </row>
    <row r="10" customFormat="false" ht="15" hidden="false" customHeight="false" outlineLevel="0" collapsed="false">
      <c r="A10" s="3" t="n">
        <v>9</v>
      </c>
      <c r="B10" s="3" t="n">
        <v>1</v>
      </c>
      <c r="C10" s="3" t="s">
        <v>160</v>
      </c>
      <c r="D10" s="3" t="s">
        <v>161</v>
      </c>
      <c r="E10" s="3" t="s">
        <v>162</v>
      </c>
      <c r="F10" s="3" t="s">
        <v>163</v>
      </c>
      <c r="G10" s="3" t="s">
        <v>164</v>
      </c>
      <c r="H10" s="3" t="s">
        <v>165</v>
      </c>
      <c r="I10" s="3" t="s">
        <v>63</v>
      </c>
      <c r="J10" s="3" t="s">
        <v>166</v>
      </c>
      <c r="K10" s="3" t="s">
        <v>167</v>
      </c>
      <c r="L10" s="3" t="s">
        <v>41</v>
      </c>
      <c r="M10" s="3" t="n">
        <v>3816.28</v>
      </c>
      <c r="N10" s="3" t="s">
        <v>40</v>
      </c>
      <c r="O10" s="3" t="n">
        <f aca="false">IFERROR(LEN(C10&amp;D10&amp;E10&amp;F10&amp;G10&amp;H10&amp;I10&amp;J10&amp;K10&amp;L10&amp;M10&amp;N10)/5,0)</f>
        <v>24.6</v>
      </c>
      <c r="P10" s="3" t="str">
        <f aca="false">IF(OR(D10="",C10=""),"",IF((IFERROR(IF(AND(TRIM(D10)=D10,LEN(D10)&gt;0),0,1),1)+IFERROR(IF(AND(LEN(E10)=10,ISNUMBER(VALUE(E10))),0,1),1)+IFERROR(IF(AND(ISNUMBER(SEARCH("@",F10)),ISNUMBER(SEARCH(".",F10))),0,1),1)+IFERROR(IF(AND(LEN(J10)=6,ISNUMBER(VALUE(J10))),0,1),1)+IFERROR(IF(ISNUMBER(MATCH(TRIM(I10),Lists!$A$2:$A$20,0)),0,1),1)+IFERROR(IF(AND(LEN(K10)=10,VALUE(LEFT(K10,FIND("/",K10)-1))&gt;=1,VALUE(LEFT(K10,FIND("/",K10)-1))&lt;=31,VALUE(LEFT(MID(K10,FIND("/",K10)+1,10),FIND("/",MID(K10,FIND("/",K10)+1,10))-1))&gt;=1,VALUE(LEFT(MID(K10,FIND("/",K10)+1,10),FIND("/",MID(K10,FIND("/",K10)+1,10))-1))&lt;=12,VALUE(LEFT(K10,FIND("/",K10)-1))&lt;=DAY(EOMONTH(DATE(VALUE(MID(MID(K10,FIND("/",K10)+1,10),FIND("/",MID(K10,FIND("/",K10)+1,10))+1,4)),VALUE(LEFT(MID(K10,FIND("/",K10)+1,10),FIND("/",MID(K10,FIND("/",K10)+1,10))-1)),1),0))),0,1),1)+IFERROR(IF(M10&gt;=0,0,1),1)+IFERROR(IF(ISNUMBER(MATCH(N10,Lists!$B$2:$B$7,0)),0,1),1))=0,"OK","ERROR"))</f>
        <v>OK</v>
      </c>
      <c r="Q10" s="3" t="str">
        <f aca="false">IF(D10="","",TRIM(IF(IFERROR(IF(AND(TRIM(D10)=D10,LEN(D10)&gt;0),0,1),1)=1,"Name; ","")&amp;IF(IFERROR(IF(AND(LEN(E10)=10,ISNUMBER(VALUE(E10))),0,1),1)=1,"Phone; ","")&amp;IF(IFERROR(IF(AND(ISNUMBER(SEARCH("@",F10)),ISNUMBER(SEARCH(".",F10))),0,1),1)=1,"Email; ","")&amp;IF(IFERROR(IF(AND(LEN(J10)=6,ISNUMBER(VALUE(J10))),0,1),1)=1,"Pincode; ","")&amp;IF(IFERROR(IF(ISNUMBER(MATCH(TRIM(I10),Lists!$A$2:$A$20,0)),0,1),1)=1,"State; ","")&amp;IF(IFERROR(IF(AND(LEN(K10)=10,VALUE(LEFT(K10,FIND("/",K10)-1))&gt;=1,VALUE(LEFT(K10,FIND("/",K10)-1))&lt;=31,VALUE(LEFT(MID(K10,FIND("/",K10)+1,10),FIND("/",MID(K10,FIND("/",K10)+1,10))-1))&gt;=1,VALUE(LEFT(MID(K10,FIND("/",K10)+1,10),FIND("/",MID(K10,FIND("/",K10)+1,10))-1))&lt;=12,VALUE(LEFT(K10,FIND("/",K10)-1))&lt;=DAY(EOMONTH(DATE(VALUE(MID(MID(K10,FIND("/",K10)+1,10),FIND("/",MID(K10,FIND("/",K10)+1,10))+1,4)),VALUE(LEFT(MID(K10,FIND("/",K10)+1,10),FIND("/",MID(K10,FIND("/",K10)+1,10))-1)),1),0))),0,1),1)=1,"Date; ","")&amp;IF(IFERROR(IF(M10&gt;=0,0,1),1)=1,"Amount; ","")&amp;IF(IFERROR(IF(ISNUMBER(MATCH(N10,Lists!$B$2:$B$7,0)),0,1),1)=1,"Payment; ","")))</f>
        <v/>
      </c>
      <c r="R10" s="3" t="str">
        <f aca="false">IF(D10="","",IF(COUNTIFS($D$2:$D$701,D10,$E$2:$E$701,E10)&gt;1,"DUPLICATE","Unique"))</f>
        <v>Unique</v>
      </c>
    </row>
    <row r="11" customFormat="false" ht="15" hidden="false" customHeight="false" outlineLevel="0" collapsed="false">
      <c r="A11" s="3" t="n">
        <v>10</v>
      </c>
      <c r="B11" s="3" t="n">
        <v>1</v>
      </c>
      <c r="C11" s="3" t="s">
        <v>168</v>
      </c>
      <c r="D11" s="3" t="s">
        <v>169</v>
      </c>
      <c r="E11" s="3" t="s">
        <v>170</v>
      </c>
      <c r="F11" s="3" t="s">
        <v>171</v>
      </c>
      <c r="G11" s="3" t="s">
        <v>172</v>
      </c>
      <c r="H11" s="3" t="s">
        <v>134</v>
      </c>
      <c r="I11" s="3" t="s">
        <v>65</v>
      </c>
      <c r="J11" s="3" t="s">
        <v>173</v>
      </c>
      <c r="K11" s="3" t="s">
        <v>174</v>
      </c>
      <c r="L11" s="3" t="s">
        <v>58</v>
      </c>
      <c r="M11" s="3" t="n">
        <v>7577.99</v>
      </c>
      <c r="N11" s="3" t="s">
        <v>55</v>
      </c>
      <c r="O11" s="3" t="n">
        <f aca="false">IFERROR(LEN(C11&amp;D11&amp;E11&amp;F11&amp;G11&amp;H11&amp;I11&amp;J11&amp;K11&amp;L11&amp;M11&amp;N11)/5,0)</f>
        <v>27.8</v>
      </c>
      <c r="P11" s="3" t="str">
        <f aca="false">IF(OR(D11="",C11=""),"",IF((IFERROR(IF(AND(TRIM(D11)=D11,LEN(D11)&gt;0),0,1),1)+IFERROR(IF(AND(LEN(E11)=10,ISNUMBER(VALUE(E11))),0,1),1)+IFERROR(IF(AND(ISNUMBER(SEARCH("@",F11)),ISNUMBER(SEARCH(".",F11))),0,1),1)+IFERROR(IF(AND(LEN(J11)=6,ISNUMBER(VALUE(J11))),0,1),1)+IFERROR(IF(ISNUMBER(MATCH(TRIM(I11),Lists!$A$2:$A$20,0)),0,1),1)+IFERROR(IF(AND(LEN(K11)=10,VALUE(LEFT(K11,FIND("/",K11)-1))&gt;=1,VALUE(LEFT(K11,FIND("/",K11)-1))&lt;=31,VALUE(LEFT(MID(K11,FIND("/",K11)+1,10),FIND("/",MID(K11,FIND("/",K11)+1,10))-1))&gt;=1,VALUE(LEFT(MID(K11,FIND("/",K11)+1,10),FIND("/",MID(K11,FIND("/",K11)+1,10))-1))&lt;=12,VALUE(LEFT(K11,FIND("/",K11)-1))&lt;=DAY(EOMONTH(DATE(VALUE(MID(MID(K11,FIND("/",K11)+1,10),FIND("/",MID(K11,FIND("/",K11)+1,10))+1,4)),VALUE(LEFT(MID(K11,FIND("/",K11)+1,10),FIND("/",MID(K11,FIND("/",K11)+1,10))-1)),1),0))),0,1),1)+IFERROR(IF(M11&gt;=0,0,1),1)+IFERROR(IF(ISNUMBER(MATCH(N11,Lists!$B$2:$B$7,0)),0,1),1))=0,"OK","ERROR"))</f>
        <v>OK</v>
      </c>
      <c r="Q11" s="3" t="str">
        <f aca="false">IF(D11="","",TRIM(IF(IFERROR(IF(AND(TRIM(D11)=D11,LEN(D11)&gt;0),0,1),1)=1,"Name; ","")&amp;IF(IFERROR(IF(AND(LEN(E11)=10,ISNUMBER(VALUE(E11))),0,1),1)=1,"Phone; ","")&amp;IF(IFERROR(IF(AND(ISNUMBER(SEARCH("@",F11)),ISNUMBER(SEARCH(".",F11))),0,1),1)=1,"Email; ","")&amp;IF(IFERROR(IF(AND(LEN(J11)=6,ISNUMBER(VALUE(J11))),0,1),1)=1,"Pincode; ","")&amp;IF(IFERROR(IF(ISNUMBER(MATCH(TRIM(I11),Lists!$A$2:$A$20,0)),0,1),1)=1,"State; ","")&amp;IF(IFERROR(IF(AND(LEN(K11)=10,VALUE(LEFT(K11,FIND("/",K11)-1))&gt;=1,VALUE(LEFT(K11,FIND("/",K11)-1))&lt;=31,VALUE(LEFT(MID(K11,FIND("/",K11)+1,10),FIND("/",MID(K11,FIND("/",K11)+1,10))-1))&gt;=1,VALUE(LEFT(MID(K11,FIND("/",K11)+1,10),FIND("/",MID(K11,FIND("/",K11)+1,10))-1))&lt;=12,VALUE(LEFT(K11,FIND("/",K11)-1))&lt;=DAY(EOMONTH(DATE(VALUE(MID(MID(K11,FIND("/",K11)+1,10),FIND("/",MID(K11,FIND("/",K11)+1,10))+1,4)),VALUE(LEFT(MID(K11,FIND("/",K11)+1,10),FIND("/",MID(K11,FIND("/",K11)+1,10))-1)),1),0))),0,1),1)=1,"Date; ","")&amp;IF(IFERROR(IF(M11&gt;=0,0,1),1)=1,"Amount; ","")&amp;IF(IFERROR(IF(ISNUMBER(MATCH(N11,Lists!$B$2:$B$7,0)),0,1),1)=1,"Payment; ","")))</f>
        <v/>
      </c>
      <c r="R11" s="3" t="str">
        <f aca="false">IF(D11="","",IF(COUNTIFS($D$2:$D$701,D11,$E$2:$E$701,E11)&gt;1,"DUPLICATE","Unique"))</f>
        <v>Unique</v>
      </c>
    </row>
    <row r="12" customFormat="false" ht="15" hidden="false" customHeight="false" outlineLevel="0" collapsed="false">
      <c r="A12" s="3" t="n">
        <v>11</v>
      </c>
      <c r="B12" s="3" t="n">
        <v>1</v>
      </c>
      <c r="C12" s="3" t="s">
        <v>175</v>
      </c>
      <c r="D12" s="3" t="s">
        <v>176</v>
      </c>
      <c r="E12" s="3" t="s">
        <v>177</v>
      </c>
      <c r="F12" s="3" t="s">
        <v>178</v>
      </c>
      <c r="G12" s="3" t="s">
        <v>179</v>
      </c>
      <c r="H12" s="3" t="s">
        <v>180</v>
      </c>
      <c r="I12" s="3" t="s">
        <v>42</v>
      </c>
      <c r="J12" s="3" t="s">
        <v>181</v>
      </c>
      <c r="K12" s="3" t="s">
        <v>182</v>
      </c>
      <c r="L12" s="3" t="s">
        <v>66</v>
      </c>
      <c r="M12" s="3" t="n">
        <v>15987.66</v>
      </c>
      <c r="N12" s="3" t="s">
        <v>183</v>
      </c>
      <c r="O12" s="3" t="n">
        <f aca="false">IFERROR(LEN(C12&amp;D12&amp;E12&amp;F12&amp;G12&amp;H12&amp;I12&amp;J12&amp;K12&amp;L12&amp;M12&amp;N12)/5,0)</f>
        <v>28.2</v>
      </c>
      <c r="P12" s="3" t="str">
        <f aca="false">IF(OR(D12="",C12=""),"",IF((IFERROR(IF(AND(TRIM(D12)=D12,LEN(D12)&gt;0),0,1),1)+IFERROR(IF(AND(LEN(E12)=10,ISNUMBER(VALUE(E12))),0,1),1)+IFERROR(IF(AND(ISNUMBER(SEARCH("@",F12)),ISNUMBER(SEARCH(".",F12))),0,1),1)+IFERROR(IF(AND(LEN(J12)=6,ISNUMBER(VALUE(J12))),0,1),1)+IFERROR(IF(ISNUMBER(MATCH(TRIM(I12),Lists!$A$2:$A$20,0)),0,1),1)+IFERROR(IF(AND(LEN(K12)=10,VALUE(LEFT(K12,FIND("/",K12)-1))&gt;=1,VALUE(LEFT(K12,FIND("/",K12)-1))&lt;=31,VALUE(LEFT(MID(K12,FIND("/",K12)+1,10),FIND("/",MID(K12,FIND("/",K12)+1,10))-1))&gt;=1,VALUE(LEFT(MID(K12,FIND("/",K12)+1,10),FIND("/",MID(K12,FIND("/",K12)+1,10))-1))&lt;=12,VALUE(LEFT(K12,FIND("/",K12)-1))&lt;=DAY(EOMONTH(DATE(VALUE(MID(MID(K12,FIND("/",K12)+1,10),FIND("/",MID(K12,FIND("/",K12)+1,10))+1,4)),VALUE(LEFT(MID(K12,FIND("/",K12)+1,10),FIND("/",MID(K12,FIND("/",K12)+1,10))-1)),1),0))),0,1),1)+IFERROR(IF(M12&gt;=0,0,1),1)+IFERROR(IF(ISNUMBER(MATCH(N12,Lists!$B$2:$B$7,0)),0,1),1))=0,"OK","ERROR"))</f>
        <v>ERROR</v>
      </c>
      <c r="Q12" s="3" t="str">
        <f aca="false">IF(D12="","",TRIM(IF(IFERROR(IF(AND(TRIM(D12)=D12,LEN(D12)&gt;0),0,1),1)=1,"Name; ","")&amp;IF(IFERROR(IF(AND(LEN(E12)=10,ISNUMBER(VALUE(E12))),0,1),1)=1,"Phone; ","")&amp;IF(IFERROR(IF(AND(ISNUMBER(SEARCH("@",F12)),ISNUMBER(SEARCH(".",F12))),0,1),1)=1,"Email; ","")&amp;IF(IFERROR(IF(AND(LEN(J12)=6,ISNUMBER(VALUE(J12))),0,1),1)=1,"Pincode; ","")&amp;IF(IFERROR(IF(ISNUMBER(MATCH(TRIM(I12),Lists!$A$2:$A$20,0)),0,1),1)=1,"State; ","")&amp;IF(IFERROR(IF(AND(LEN(K12)=10,VALUE(LEFT(K12,FIND("/",K12)-1))&gt;=1,VALUE(LEFT(K12,FIND("/",K12)-1))&lt;=31,VALUE(LEFT(MID(K12,FIND("/",K12)+1,10),FIND("/",MID(K12,FIND("/",K12)+1,10))-1))&gt;=1,VALUE(LEFT(MID(K12,FIND("/",K12)+1,10),FIND("/",MID(K12,FIND("/",K12)+1,10))-1))&lt;=12,VALUE(LEFT(K12,FIND("/",K12)-1))&lt;=DAY(EOMONTH(DATE(VALUE(MID(MID(K12,FIND("/",K12)+1,10),FIND("/",MID(K12,FIND("/",K12)+1,10))+1,4)),VALUE(LEFT(MID(K12,FIND("/",K12)+1,10),FIND("/",MID(K12,FIND("/",K12)+1,10))-1)),1),0))),0,1),1)=1,"Date; ","")&amp;IF(IFERROR(IF(M12&gt;=0,0,1),1)=1,"Amount; ","")&amp;IF(IFERROR(IF(ISNUMBER(MATCH(N12,Lists!$B$2:$B$7,0)),0,1),1)=1,"Payment; ","")))</f>
        <v>Payment;</v>
      </c>
      <c r="R12" s="3" t="str">
        <f aca="false">IF(D12="","",IF(COUNTIFS($D$2:$D$701,D12,$E$2:$E$701,E12)&gt;1,"DUPLICATE","Unique"))</f>
        <v>Unique</v>
      </c>
    </row>
    <row r="13" customFormat="false" ht="15" hidden="false" customHeight="false" outlineLevel="0" collapsed="false">
      <c r="A13" s="3" t="n">
        <v>12</v>
      </c>
      <c r="B13" s="3" t="n">
        <v>1</v>
      </c>
      <c r="C13" s="3" t="s">
        <v>184</v>
      </c>
      <c r="D13" s="3" t="s">
        <v>185</v>
      </c>
      <c r="E13" s="3" t="s">
        <v>186</v>
      </c>
      <c r="F13" s="3" t="s">
        <v>187</v>
      </c>
      <c r="G13" s="3" t="s">
        <v>188</v>
      </c>
      <c r="H13" s="3" t="s">
        <v>189</v>
      </c>
      <c r="I13" s="3" t="s">
        <v>45</v>
      </c>
      <c r="J13" s="3" t="s">
        <v>190</v>
      </c>
      <c r="K13" s="3" t="s">
        <v>191</v>
      </c>
      <c r="L13" s="3" t="s">
        <v>50</v>
      </c>
      <c r="M13" s="3" t="n">
        <v>15504.61</v>
      </c>
      <c r="N13" s="3" t="s">
        <v>52</v>
      </c>
      <c r="O13" s="3" t="n">
        <f aca="false">IFERROR(LEN(C13&amp;D13&amp;E13&amp;F13&amp;G13&amp;H13&amp;I13&amp;J13&amp;K13&amp;L13&amp;M13&amp;N13)/5,0)</f>
        <v>26.8</v>
      </c>
      <c r="P13" s="3" t="str">
        <f aca="false">IF(OR(D13="",C13=""),"",IF((IFERROR(IF(AND(TRIM(D13)=D13,LEN(D13)&gt;0),0,1),1)+IFERROR(IF(AND(LEN(E13)=10,ISNUMBER(VALUE(E13))),0,1),1)+IFERROR(IF(AND(ISNUMBER(SEARCH("@",F13)),ISNUMBER(SEARCH(".",F13))),0,1),1)+IFERROR(IF(AND(LEN(J13)=6,ISNUMBER(VALUE(J13))),0,1),1)+IFERROR(IF(ISNUMBER(MATCH(TRIM(I13),Lists!$A$2:$A$20,0)),0,1),1)+IFERROR(IF(AND(LEN(K13)=10,VALUE(LEFT(K13,FIND("/",K13)-1))&gt;=1,VALUE(LEFT(K13,FIND("/",K13)-1))&lt;=31,VALUE(LEFT(MID(K13,FIND("/",K13)+1,10),FIND("/",MID(K13,FIND("/",K13)+1,10))-1))&gt;=1,VALUE(LEFT(MID(K13,FIND("/",K13)+1,10),FIND("/",MID(K13,FIND("/",K13)+1,10))-1))&lt;=12,VALUE(LEFT(K13,FIND("/",K13)-1))&lt;=DAY(EOMONTH(DATE(VALUE(MID(MID(K13,FIND("/",K13)+1,10),FIND("/",MID(K13,FIND("/",K13)+1,10))+1,4)),VALUE(LEFT(MID(K13,FIND("/",K13)+1,10),FIND("/",MID(K13,FIND("/",K13)+1,10))-1)),1),0))),0,1),1)+IFERROR(IF(M13&gt;=0,0,1),1)+IFERROR(IF(ISNUMBER(MATCH(N13,Lists!$B$2:$B$7,0)),0,1),1))=0,"OK","ERROR"))</f>
        <v>OK</v>
      </c>
      <c r="Q13" s="3" t="str">
        <f aca="false">IF(D13="","",TRIM(IF(IFERROR(IF(AND(TRIM(D13)=D13,LEN(D13)&gt;0),0,1),1)=1,"Name; ","")&amp;IF(IFERROR(IF(AND(LEN(E13)=10,ISNUMBER(VALUE(E13))),0,1),1)=1,"Phone; ","")&amp;IF(IFERROR(IF(AND(ISNUMBER(SEARCH("@",F13)),ISNUMBER(SEARCH(".",F13))),0,1),1)=1,"Email; ","")&amp;IF(IFERROR(IF(AND(LEN(J13)=6,ISNUMBER(VALUE(J13))),0,1),1)=1,"Pincode; ","")&amp;IF(IFERROR(IF(ISNUMBER(MATCH(TRIM(I13),Lists!$A$2:$A$20,0)),0,1),1)=1,"State; ","")&amp;IF(IFERROR(IF(AND(LEN(K13)=10,VALUE(LEFT(K13,FIND("/",K13)-1))&gt;=1,VALUE(LEFT(K13,FIND("/",K13)-1))&lt;=31,VALUE(LEFT(MID(K13,FIND("/",K13)+1,10),FIND("/",MID(K13,FIND("/",K13)+1,10))-1))&gt;=1,VALUE(LEFT(MID(K13,FIND("/",K13)+1,10),FIND("/",MID(K13,FIND("/",K13)+1,10))-1))&lt;=12,VALUE(LEFT(K13,FIND("/",K13)-1))&lt;=DAY(EOMONTH(DATE(VALUE(MID(MID(K13,FIND("/",K13)+1,10),FIND("/",MID(K13,FIND("/",K13)+1,10))+1,4)),VALUE(LEFT(MID(K13,FIND("/",K13)+1,10),FIND("/",MID(K13,FIND("/",K13)+1,10))-1)),1),0))),0,1),1)=1,"Date; ","")&amp;IF(IFERROR(IF(M13&gt;=0,0,1),1)=1,"Amount; ","")&amp;IF(IFERROR(IF(ISNUMBER(MATCH(N13,Lists!$B$2:$B$7,0)),0,1),1)=1,"Payment; ","")))</f>
        <v/>
      </c>
      <c r="R13" s="3" t="str">
        <f aca="false">IF(D13="","",IF(COUNTIFS($D$2:$D$701,D13,$E$2:$E$701,E13)&gt;1,"DUPLICATE","Unique"))</f>
        <v>Unique</v>
      </c>
    </row>
    <row r="14" customFormat="false" ht="15" hidden="false" customHeight="false" outlineLevel="0" collapsed="false">
      <c r="A14" s="3" t="n">
        <v>13</v>
      </c>
      <c r="B14" s="3" t="n">
        <v>1</v>
      </c>
      <c r="C14" s="3" t="s">
        <v>192</v>
      </c>
      <c r="D14" s="3" t="s">
        <v>193</v>
      </c>
      <c r="E14" s="3" t="s">
        <v>194</v>
      </c>
      <c r="F14" s="3" t="s">
        <v>195</v>
      </c>
      <c r="G14" s="3" t="s">
        <v>196</v>
      </c>
      <c r="H14" s="3" t="s">
        <v>197</v>
      </c>
      <c r="I14" s="3" t="s">
        <v>77</v>
      </c>
      <c r="J14" s="3" t="s">
        <v>198</v>
      </c>
      <c r="K14" s="3" t="s">
        <v>199</v>
      </c>
      <c r="L14" s="3" t="s">
        <v>50</v>
      </c>
      <c r="M14" s="3" t="n">
        <v>9345.92</v>
      </c>
      <c r="N14" s="3" t="s">
        <v>40</v>
      </c>
      <c r="O14" s="3" t="n">
        <f aca="false">IFERROR(LEN(C14&amp;D14&amp;E14&amp;F14&amp;G14&amp;H14&amp;I14&amp;J14&amp;K14&amp;L14&amp;M14&amp;N14)/5,0)</f>
        <v>27.4</v>
      </c>
      <c r="P14" s="3" t="str">
        <f aca="false">IF(OR(D14="",C14=""),"",IF((IFERROR(IF(AND(TRIM(D14)=D14,LEN(D14)&gt;0),0,1),1)+IFERROR(IF(AND(LEN(E14)=10,ISNUMBER(VALUE(E14))),0,1),1)+IFERROR(IF(AND(ISNUMBER(SEARCH("@",F14)),ISNUMBER(SEARCH(".",F14))),0,1),1)+IFERROR(IF(AND(LEN(J14)=6,ISNUMBER(VALUE(J14))),0,1),1)+IFERROR(IF(ISNUMBER(MATCH(TRIM(I14),Lists!$A$2:$A$20,0)),0,1),1)+IFERROR(IF(AND(LEN(K14)=10,VALUE(LEFT(K14,FIND("/",K14)-1))&gt;=1,VALUE(LEFT(K14,FIND("/",K14)-1))&lt;=31,VALUE(LEFT(MID(K14,FIND("/",K14)+1,10),FIND("/",MID(K14,FIND("/",K14)+1,10))-1))&gt;=1,VALUE(LEFT(MID(K14,FIND("/",K14)+1,10),FIND("/",MID(K14,FIND("/",K14)+1,10))-1))&lt;=12,VALUE(LEFT(K14,FIND("/",K14)-1))&lt;=DAY(EOMONTH(DATE(VALUE(MID(MID(K14,FIND("/",K14)+1,10),FIND("/",MID(K14,FIND("/",K14)+1,10))+1,4)),VALUE(LEFT(MID(K14,FIND("/",K14)+1,10),FIND("/",MID(K14,FIND("/",K14)+1,10))-1)),1),0))),0,1),1)+IFERROR(IF(M14&gt;=0,0,1),1)+IFERROR(IF(ISNUMBER(MATCH(N14,Lists!$B$2:$B$7,0)),0,1),1))=0,"OK","ERROR"))</f>
        <v>OK</v>
      </c>
      <c r="Q14" s="3" t="str">
        <f aca="false">IF(D14="","",TRIM(IF(IFERROR(IF(AND(TRIM(D14)=D14,LEN(D14)&gt;0),0,1),1)=1,"Name; ","")&amp;IF(IFERROR(IF(AND(LEN(E14)=10,ISNUMBER(VALUE(E14))),0,1),1)=1,"Phone; ","")&amp;IF(IFERROR(IF(AND(ISNUMBER(SEARCH("@",F14)),ISNUMBER(SEARCH(".",F14))),0,1),1)=1,"Email; ","")&amp;IF(IFERROR(IF(AND(LEN(J14)=6,ISNUMBER(VALUE(J14))),0,1),1)=1,"Pincode; ","")&amp;IF(IFERROR(IF(ISNUMBER(MATCH(TRIM(I14),Lists!$A$2:$A$20,0)),0,1),1)=1,"State; ","")&amp;IF(IFERROR(IF(AND(LEN(K14)=10,VALUE(LEFT(K14,FIND("/",K14)-1))&gt;=1,VALUE(LEFT(K14,FIND("/",K14)-1))&lt;=31,VALUE(LEFT(MID(K14,FIND("/",K14)+1,10),FIND("/",MID(K14,FIND("/",K14)+1,10))-1))&gt;=1,VALUE(LEFT(MID(K14,FIND("/",K14)+1,10),FIND("/",MID(K14,FIND("/",K14)+1,10))-1))&lt;=12,VALUE(LEFT(K14,FIND("/",K14)-1))&lt;=DAY(EOMONTH(DATE(VALUE(MID(MID(K14,FIND("/",K14)+1,10),FIND("/",MID(K14,FIND("/",K14)+1,10))+1,4)),VALUE(LEFT(MID(K14,FIND("/",K14)+1,10),FIND("/",MID(K14,FIND("/",K14)+1,10))-1)),1),0))),0,1),1)=1,"Date; ","")&amp;IF(IFERROR(IF(M14&gt;=0,0,1),1)=1,"Amount; ","")&amp;IF(IFERROR(IF(ISNUMBER(MATCH(N14,Lists!$B$2:$B$7,0)),0,1),1)=1,"Payment; ","")))</f>
        <v/>
      </c>
      <c r="R14" s="3" t="str">
        <f aca="false">IF(D14="","",IF(COUNTIFS($D$2:$D$701,D14,$E$2:$E$701,E14)&gt;1,"DUPLICATE","Unique"))</f>
        <v>Unique</v>
      </c>
    </row>
    <row r="15" customFormat="false" ht="15" hidden="false" customHeight="false" outlineLevel="0" collapsed="false">
      <c r="A15" s="3" t="n">
        <v>14</v>
      </c>
      <c r="B15" s="3" t="n">
        <v>1</v>
      </c>
      <c r="C15" s="3" t="s">
        <v>200</v>
      </c>
      <c r="D15" s="3" t="s">
        <v>201</v>
      </c>
      <c r="E15" s="3" t="s">
        <v>202</v>
      </c>
      <c r="F15" s="3" t="s">
        <v>203</v>
      </c>
      <c r="G15" s="3" t="s">
        <v>204</v>
      </c>
      <c r="H15" s="3" t="s">
        <v>205</v>
      </c>
      <c r="I15" s="3" t="s">
        <v>45</v>
      </c>
      <c r="J15" s="3" t="s">
        <v>206</v>
      </c>
      <c r="K15" s="3" t="s">
        <v>207</v>
      </c>
      <c r="L15" s="3" t="s">
        <v>64</v>
      </c>
      <c r="M15" s="3" t="n">
        <v>15937.32</v>
      </c>
      <c r="N15" s="3" t="s">
        <v>40</v>
      </c>
      <c r="O15" s="3" t="n">
        <f aca="false">IFERROR(LEN(C15&amp;D15&amp;E15&amp;F15&amp;G15&amp;H15&amp;I15&amp;J15&amp;K15&amp;L15&amp;M15&amp;N15)/5,0)</f>
        <v>23.8</v>
      </c>
      <c r="P15" s="3" t="str">
        <f aca="false">IF(OR(D15="",C15=""),"",IF((IFERROR(IF(AND(TRIM(D15)=D15,LEN(D15)&gt;0),0,1),1)+IFERROR(IF(AND(LEN(E15)=10,ISNUMBER(VALUE(E15))),0,1),1)+IFERROR(IF(AND(ISNUMBER(SEARCH("@",F15)),ISNUMBER(SEARCH(".",F15))),0,1),1)+IFERROR(IF(AND(LEN(J15)=6,ISNUMBER(VALUE(J15))),0,1),1)+IFERROR(IF(ISNUMBER(MATCH(TRIM(I15),Lists!$A$2:$A$20,0)),0,1),1)+IFERROR(IF(AND(LEN(K15)=10,VALUE(LEFT(K15,FIND("/",K15)-1))&gt;=1,VALUE(LEFT(K15,FIND("/",K15)-1))&lt;=31,VALUE(LEFT(MID(K15,FIND("/",K15)+1,10),FIND("/",MID(K15,FIND("/",K15)+1,10))-1))&gt;=1,VALUE(LEFT(MID(K15,FIND("/",K15)+1,10),FIND("/",MID(K15,FIND("/",K15)+1,10))-1))&lt;=12,VALUE(LEFT(K15,FIND("/",K15)-1))&lt;=DAY(EOMONTH(DATE(VALUE(MID(MID(K15,FIND("/",K15)+1,10),FIND("/",MID(K15,FIND("/",K15)+1,10))+1,4)),VALUE(LEFT(MID(K15,FIND("/",K15)+1,10),FIND("/",MID(K15,FIND("/",K15)+1,10))-1)),1),0))),0,1),1)+IFERROR(IF(M15&gt;=0,0,1),1)+IFERROR(IF(ISNUMBER(MATCH(N15,Lists!$B$2:$B$7,0)),0,1),1))=0,"OK","ERROR"))</f>
        <v>OK</v>
      </c>
      <c r="Q15" s="3" t="str">
        <f aca="false">IF(D15="","",TRIM(IF(IFERROR(IF(AND(TRIM(D15)=D15,LEN(D15)&gt;0),0,1),1)=1,"Name; ","")&amp;IF(IFERROR(IF(AND(LEN(E15)=10,ISNUMBER(VALUE(E15))),0,1),1)=1,"Phone; ","")&amp;IF(IFERROR(IF(AND(ISNUMBER(SEARCH("@",F15)),ISNUMBER(SEARCH(".",F15))),0,1),1)=1,"Email; ","")&amp;IF(IFERROR(IF(AND(LEN(J15)=6,ISNUMBER(VALUE(J15))),0,1),1)=1,"Pincode; ","")&amp;IF(IFERROR(IF(ISNUMBER(MATCH(TRIM(I15),Lists!$A$2:$A$20,0)),0,1),1)=1,"State; ","")&amp;IF(IFERROR(IF(AND(LEN(K15)=10,VALUE(LEFT(K15,FIND("/",K15)-1))&gt;=1,VALUE(LEFT(K15,FIND("/",K15)-1))&lt;=31,VALUE(LEFT(MID(K15,FIND("/",K15)+1,10),FIND("/",MID(K15,FIND("/",K15)+1,10))-1))&gt;=1,VALUE(LEFT(MID(K15,FIND("/",K15)+1,10),FIND("/",MID(K15,FIND("/",K15)+1,10))-1))&lt;=12,VALUE(LEFT(K15,FIND("/",K15)-1))&lt;=DAY(EOMONTH(DATE(VALUE(MID(MID(K15,FIND("/",K15)+1,10),FIND("/",MID(K15,FIND("/",K15)+1,10))+1,4)),VALUE(LEFT(MID(K15,FIND("/",K15)+1,10),FIND("/",MID(K15,FIND("/",K15)+1,10))-1)),1),0))),0,1),1)=1,"Date; ","")&amp;IF(IFERROR(IF(M15&gt;=0,0,1),1)=1,"Amount; ","")&amp;IF(IFERROR(IF(ISNUMBER(MATCH(N15,Lists!$B$2:$B$7,0)),0,1),1)=1,"Payment; ","")))</f>
        <v/>
      </c>
      <c r="R15" s="3" t="str">
        <f aca="false">IF(D15="","",IF(COUNTIFS($D$2:$D$701,D15,$E$2:$E$701,E15)&gt;1,"DUPLICATE","Unique"))</f>
        <v>Unique</v>
      </c>
    </row>
    <row r="16" customFormat="false" ht="15" hidden="false" customHeight="false" outlineLevel="0" collapsed="false">
      <c r="A16" s="3" t="n">
        <v>15</v>
      </c>
      <c r="B16" s="3" t="n">
        <v>1</v>
      </c>
      <c r="C16" s="3" t="s">
        <v>208</v>
      </c>
      <c r="D16" s="3" t="s">
        <v>209</v>
      </c>
      <c r="E16" s="3" t="s">
        <v>210</v>
      </c>
      <c r="F16" s="3" t="s">
        <v>211</v>
      </c>
      <c r="G16" s="3" t="s">
        <v>212</v>
      </c>
      <c r="H16" s="3" t="s">
        <v>197</v>
      </c>
      <c r="I16" s="3" t="s">
        <v>77</v>
      </c>
      <c r="J16" s="3" t="s">
        <v>213</v>
      </c>
      <c r="K16" s="3" t="s">
        <v>214</v>
      </c>
      <c r="L16" s="3" t="s">
        <v>53</v>
      </c>
      <c r="M16" s="3" t="n">
        <v>2022.77</v>
      </c>
      <c r="N16" s="3" t="s">
        <v>40</v>
      </c>
      <c r="O16" s="3" t="n">
        <f aca="false">IFERROR(LEN(C16&amp;D16&amp;E16&amp;F16&amp;G16&amp;H16&amp;I16&amp;J16&amp;K16&amp;L16&amp;M16&amp;N16)/5,0)</f>
        <v>27.2</v>
      </c>
      <c r="P16" s="3" t="str">
        <f aca="false">IF(OR(D16="",C16=""),"",IF((IFERROR(IF(AND(TRIM(D16)=D16,LEN(D16)&gt;0),0,1),1)+IFERROR(IF(AND(LEN(E16)=10,ISNUMBER(VALUE(E16))),0,1),1)+IFERROR(IF(AND(ISNUMBER(SEARCH("@",F16)),ISNUMBER(SEARCH(".",F16))),0,1),1)+IFERROR(IF(AND(LEN(J16)=6,ISNUMBER(VALUE(J16))),0,1),1)+IFERROR(IF(ISNUMBER(MATCH(TRIM(I16),Lists!$A$2:$A$20,0)),0,1),1)+IFERROR(IF(AND(LEN(K16)=10,VALUE(LEFT(K16,FIND("/",K16)-1))&gt;=1,VALUE(LEFT(K16,FIND("/",K16)-1))&lt;=31,VALUE(LEFT(MID(K16,FIND("/",K16)+1,10),FIND("/",MID(K16,FIND("/",K16)+1,10))-1))&gt;=1,VALUE(LEFT(MID(K16,FIND("/",K16)+1,10),FIND("/",MID(K16,FIND("/",K16)+1,10))-1))&lt;=12,VALUE(LEFT(K16,FIND("/",K16)-1))&lt;=DAY(EOMONTH(DATE(VALUE(MID(MID(K16,FIND("/",K16)+1,10),FIND("/",MID(K16,FIND("/",K16)+1,10))+1,4)),VALUE(LEFT(MID(K16,FIND("/",K16)+1,10),FIND("/",MID(K16,FIND("/",K16)+1,10))-1)),1),0))),0,1),1)+IFERROR(IF(M16&gt;=0,0,1),1)+IFERROR(IF(ISNUMBER(MATCH(N16,Lists!$B$2:$B$7,0)),0,1),1))=0,"OK","ERROR"))</f>
        <v>OK</v>
      </c>
      <c r="Q16" s="3" t="str">
        <f aca="false">IF(D16="","",TRIM(IF(IFERROR(IF(AND(TRIM(D16)=D16,LEN(D16)&gt;0),0,1),1)=1,"Name; ","")&amp;IF(IFERROR(IF(AND(LEN(E16)=10,ISNUMBER(VALUE(E16))),0,1),1)=1,"Phone; ","")&amp;IF(IFERROR(IF(AND(ISNUMBER(SEARCH("@",F16)),ISNUMBER(SEARCH(".",F16))),0,1),1)=1,"Email; ","")&amp;IF(IFERROR(IF(AND(LEN(J16)=6,ISNUMBER(VALUE(J16))),0,1),1)=1,"Pincode; ","")&amp;IF(IFERROR(IF(ISNUMBER(MATCH(TRIM(I16),Lists!$A$2:$A$20,0)),0,1),1)=1,"State; ","")&amp;IF(IFERROR(IF(AND(LEN(K16)=10,VALUE(LEFT(K16,FIND("/",K16)-1))&gt;=1,VALUE(LEFT(K16,FIND("/",K16)-1))&lt;=31,VALUE(LEFT(MID(K16,FIND("/",K16)+1,10),FIND("/",MID(K16,FIND("/",K16)+1,10))-1))&gt;=1,VALUE(LEFT(MID(K16,FIND("/",K16)+1,10),FIND("/",MID(K16,FIND("/",K16)+1,10))-1))&lt;=12,VALUE(LEFT(K16,FIND("/",K16)-1))&lt;=DAY(EOMONTH(DATE(VALUE(MID(MID(K16,FIND("/",K16)+1,10),FIND("/",MID(K16,FIND("/",K16)+1,10))+1,4)),VALUE(LEFT(MID(K16,FIND("/",K16)+1,10),FIND("/",MID(K16,FIND("/",K16)+1,10))-1)),1),0))),0,1),1)=1,"Date; ","")&amp;IF(IFERROR(IF(M16&gt;=0,0,1),1)=1,"Amount; ","")&amp;IF(IFERROR(IF(ISNUMBER(MATCH(N16,Lists!$B$2:$B$7,0)),0,1),1)=1,"Payment; ","")))</f>
        <v/>
      </c>
      <c r="R16" s="3" t="str">
        <f aca="false">IF(D16="","",IF(COUNTIFS($D$2:$D$701,D16,$E$2:$E$701,E16)&gt;1,"DUPLICATE","Unique"))</f>
        <v>Unique</v>
      </c>
    </row>
    <row r="17" customFormat="false" ht="15" hidden="false" customHeight="false" outlineLevel="0" collapsed="false">
      <c r="A17" s="3" t="n">
        <v>16</v>
      </c>
      <c r="B17" s="3" t="n">
        <v>1</v>
      </c>
      <c r="C17" s="3" t="s">
        <v>215</v>
      </c>
      <c r="D17" s="3" t="s">
        <v>216</v>
      </c>
      <c r="E17" s="3" t="s">
        <v>217</v>
      </c>
      <c r="F17" s="3" t="s">
        <v>218</v>
      </c>
      <c r="G17" s="3" t="s">
        <v>219</v>
      </c>
      <c r="H17" s="3" t="s">
        <v>197</v>
      </c>
      <c r="I17" s="3" t="s">
        <v>77</v>
      </c>
      <c r="J17" s="3" t="s">
        <v>220</v>
      </c>
      <c r="K17" s="3" t="s">
        <v>221</v>
      </c>
      <c r="L17" s="3" t="s">
        <v>53</v>
      </c>
      <c r="M17" s="3" t="n">
        <v>2752</v>
      </c>
      <c r="N17" s="3" t="s">
        <v>49</v>
      </c>
      <c r="O17" s="3" t="n">
        <f aca="false">IFERROR(LEN(C17&amp;D17&amp;E17&amp;F17&amp;G17&amp;H17&amp;I17&amp;J17&amp;K17&amp;L17&amp;M17&amp;N17)/5,0)</f>
        <v>28.8</v>
      </c>
      <c r="P17" s="3" t="str">
        <f aca="false">IF(OR(D17="",C17=""),"",IF((IFERROR(IF(AND(TRIM(D17)=D17,LEN(D17)&gt;0),0,1),1)+IFERROR(IF(AND(LEN(E17)=10,ISNUMBER(VALUE(E17))),0,1),1)+IFERROR(IF(AND(ISNUMBER(SEARCH("@",F17)),ISNUMBER(SEARCH(".",F17))),0,1),1)+IFERROR(IF(AND(LEN(J17)=6,ISNUMBER(VALUE(J17))),0,1),1)+IFERROR(IF(ISNUMBER(MATCH(TRIM(I17),Lists!$A$2:$A$20,0)),0,1),1)+IFERROR(IF(AND(LEN(K17)=10,VALUE(LEFT(K17,FIND("/",K17)-1))&gt;=1,VALUE(LEFT(K17,FIND("/",K17)-1))&lt;=31,VALUE(LEFT(MID(K17,FIND("/",K17)+1,10),FIND("/",MID(K17,FIND("/",K17)+1,10))-1))&gt;=1,VALUE(LEFT(MID(K17,FIND("/",K17)+1,10),FIND("/",MID(K17,FIND("/",K17)+1,10))-1))&lt;=12,VALUE(LEFT(K17,FIND("/",K17)-1))&lt;=DAY(EOMONTH(DATE(VALUE(MID(MID(K17,FIND("/",K17)+1,10),FIND("/",MID(K17,FIND("/",K17)+1,10))+1,4)),VALUE(LEFT(MID(K17,FIND("/",K17)+1,10),FIND("/",MID(K17,FIND("/",K17)+1,10))-1)),1),0))),0,1),1)+IFERROR(IF(M17&gt;=0,0,1),1)+IFERROR(IF(ISNUMBER(MATCH(N17,Lists!$B$2:$B$7,0)),0,1),1))=0,"OK","ERROR"))</f>
        <v>OK</v>
      </c>
      <c r="Q17" s="3" t="str">
        <f aca="false">IF(D17="","",TRIM(IF(IFERROR(IF(AND(TRIM(D17)=D17,LEN(D17)&gt;0),0,1),1)=1,"Name; ","")&amp;IF(IFERROR(IF(AND(LEN(E17)=10,ISNUMBER(VALUE(E17))),0,1),1)=1,"Phone; ","")&amp;IF(IFERROR(IF(AND(ISNUMBER(SEARCH("@",F17)),ISNUMBER(SEARCH(".",F17))),0,1),1)=1,"Email; ","")&amp;IF(IFERROR(IF(AND(LEN(J17)=6,ISNUMBER(VALUE(J17))),0,1),1)=1,"Pincode; ","")&amp;IF(IFERROR(IF(ISNUMBER(MATCH(TRIM(I17),Lists!$A$2:$A$20,0)),0,1),1)=1,"State; ","")&amp;IF(IFERROR(IF(AND(LEN(K17)=10,VALUE(LEFT(K17,FIND("/",K17)-1))&gt;=1,VALUE(LEFT(K17,FIND("/",K17)-1))&lt;=31,VALUE(LEFT(MID(K17,FIND("/",K17)+1,10),FIND("/",MID(K17,FIND("/",K17)+1,10))-1))&gt;=1,VALUE(LEFT(MID(K17,FIND("/",K17)+1,10),FIND("/",MID(K17,FIND("/",K17)+1,10))-1))&lt;=12,VALUE(LEFT(K17,FIND("/",K17)-1))&lt;=DAY(EOMONTH(DATE(VALUE(MID(MID(K17,FIND("/",K17)+1,10),FIND("/",MID(K17,FIND("/",K17)+1,10))+1,4)),VALUE(LEFT(MID(K17,FIND("/",K17)+1,10),FIND("/",MID(K17,FIND("/",K17)+1,10))-1)),1),0))),0,1),1)=1,"Date; ","")&amp;IF(IFERROR(IF(M17&gt;=0,0,1),1)=1,"Amount; ","")&amp;IF(IFERROR(IF(ISNUMBER(MATCH(N17,Lists!$B$2:$B$7,0)),0,1),1)=1,"Payment; ","")))</f>
        <v/>
      </c>
      <c r="R17" s="3" t="str">
        <f aca="false">IF(D17="","",IF(COUNTIFS($D$2:$D$701,D17,$E$2:$E$701,E17)&gt;1,"DUPLICATE","Unique"))</f>
        <v>Unique</v>
      </c>
    </row>
    <row r="18" customFormat="false" ht="15" hidden="false" customHeight="false" outlineLevel="0" collapsed="false">
      <c r="A18" s="3" t="n">
        <v>17</v>
      </c>
      <c r="B18" s="3" t="n">
        <v>1</v>
      </c>
      <c r="C18" s="3" t="s">
        <v>222</v>
      </c>
      <c r="D18" s="3" t="s">
        <v>223</v>
      </c>
      <c r="E18" s="3" t="s">
        <v>224</v>
      </c>
      <c r="F18" s="3" t="s">
        <v>225</v>
      </c>
      <c r="G18" s="3" t="s">
        <v>226</v>
      </c>
      <c r="H18" s="3" t="s">
        <v>227</v>
      </c>
      <c r="I18" s="3" t="s">
        <v>77</v>
      </c>
      <c r="J18" s="3" t="s">
        <v>228</v>
      </c>
      <c r="K18" s="3" t="s">
        <v>229</v>
      </c>
      <c r="L18" s="3" t="s">
        <v>66</v>
      </c>
      <c r="M18" s="3" t="n">
        <v>1823.14</v>
      </c>
      <c r="N18" s="3" t="s">
        <v>52</v>
      </c>
      <c r="O18" s="3" t="n">
        <f aca="false">IFERROR(LEN(C18&amp;D18&amp;E18&amp;F18&amp;G18&amp;H18&amp;I18&amp;J18&amp;K18&amp;L18&amp;M18&amp;N18)/5,0)</f>
        <v>31</v>
      </c>
      <c r="P18" s="3" t="str">
        <f aca="false">IF(OR(D18="",C18=""),"",IF((IFERROR(IF(AND(TRIM(D18)=D18,LEN(D18)&gt;0),0,1),1)+IFERROR(IF(AND(LEN(E18)=10,ISNUMBER(VALUE(E18))),0,1),1)+IFERROR(IF(AND(ISNUMBER(SEARCH("@",F18)),ISNUMBER(SEARCH(".",F18))),0,1),1)+IFERROR(IF(AND(LEN(J18)=6,ISNUMBER(VALUE(J18))),0,1),1)+IFERROR(IF(ISNUMBER(MATCH(TRIM(I18),Lists!$A$2:$A$20,0)),0,1),1)+IFERROR(IF(AND(LEN(K18)=10,VALUE(LEFT(K18,FIND("/",K18)-1))&gt;=1,VALUE(LEFT(K18,FIND("/",K18)-1))&lt;=31,VALUE(LEFT(MID(K18,FIND("/",K18)+1,10),FIND("/",MID(K18,FIND("/",K18)+1,10))-1))&gt;=1,VALUE(LEFT(MID(K18,FIND("/",K18)+1,10),FIND("/",MID(K18,FIND("/",K18)+1,10))-1))&lt;=12,VALUE(LEFT(K18,FIND("/",K18)-1))&lt;=DAY(EOMONTH(DATE(VALUE(MID(MID(K18,FIND("/",K18)+1,10),FIND("/",MID(K18,FIND("/",K18)+1,10))+1,4)),VALUE(LEFT(MID(K18,FIND("/",K18)+1,10),FIND("/",MID(K18,FIND("/",K18)+1,10))-1)),1),0))),0,1),1)+IFERROR(IF(M18&gt;=0,0,1),1)+IFERROR(IF(ISNUMBER(MATCH(N18,Lists!$B$2:$B$7,0)),0,1),1))=0,"OK","ERROR"))</f>
        <v>OK</v>
      </c>
      <c r="Q18" s="3" t="str">
        <f aca="false">IF(D18="","",TRIM(IF(IFERROR(IF(AND(TRIM(D18)=D18,LEN(D18)&gt;0),0,1),1)=1,"Name; ","")&amp;IF(IFERROR(IF(AND(LEN(E18)=10,ISNUMBER(VALUE(E18))),0,1),1)=1,"Phone; ","")&amp;IF(IFERROR(IF(AND(ISNUMBER(SEARCH("@",F18)),ISNUMBER(SEARCH(".",F18))),0,1),1)=1,"Email; ","")&amp;IF(IFERROR(IF(AND(LEN(J18)=6,ISNUMBER(VALUE(J18))),0,1),1)=1,"Pincode; ","")&amp;IF(IFERROR(IF(ISNUMBER(MATCH(TRIM(I18),Lists!$A$2:$A$20,0)),0,1),1)=1,"State; ","")&amp;IF(IFERROR(IF(AND(LEN(K18)=10,VALUE(LEFT(K18,FIND("/",K18)-1))&gt;=1,VALUE(LEFT(K18,FIND("/",K18)-1))&lt;=31,VALUE(LEFT(MID(K18,FIND("/",K18)+1,10),FIND("/",MID(K18,FIND("/",K18)+1,10))-1))&gt;=1,VALUE(LEFT(MID(K18,FIND("/",K18)+1,10),FIND("/",MID(K18,FIND("/",K18)+1,10))-1))&lt;=12,VALUE(LEFT(K18,FIND("/",K18)-1))&lt;=DAY(EOMONTH(DATE(VALUE(MID(MID(K18,FIND("/",K18)+1,10),FIND("/",MID(K18,FIND("/",K18)+1,10))+1,4)),VALUE(LEFT(MID(K18,FIND("/",K18)+1,10),FIND("/",MID(K18,FIND("/",K18)+1,10))-1)),1),0))),0,1),1)=1,"Date; ","")&amp;IF(IFERROR(IF(M18&gt;=0,0,1),1)=1,"Amount; ","")&amp;IF(IFERROR(IF(ISNUMBER(MATCH(N18,Lists!$B$2:$B$7,0)),0,1),1)=1,"Payment; ","")))</f>
        <v/>
      </c>
      <c r="R18" s="3" t="str">
        <f aca="false">IF(D18="","",IF(COUNTIFS($D$2:$D$701,D18,$E$2:$E$701,E18)&gt;1,"DUPLICATE","Unique"))</f>
        <v>Unique</v>
      </c>
    </row>
    <row r="19" customFormat="false" ht="15" hidden="false" customHeight="false" outlineLevel="0" collapsed="false">
      <c r="A19" s="3" t="n">
        <v>18</v>
      </c>
      <c r="B19" s="3" t="n">
        <v>1</v>
      </c>
      <c r="C19" s="3" t="s">
        <v>230</v>
      </c>
      <c r="D19" s="3" t="s">
        <v>231</v>
      </c>
      <c r="E19" s="3" t="s">
        <v>232</v>
      </c>
      <c r="F19" s="3" t="s">
        <v>233</v>
      </c>
      <c r="G19" s="3" t="s">
        <v>234</v>
      </c>
      <c r="H19" s="3" t="s">
        <v>235</v>
      </c>
      <c r="I19" s="3" t="s">
        <v>71</v>
      </c>
      <c r="J19" s="3" t="s">
        <v>236</v>
      </c>
      <c r="K19" s="3" t="s">
        <v>237</v>
      </c>
      <c r="L19" s="3" t="s">
        <v>56</v>
      </c>
      <c r="M19" s="3" t="n">
        <v>5021.02</v>
      </c>
      <c r="N19" s="3" t="s">
        <v>43</v>
      </c>
      <c r="O19" s="3" t="n">
        <f aca="false">IFERROR(LEN(C19&amp;D19&amp;E19&amp;F19&amp;G19&amp;H19&amp;I19&amp;J19&amp;K19&amp;L19&amp;M19&amp;N19)/5,0)</f>
        <v>25.8</v>
      </c>
      <c r="P19" s="3" t="str">
        <f aca="false">IF(OR(D19="",C19=""),"",IF((IFERROR(IF(AND(TRIM(D19)=D19,LEN(D19)&gt;0),0,1),1)+IFERROR(IF(AND(LEN(E19)=10,ISNUMBER(VALUE(E19))),0,1),1)+IFERROR(IF(AND(ISNUMBER(SEARCH("@",F19)),ISNUMBER(SEARCH(".",F19))),0,1),1)+IFERROR(IF(AND(LEN(J19)=6,ISNUMBER(VALUE(J19))),0,1),1)+IFERROR(IF(ISNUMBER(MATCH(TRIM(I19),Lists!$A$2:$A$20,0)),0,1),1)+IFERROR(IF(AND(LEN(K19)=10,VALUE(LEFT(K19,FIND("/",K19)-1))&gt;=1,VALUE(LEFT(K19,FIND("/",K19)-1))&lt;=31,VALUE(LEFT(MID(K19,FIND("/",K19)+1,10),FIND("/",MID(K19,FIND("/",K19)+1,10))-1))&gt;=1,VALUE(LEFT(MID(K19,FIND("/",K19)+1,10),FIND("/",MID(K19,FIND("/",K19)+1,10))-1))&lt;=12,VALUE(LEFT(K19,FIND("/",K19)-1))&lt;=DAY(EOMONTH(DATE(VALUE(MID(MID(K19,FIND("/",K19)+1,10),FIND("/",MID(K19,FIND("/",K19)+1,10))+1,4)),VALUE(LEFT(MID(K19,FIND("/",K19)+1,10),FIND("/",MID(K19,FIND("/",K19)+1,10))-1)),1),0))),0,1),1)+IFERROR(IF(M19&gt;=0,0,1),1)+IFERROR(IF(ISNUMBER(MATCH(N19,Lists!$B$2:$B$7,0)),0,1),1))=0,"OK","ERROR"))</f>
        <v>OK</v>
      </c>
      <c r="Q19" s="3" t="str">
        <f aca="false">IF(D19="","",TRIM(IF(IFERROR(IF(AND(TRIM(D19)=D19,LEN(D19)&gt;0),0,1),1)=1,"Name; ","")&amp;IF(IFERROR(IF(AND(LEN(E19)=10,ISNUMBER(VALUE(E19))),0,1),1)=1,"Phone; ","")&amp;IF(IFERROR(IF(AND(ISNUMBER(SEARCH("@",F19)),ISNUMBER(SEARCH(".",F19))),0,1),1)=1,"Email; ","")&amp;IF(IFERROR(IF(AND(LEN(J19)=6,ISNUMBER(VALUE(J19))),0,1),1)=1,"Pincode; ","")&amp;IF(IFERROR(IF(ISNUMBER(MATCH(TRIM(I19),Lists!$A$2:$A$20,0)),0,1),1)=1,"State; ","")&amp;IF(IFERROR(IF(AND(LEN(K19)=10,VALUE(LEFT(K19,FIND("/",K19)-1))&gt;=1,VALUE(LEFT(K19,FIND("/",K19)-1))&lt;=31,VALUE(LEFT(MID(K19,FIND("/",K19)+1,10),FIND("/",MID(K19,FIND("/",K19)+1,10))-1))&gt;=1,VALUE(LEFT(MID(K19,FIND("/",K19)+1,10),FIND("/",MID(K19,FIND("/",K19)+1,10))-1))&lt;=12,VALUE(LEFT(K19,FIND("/",K19)-1))&lt;=DAY(EOMONTH(DATE(VALUE(MID(MID(K19,FIND("/",K19)+1,10),FIND("/",MID(K19,FIND("/",K19)+1,10))+1,4)),VALUE(LEFT(MID(K19,FIND("/",K19)+1,10),FIND("/",MID(K19,FIND("/",K19)+1,10))-1)),1),0))),0,1),1)=1,"Date; ","")&amp;IF(IFERROR(IF(M19&gt;=0,0,1),1)=1,"Amount; ","")&amp;IF(IFERROR(IF(ISNUMBER(MATCH(N19,Lists!$B$2:$B$7,0)),0,1),1)=1,"Payment; ","")))</f>
        <v/>
      </c>
      <c r="R19" s="3" t="str">
        <f aca="false">IF(D19="","",IF(COUNTIFS($D$2:$D$701,D19,$E$2:$E$701,E19)&gt;1,"DUPLICATE","Unique"))</f>
        <v>Unique</v>
      </c>
    </row>
    <row r="20" customFormat="false" ht="15" hidden="false" customHeight="false" outlineLevel="0" collapsed="false">
      <c r="A20" s="3" t="n">
        <v>19</v>
      </c>
      <c r="B20" s="3" t="n">
        <v>1</v>
      </c>
      <c r="C20" s="3" t="s">
        <v>238</v>
      </c>
      <c r="D20" s="3" t="s">
        <v>239</v>
      </c>
      <c r="E20" s="3" t="s">
        <v>240</v>
      </c>
      <c r="F20" s="3" t="s">
        <v>241</v>
      </c>
      <c r="G20" s="3" t="s">
        <v>242</v>
      </c>
      <c r="H20" s="3" t="s">
        <v>157</v>
      </c>
      <c r="I20" s="3" t="s">
        <v>59</v>
      </c>
      <c r="J20" s="3" t="s">
        <v>243</v>
      </c>
      <c r="K20" s="3" t="s">
        <v>244</v>
      </c>
      <c r="L20" s="3" t="s">
        <v>64</v>
      </c>
      <c r="M20" s="3" t="n">
        <v>7065.11</v>
      </c>
      <c r="N20" s="3" t="s">
        <v>55</v>
      </c>
      <c r="O20" s="3" t="n">
        <f aca="false">IFERROR(LEN(C20&amp;D20&amp;E20&amp;F20&amp;G20&amp;H20&amp;I20&amp;J20&amp;K20&amp;L20&amp;M20&amp;N20)/5,0)</f>
        <v>28.2</v>
      </c>
      <c r="P20" s="3" t="str">
        <f aca="false">IF(OR(D20="",C20=""),"",IF((IFERROR(IF(AND(TRIM(D20)=D20,LEN(D20)&gt;0),0,1),1)+IFERROR(IF(AND(LEN(E20)=10,ISNUMBER(VALUE(E20))),0,1),1)+IFERROR(IF(AND(ISNUMBER(SEARCH("@",F20)),ISNUMBER(SEARCH(".",F20))),0,1),1)+IFERROR(IF(AND(LEN(J20)=6,ISNUMBER(VALUE(J20))),0,1),1)+IFERROR(IF(ISNUMBER(MATCH(TRIM(I20),Lists!$A$2:$A$20,0)),0,1),1)+IFERROR(IF(AND(LEN(K20)=10,VALUE(LEFT(K20,FIND("/",K20)-1))&gt;=1,VALUE(LEFT(K20,FIND("/",K20)-1))&lt;=31,VALUE(LEFT(MID(K20,FIND("/",K20)+1,10),FIND("/",MID(K20,FIND("/",K20)+1,10))-1))&gt;=1,VALUE(LEFT(MID(K20,FIND("/",K20)+1,10),FIND("/",MID(K20,FIND("/",K20)+1,10))-1))&lt;=12,VALUE(LEFT(K20,FIND("/",K20)-1))&lt;=DAY(EOMONTH(DATE(VALUE(MID(MID(K20,FIND("/",K20)+1,10),FIND("/",MID(K20,FIND("/",K20)+1,10))+1,4)),VALUE(LEFT(MID(K20,FIND("/",K20)+1,10),FIND("/",MID(K20,FIND("/",K20)+1,10))-1)),1),0))),0,1),1)+IFERROR(IF(M20&gt;=0,0,1),1)+IFERROR(IF(ISNUMBER(MATCH(N20,Lists!$B$2:$B$7,0)),0,1),1))=0,"OK","ERROR"))</f>
        <v>OK</v>
      </c>
      <c r="Q20" s="3" t="str">
        <f aca="false">IF(D20="","",TRIM(IF(IFERROR(IF(AND(TRIM(D20)=D20,LEN(D20)&gt;0),0,1),1)=1,"Name; ","")&amp;IF(IFERROR(IF(AND(LEN(E20)=10,ISNUMBER(VALUE(E20))),0,1),1)=1,"Phone; ","")&amp;IF(IFERROR(IF(AND(ISNUMBER(SEARCH("@",F20)),ISNUMBER(SEARCH(".",F20))),0,1),1)=1,"Email; ","")&amp;IF(IFERROR(IF(AND(LEN(J20)=6,ISNUMBER(VALUE(J20))),0,1),1)=1,"Pincode; ","")&amp;IF(IFERROR(IF(ISNUMBER(MATCH(TRIM(I20),Lists!$A$2:$A$20,0)),0,1),1)=1,"State; ","")&amp;IF(IFERROR(IF(AND(LEN(K20)=10,VALUE(LEFT(K20,FIND("/",K20)-1))&gt;=1,VALUE(LEFT(K20,FIND("/",K20)-1))&lt;=31,VALUE(LEFT(MID(K20,FIND("/",K20)+1,10),FIND("/",MID(K20,FIND("/",K20)+1,10))-1))&gt;=1,VALUE(LEFT(MID(K20,FIND("/",K20)+1,10),FIND("/",MID(K20,FIND("/",K20)+1,10))-1))&lt;=12,VALUE(LEFT(K20,FIND("/",K20)-1))&lt;=DAY(EOMONTH(DATE(VALUE(MID(MID(K20,FIND("/",K20)+1,10),FIND("/",MID(K20,FIND("/",K20)+1,10))+1,4)),VALUE(LEFT(MID(K20,FIND("/",K20)+1,10),FIND("/",MID(K20,FIND("/",K20)+1,10))-1)),1),0))),0,1),1)=1,"Date; ","")&amp;IF(IFERROR(IF(M20&gt;=0,0,1),1)=1,"Amount; ","")&amp;IF(IFERROR(IF(ISNUMBER(MATCH(N20,Lists!$B$2:$B$7,0)),0,1),1)=1,"Payment; ","")))</f>
        <v/>
      </c>
      <c r="R20" s="3" t="str">
        <f aca="false">IF(D20="","",IF(COUNTIFS($D$2:$D$701,D20,$E$2:$E$701,E20)&gt;1,"DUPLICATE","Unique"))</f>
        <v>Unique</v>
      </c>
    </row>
    <row r="21" customFormat="false" ht="15" hidden="false" customHeight="false" outlineLevel="0" collapsed="false">
      <c r="A21" s="3" t="n">
        <v>20</v>
      </c>
      <c r="B21" s="3" t="n">
        <v>1</v>
      </c>
      <c r="C21" s="3" t="s">
        <v>245</v>
      </c>
      <c r="D21" s="3" t="s">
        <v>246</v>
      </c>
      <c r="E21" s="3" t="s">
        <v>247</v>
      </c>
      <c r="F21" s="3" t="s">
        <v>248</v>
      </c>
      <c r="G21" s="3" t="s">
        <v>249</v>
      </c>
      <c r="H21" s="3" t="s">
        <v>250</v>
      </c>
      <c r="I21" s="3" t="s">
        <v>65</v>
      </c>
      <c r="J21" s="3" t="s">
        <v>251</v>
      </c>
      <c r="K21" s="3" t="s">
        <v>252</v>
      </c>
      <c r="L21" s="3" t="s">
        <v>66</v>
      </c>
      <c r="M21" s="3" t="n">
        <v>13597.64</v>
      </c>
      <c r="N21" s="3" t="s">
        <v>55</v>
      </c>
      <c r="O21" s="3" t="n">
        <f aca="false">IFERROR(LEN(C21&amp;D21&amp;E21&amp;F21&amp;G21&amp;H21&amp;I21&amp;J21&amp;K21&amp;L21&amp;M21&amp;N21)/5,0)</f>
        <v>29</v>
      </c>
      <c r="P21" s="3" t="str">
        <f aca="false">IF(OR(D21="",C21=""),"",IF((IFERROR(IF(AND(TRIM(D21)=D21,LEN(D21)&gt;0),0,1),1)+IFERROR(IF(AND(LEN(E21)=10,ISNUMBER(VALUE(E21))),0,1),1)+IFERROR(IF(AND(ISNUMBER(SEARCH("@",F21)),ISNUMBER(SEARCH(".",F21))),0,1),1)+IFERROR(IF(AND(LEN(J21)=6,ISNUMBER(VALUE(J21))),0,1),1)+IFERROR(IF(ISNUMBER(MATCH(TRIM(I21),Lists!$A$2:$A$20,0)),0,1),1)+IFERROR(IF(AND(LEN(K21)=10,VALUE(LEFT(K21,FIND("/",K21)-1))&gt;=1,VALUE(LEFT(K21,FIND("/",K21)-1))&lt;=31,VALUE(LEFT(MID(K21,FIND("/",K21)+1,10),FIND("/",MID(K21,FIND("/",K21)+1,10))-1))&gt;=1,VALUE(LEFT(MID(K21,FIND("/",K21)+1,10),FIND("/",MID(K21,FIND("/",K21)+1,10))-1))&lt;=12,VALUE(LEFT(K21,FIND("/",K21)-1))&lt;=DAY(EOMONTH(DATE(VALUE(MID(MID(K21,FIND("/",K21)+1,10),FIND("/",MID(K21,FIND("/",K21)+1,10))+1,4)),VALUE(LEFT(MID(K21,FIND("/",K21)+1,10),FIND("/",MID(K21,FIND("/",K21)+1,10))-1)),1),0))),0,1),1)+IFERROR(IF(M21&gt;=0,0,1),1)+IFERROR(IF(ISNUMBER(MATCH(N21,Lists!$B$2:$B$7,0)),0,1),1))=0,"OK","ERROR"))</f>
        <v>OK</v>
      </c>
      <c r="Q21" s="3" t="str">
        <f aca="false">IF(D21="","",TRIM(IF(IFERROR(IF(AND(TRIM(D21)=D21,LEN(D21)&gt;0),0,1),1)=1,"Name; ","")&amp;IF(IFERROR(IF(AND(LEN(E21)=10,ISNUMBER(VALUE(E21))),0,1),1)=1,"Phone; ","")&amp;IF(IFERROR(IF(AND(ISNUMBER(SEARCH("@",F21)),ISNUMBER(SEARCH(".",F21))),0,1),1)=1,"Email; ","")&amp;IF(IFERROR(IF(AND(LEN(J21)=6,ISNUMBER(VALUE(J21))),0,1),1)=1,"Pincode; ","")&amp;IF(IFERROR(IF(ISNUMBER(MATCH(TRIM(I21),Lists!$A$2:$A$20,0)),0,1),1)=1,"State; ","")&amp;IF(IFERROR(IF(AND(LEN(K21)=10,VALUE(LEFT(K21,FIND("/",K21)-1))&gt;=1,VALUE(LEFT(K21,FIND("/",K21)-1))&lt;=31,VALUE(LEFT(MID(K21,FIND("/",K21)+1,10),FIND("/",MID(K21,FIND("/",K21)+1,10))-1))&gt;=1,VALUE(LEFT(MID(K21,FIND("/",K21)+1,10),FIND("/",MID(K21,FIND("/",K21)+1,10))-1))&lt;=12,VALUE(LEFT(K21,FIND("/",K21)-1))&lt;=DAY(EOMONTH(DATE(VALUE(MID(MID(K21,FIND("/",K21)+1,10),FIND("/",MID(K21,FIND("/",K21)+1,10))+1,4)),VALUE(LEFT(MID(K21,FIND("/",K21)+1,10),FIND("/",MID(K21,FIND("/",K21)+1,10))-1)),1),0))),0,1),1)=1,"Date; ","")&amp;IF(IFERROR(IF(M21&gt;=0,0,1),1)=1,"Amount; ","")&amp;IF(IFERROR(IF(ISNUMBER(MATCH(N21,Lists!$B$2:$B$7,0)),0,1),1)=1,"Payment; ","")))</f>
        <v/>
      </c>
      <c r="R21" s="3" t="str">
        <f aca="false">IF(D21="","",IF(COUNTIFS($D$2:$D$701,D21,$E$2:$E$701,E21)&gt;1,"DUPLICATE","Unique"))</f>
        <v>Unique</v>
      </c>
    </row>
    <row r="22" customFormat="false" ht="15" hidden="false" customHeight="false" outlineLevel="0" collapsed="false">
      <c r="A22" s="3" t="n">
        <v>21</v>
      </c>
      <c r="B22" s="3" t="n">
        <v>1</v>
      </c>
      <c r="C22" s="3" t="s">
        <v>253</v>
      </c>
      <c r="D22" s="3" t="s">
        <v>254</v>
      </c>
      <c r="E22" s="3" t="s">
        <v>255</v>
      </c>
      <c r="F22" s="3" t="s">
        <v>256</v>
      </c>
      <c r="G22" s="3" t="s">
        <v>257</v>
      </c>
      <c r="H22" s="3" t="s">
        <v>258</v>
      </c>
      <c r="I22" s="3" t="s">
        <v>63</v>
      </c>
      <c r="J22" s="3" t="s">
        <v>259</v>
      </c>
      <c r="K22" s="3" t="s">
        <v>260</v>
      </c>
      <c r="L22" s="3" t="s">
        <v>53</v>
      </c>
      <c r="M22" s="3" t="n">
        <v>4732.24</v>
      </c>
      <c r="N22" s="3" t="s">
        <v>49</v>
      </c>
      <c r="O22" s="3" t="n">
        <f aca="false">IFERROR(LEN(C22&amp;D22&amp;E22&amp;F22&amp;G22&amp;H22&amp;I22&amp;J22&amp;K22&amp;L22&amp;M22&amp;N22)/5,0)</f>
        <v>29.4</v>
      </c>
      <c r="P22" s="3" t="str">
        <f aca="false">IF(OR(D22="",C22=""),"",IF((IFERROR(IF(AND(TRIM(D22)=D22,LEN(D22)&gt;0),0,1),1)+IFERROR(IF(AND(LEN(E22)=10,ISNUMBER(VALUE(E22))),0,1),1)+IFERROR(IF(AND(ISNUMBER(SEARCH("@",F22)),ISNUMBER(SEARCH(".",F22))),0,1),1)+IFERROR(IF(AND(LEN(J22)=6,ISNUMBER(VALUE(J22))),0,1),1)+IFERROR(IF(ISNUMBER(MATCH(TRIM(I22),Lists!$A$2:$A$20,0)),0,1),1)+IFERROR(IF(AND(LEN(K22)=10,VALUE(LEFT(K22,FIND("/",K22)-1))&gt;=1,VALUE(LEFT(K22,FIND("/",K22)-1))&lt;=31,VALUE(LEFT(MID(K22,FIND("/",K22)+1,10),FIND("/",MID(K22,FIND("/",K22)+1,10))-1))&gt;=1,VALUE(LEFT(MID(K22,FIND("/",K22)+1,10),FIND("/",MID(K22,FIND("/",K22)+1,10))-1))&lt;=12,VALUE(LEFT(K22,FIND("/",K22)-1))&lt;=DAY(EOMONTH(DATE(VALUE(MID(MID(K22,FIND("/",K22)+1,10),FIND("/",MID(K22,FIND("/",K22)+1,10))+1,4)),VALUE(LEFT(MID(K22,FIND("/",K22)+1,10),FIND("/",MID(K22,FIND("/",K22)+1,10))-1)),1),0))),0,1),1)+IFERROR(IF(M22&gt;=0,0,1),1)+IFERROR(IF(ISNUMBER(MATCH(N22,Lists!$B$2:$B$7,0)),0,1),1))=0,"OK","ERROR"))</f>
        <v>OK</v>
      </c>
      <c r="Q22" s="3" t="str">
        <f aca="false">IF(D22="","",TRIM(IF(IFERROR(IF(AND(TRIM(D22)=D22,LEN(D22)&gt;0),0,1),1)=1,"Name; ","")&amp;IF(IFERROR(IF(AND(LEN(E22)=10,ISNUMBER(VALUE(E22))),0,1),1)=1,"Phone; ","")&amp;IF(IFERROR(IF(AND(ISNUMBER(SEARCH("@",F22)),ISNUMBER(SEARCH(".",F22))),0,1),1)=1,"Email; ","")&amp;IF(IFERROR(IF(AND(LEN(J22)=6,ISNUMBER(VALUE(J22))),0,1),1)=1,"Pincode; ","")&amp;IF(IFERROR(IF(ISNUMBER(MATCH(TRIM(I22),Lists!$A$2:$A$20,0)),0,1),1)=1,"State; ","")&amp;IF(IFERROR(IF(AND(LEN(K22)=10,VALUE(LEFT(K22,FIND("/",K22)-1))&gt;=1,VALUE(LEFT(K22,FIND("/",K22)-1))&lt;=31,VALUE(LEFT(MID(K22,FIND("/",K22)+1,10),FIND("/",MID(K22,FIND("/",K22)+1,10))-1))&gt;=1,VALUE(LEFT(MID(K22,FIND("/",K22)+1,10),FIND("/",MID(K22,FIND("/",K22)+1,10))-1))&lt;=12,VALUE(LEFT(K22,FIND("/",K22)-1))&lt;=DAY(EOMONTH(DATE(VALUE(MID(MID(K22,FIND("/",K22)+1,10),FIND("/",MID(K22,FIND("/",K22)+1,10))+1,4)),VALUE(LEFT(MID(K22,FIND("/",K22)+1,10),FIND("/",MID(K22,FIND("/",K22)+1,10))-1)),1),0))),0,1),1)=1,"Date; ","")&amp;IF(IFERROR(IF(M22&gt;=0,0,1),1)=1,"Amount; ","")&amp;IF(IFERROR(IF(ISNUMBER(MATCH(N22,Lists!$B$2:$B$7,0)),0,1),1)=1,"Payment; ","")))</f>
        <v/>
      </c>
      <c r="R22" s="3" t="str">
        <f aca="false">IF(D22="","",IF(COUNTIFS($D$2:$D$701,D22,$E$2:$E$701,E22)&gt;1,"DUPLICATE","Unique"))</f>
        <v>Unique</v>
      </c>
    </row>
    <row r="23" customFormat="false" ht="15" hidden="false" customHeight="false" outlineLevel="0" collapsed="false">
      <c r="A23" s="3" t="n">
        <v>22</v>
      </c>
      <c r="B23" s="3" t="n">
        <v>1</v>
      </c>
      <c r="C23" s="3" t="s">
        <v>261</v>
      </c>
      <c r="D23" s="3" t="s">
        <v>262</v>
      </c>
      <c r="E23" s="3" t="s">
        <v>263</v>
      </c>
      <c r="F23" s="3" t="s">
        <v>264</v>
      </c>
      <c r="G23" s="3" t="s">
        <v>265</v>
      </c>
      <c r="H23" s="3" t="s">
        <v>266</v>
      </c>
      <c r="I23" s="3" t="s">
        <v>78</v>
      </c>
      <c r="J23" s="3" t="s">
        <v>267</v>
      </c>
      <c r="K23" s="3" t="s">
        <v>268</v>
      </c>
      <c r="L23" s="3" t="s">
        <v>50</v>
      </c>
      <c r="M23" s="3" t="n">
        <v>15745.19</v>
      </c>
      <c r="N23" s="3" t="s">
        <v>52</v>
      </c>
      <c r="O23" s="3" t="n">
        <f aca="false">IFERROR(LEN(C23&amp;D23&amp;E23&amp;F23&amp;G23&amp;H23&amp;I23&amp;J23&amp;K23&amp;L23&amp;M23&amp;N23)/5,0)</f>
        <v>25.4</v>
      </c>
      <c r="P23" s="3" t="str">
        <f aca="false">IF(OR(D23="",C23=""),"",IF((IFERROR(IF(AND(TRIM(D23)=D23,LEN(D23)&gt;0),0,1),1)+IFERROR(IF(AND(LEN(E23)=10,ISNUMBER(VALUE(E23))),0,1),1)+IFERROR(IF(AND(ISNUMBER(SEARCH("@",F23)),ISNUMBER(SEARCH(".",F23))),0,1),1)+IFERROR(IF(AND(LEN(J23)=6,ISNUMBER(VALUE(J23))),0,1),1)+IFERROR(IF(ISNUMBER(MATCH(TRIM(I23),Lists!$A$2:$A$20,0)),0,1),1)+IFERROR(IF(AND(LEN(K23)=10,VALUE(LEFT(K23,FIND("/",K23)-1))&gt;=1,VALUE(LEFT(K23,FIND("/",K23)-1))&lt;=31,VALUE(LEFT(MID(K23,FIND("/",K23)+1,10),FIND("/",MID(K23,FIND("/",K23)+1,10))-1))&gt;=1,VALUE(LEFT(MID(K23,FIND("/",K23)+1,10),FIND("/",MID(K23,FIND("/",K23)+1,10))-1))&lt;=12,VALUE(LEFT(K23,FIND("/",K23)-1))&lt;=DAY(EOMONTH(DATE(VALUE(MID(MID(K23,FIND("/",K23)+1,10),FIND("/",MID(K23,FIND("/",K23)+1,10))+1,4)),VALUE(LEFT(MID(K23,FIND("/",K23)+1,10),FIND("/",MID(K23,FIND("/",K23)+1,10))-1)),1),0))),0,1),1)+IFERROR(IF(M23&gt;=0,0,1),1)+IFERROR(IF(ISNUMBER(MATCH(N23,Lists!$B$2:$B$7,0)),0,1),1))=0,"OK","ERROR"))</f>
        <v>OK</v>
      </c>
      <c r="Q23" s="3" t="str">
        <f aca="false">IF(D23="","",TRIM(IF(IFERROR(IF(AND(TRIM(D23)=D23,LEN(D23)&gt;0),0,1),1)=1,"Name; ","")&amp;IF(IFERROR(IF(AND(LEN(E23)=10,ISNUMBER(VALUE(E23))),0,1),1)=1,"Phone; ","")&amp;IF(IFERROR(IF(AND(ISNUMBER(SEARCH("@",F23)),ISNUMBER(SEARCH(".",F23))),0,1),1)=1,"Email; ","")&amp;IF(IFERROR(IF(AND(LEN(J23)=6,ISNUMBER(VALUE(J23))),0,1),1)=1,"Pincode; ","")&amp;IF(IFERROR(IF(ISNUMBER(MATCH(TRIM(I23),Lists!$A$2:$A$20,0)),0,1),1)=1,"State; ","")&amp;IF(IFERROR(IF(AND(LEN(K23)=10,VALUE(LEFT(K23,FIND("/",K23)-1))&gt;=1,VALUE(LEFT(K23,FIND("/",K23)-1))&lt;=31,VALUE(LEFT(MID(K23,FIND("/",K23)+1,10),FIND("/",MID(K23,FIND("/",K23)+1,10))-1))&gt;=1,VALUE(LEFT(MID(K23,FIND("/",K23)+1,10),FIND("/",MID(K23,FIND("/",K23)+1,10))-1))&lt;=12,VALUE(LEFT(K23,FIND("/",K23)-1))&lt;=DAY(EOMONTH(DATE(VALUE(MID(MID(K23,FIND("/",K23)+1,10),FIND("/",MID(K23,FIND("/",K23)+1,10))+1,4)),VALUE(LEFT(MID(K23,FIND("/",K23)+1,10),FIND("/",MID(K23,FIND("/",K23)+1,10))-1)),1),0))),0,1),1)=1,"Date; ","")&amp;IF(IFERROR(IF(M23&gt;=0,0,1),1)=1,"Amount; ","")&amp;IF(IFERROR(IF(ISNUMBER(MATCH(N23,Lists!$B$2:$B$7,0)),0,1),1)=1,"Payment; ","")))</f>
        <v/>
      </c>
      <c r="R23" s="3" t="str">
        <f aca="false">IF(D23="","",IF(COUNTIFS($D$2:$D$701,D23,$E$2:$E$701,E23)&gt;1,"DUPLICATE","Unique"))</f>
        <v>Unique</v>
      </c>
    </row>
    <row r="24" customFormat="false" ht="15" hidden="false" customHeight="false" outlineLevel="0" collapsed="false">
      <c r="A24" s="3" t="n">
        <v>23</v>
      </c>
      <c r="B24" s="3" t="n">
        <v>1</v>
      </c>
      <c r="C24" s="3" t="s">
        <v>269</v>
      </c>
      <c r="D24" s="3" t="s">
        <v>270</v>
      </c>
      <c r="E24" s="3" t="s">
        <v>271</v>
      </c>
      <c r="F24" s="3" t="s">
        <v>272</v>
      </c>
      <c r="G24" s="3" t="s">
        <v>273</v>
      </c>
      <c r="H24" s="3" t="s">
        <v>205</v>
      </c>
      <c r="I24" s="3" t="s">
        <v>45</v>
      </c>
      <c r="J24" s="3" t="s">
        <v>274</v>
      </c>
      <c r="K24" s="3" t="s">
        <v>275</v>
      </c>
      <c r="L24" s="3" t="s">
        <v>74</v>
      </c>
      <c r="M24" s="3" t="n">
        <v>13602.71</v>
      </c>
      <c r="N24" s="3" t="s">
        <v>49</v>
      </c>
      <c r="O24" s="3" t="n">
        <f aca="false">IFERROR(LEN(C24&amp;D24&amp;E24&amp;F24&amp;G24&amp;H24&amp;I24&amp;J24&amp;K24&amp;L24&amp;M24&amp;N24)/5,0)</f>
        <v>24.8</v>
      </c>
      <c r="P24" s="3" t="str">
        <f aca="false">IF(OR(D24="",C24=""),"",IF((IFERROR(IF(AND(TRIM(D24)=D24,LEN(D24)&gt;0),0,1),1)+IFERROR(IF(AND(LEN(E24)=10,ISNUMBER(VALUE(E24))),0,1),1)+IFERROR(IF(AND(ISNUMBER(SEARCH("@",F24)),ISNUMBER(SEARCH(".",F24))),0,1),1)+IFERROR(IF(AND(LEN(J24)=6,ISNUMBER(VALUE(J24))),0,1),1)+IFERROR(IF(ISNUMBER(MATCH(TRIM(I24),Lists!$A$2:$A$20,0)),0,1),1)+IFERROR(IF(AND(LEN(K24)=10,VALUE(LEFT(K24,FIND("/",K24)-1))&gt;=1,VALUE(LEFT(K24,FIND("/",K24)-1))&lt;=31,VALUE(LEFT(MID(K24,FIND("/",K24)+1,10),FIND("/",MID(K24,FIND("/",K24)+1,10))-1))&gt;=1,VALUE(LEFT(MID(K24,FIND("/",K24)+1,10),FIND("/",MID(K24,FIND("/",K24)+1,10))-1))&lt;=12,VALUE(LEFT(K24,FIND("/",K24)-1))&lt;=DAY(EOMONTH(DATE(VALUE(MID(MID(K24,FIND("/",K24)+1,10),FIND("/",MID(K24,FIND("/",K24)+1,10))+1,4)),VALUE(LEFT(MID(K24,FIND("/",K24)+1,10),FIND("/",MID(K24,FIND("/",K24)+1,10))-1)),1),0))),0,1),1)+IFERROR(IF(M24&gt;=0,0,1),1)+IFERROR(IF(ISNUMBER(MATCH(N24,Lists!$B$2:$B$7,0)),0,1),1))=0,"OK","ERROR"))</f>
        <v>OK</v>
      </c>
      <c r="Q24" s="3" t="str">
        <f aca="false">IF(D24="","",TRIM(IF(IFERROR(IF(AND(TRIM(D24)=D24,LEN(D24)&gt;0),0,1),1)=1,"Name; ","")&amp;IF(IFERROR(IF(AND(LEN(E24)=10,ISNUMBER(VALUE(E24))),0,1),1)=1,"Phone; ","")&amp;IF(IFERROR(IF(AND(ISNUMBER(SEARCH("@",F24)),ISNUMBER(SEARCH(".",F24))),0,1),1)=1,"Email; ","")&amp;IF(IFERROR(IF(AND(LEN(J24)=6,ISNUMBER(VALUE(J24))),0,1),1)=1,"Pincode; ","")&amp;IF(IFERROR(IF(ISNUMBER(MATCH(TRIM(I24),Lists!$A$2:$A$20,0)),0,1),1)=1,"State; ","")&amp;IF(IFERROR(IF(AND(LEN(K24)=10,VALUE(LEFT(K24,FIND("/",K24)-1))&gt;=1,VALUE(LEFT(K24,FIND("/",K24)-1))&lt;=31,VALUE(LEFT(MID(K24,FIND("/",K24)+1,10),FIND("/",MID(K24,FIND("/",K24)+1,10))-1))&gt;=1,VALUE(LEFT(MID(K24,FIND("/",K24)+1,10),FIND("/",MID(K24,FIND("/",K24)+1,10))-1))&lt;=12,VALUE(LEFT(K24,FIND("/",K24)-1))&lt;=DAY(EOMONTH(DATE(VALUE(MID(MID(K24,FIND("/",K24)+1,10),FIND("/",MID(K24,FIND("/",K24)+1,10))+1,4)),VALUE(LEFT(MID(K24,FIND("/",K24)+1,10),FIND("/",MID(K24,FIND("/",K24)+1,10))-1)),1),0))),0,1),1)=1,"Date; ","")&amp;IF(IFERROR(IF(M24&gt;=0,0,1),1)=1,"Amount; ","")&amp;IF(IFERROR(IF(ISNUMBER(MATCH(N24,Lists!$B$2:$B$7,0)),0,1),1)=1,"Payment; ","")))</f>
        <v/>
      </c>
      <c r="R24" s="3" t="str">
        <f aca="false">IF(D24="","",IF(COUNTIFS($D$2:$D$701,D24,$E$2:$E$701,E24)&gt;1,"DUPLICATE","Unique"))</f>
        <v>Unique</v>
      </c>
    </row>
    <row r="25" customFormat="false" ht="15" hidden="false" customHeight="false" outlineLevel="0" collapsed="false">
      <c r="A25" s="3" t="n">
        <v>24</v>
      </c>
      <c r="B25" s="3" t="n">
        <v>1</v>
      </c>
      <c r="C25" s="3" t="s">
        <v>276</v>
      </c>
      <c r="D25" s="3" t="s">
        <v>277</v>
      </c>
      <c r="E25" s="3" t="s">
        <v>278</v>
      </c>
      <c r="F25" s="3" t="s">
        <v>279</v>
      </c>
      <c r="G25" s="3" t="s">
        <v>280</v>
      </c>
      <c r="H25" s="3" t="s">
        <v>281</v>
      </c>
      <c r="I25" s="3" t="s">
        <v>51</v>
      </c>
      <c r="J25" s="3" t="s">
        <v>282</v>
      </c>
      <c r="K25" s="3" t="s">
        <v>283</v>
      </c>
      <c r="L25" s="3" t="s">
        <v>66</v>
      </c>
      <c r="M25" s="3" t="n">
        <v>3979.08</v>
      </c>
      <c r="N25" s="3" t="s">
        <v>49</v>
      </c>
      <c r="O25" s="3" t="n">
        <f aca="false">IFERROR(LEN(C25&amp;D25&amp;E25&amp;F25&amp;G25&amp;H25&amp;I25&amp;J25&amp;K25&amp;L25&amp;M25&amp;N25)/5,0)</f>
        <v>29</v>
      </c>
      <c r="P25" s="3" t="str">
        <f aca="false">IF(OR(D25="",C25=""),"",IF((IFERROR(IF(AND(TRIM(D25)=D25,LEN(D25)&gt;0),0,1),1)+IFERROR(IF(AND(LEN(E25)=10,ISNUMBER(VALUE(E25))),0,1),1)+IFERROR(IF(AND(ISNUMBER(SEARCH("@",F25)),ISNUMBER(SEARCH(".",F25))),0,1),1)+IFERROR(IF(AND(LEN(J25)=6,ISNUMBER(VALUE(J25))),0,1),1)+IFERROR(IF(ISNUMBER(MATCH(TRIM(I25),Lists!$A$2:$A$20,0)),0,1),1)+IFERROR(IF(AND(LEN(K25)=10,VALUE(LEFT(K25,FIND("/",K25)-1))&gt;=1,VALUE(LEFT(K25,FIND("/",K25)-1))&lt;=31,VALUE(LEFT(MID(K25,FIND("/",K25)+1,10),FIND("/",MID(K25,FIND("/",K25)+1,10))-1))&gt;=1,VALUE(LEFT(MID(K25,FIND("/",K25)+1,10),FIND("/",MID(K25,FIND("/",K25)+1,10))-1))&lt;=12,VALUE(LEFT(K25,FIND("/",K25)-1))&lt;=DAY(EOMONTH(DATE(VALUE(MID(MID(K25,FIND("/",K25)+1,10),FIND("/",MID(K25,FIND("/",K25)+1,10))+1,4)),VALUE(LEFT(MID(K25,FIND("/",K25)+1,10),FIND("/",MID(K25,FIND("/",K25)+1,10))-1)),1),0))),0,1),1)+IFERROR(IF(M25&gt;=0,0,1),1)+IFERROR(IF(ISNUMBER(MATCH(N25,Lists!$B$2:$B$7,0)),0,1),1))=0,"OK","ERROR"))</f>
        <v>OK</v>
      </c>
      <c r="Q25" s="3" t="str">
        <f aca="false">IF(D25="","",TRIM(IF(IFERROR(IF(AND(TRIM(D25)=D25,LEN(D25)&gt;0),0,1),1)=1,"Name; ","")&amp;IF(IFERROR(IF(AND(LEN(E25)=10,ISNUMBER(VALUE(E25))),0,1),1)=1,"Phone; ","")&amp;IF(IFERROR(IF(AND(ISNUMBER(SEARCH("@",F25)),ISNUMBER(SEARCH(".",F25))),0,1),1)=1,"Email; ","")&amp;IF(IFERROR(IF(AND(LEN(J25)=6,ISNUMBER(VALUE(J25))),0,1),1)=1,"Pincode; ","")&amp;IF(IFERROR(IF(ISNUMBER(MATCH(TRIM(I25),Lists!$A$2:$A$20,0)),0,1),1)=1,"State; ","")&amp;IF(IFERROR(IF(AND(LEN(K25)=10,VALUE(LEFT(K25,FIND("/",K25)-1))&gt;=1,VALUE(LEFT(K25,FIND("/",K25)-1))&lt;=31,VALUE(LEFT(MID(K25,FIND("/",K25)+1,10),FIND("/",MID(K25,FIND("/",K25)+1,10))-1))&gt;=1,VALUE(LEFT(MID(K25,FIND("/",K25)+1,10),FIND("/",MID(K25,FIND("/",K25)+1,10))-1))&lt;=12,VALUE(LEFT(K25,FIND("/",K25)-1))&lt;=DAY(EOMONTH(DATE(VALUE(MID(MID(K25,FIND("/",K25)+1,10),FIND("/",MID(K25,FIND("/",K25)+1,10))+1,4)),VALUE(LEFT(MID(K25,FIND("/",K25)+1,10),FIND("/",MID(K25,FIND("/",K25)+1,10))-1)),1),0))),0,1),1)=1,"Date; ","")&amp;IF(IFERROR(IF(M25&gt;=0,0,1),1)=1,"Amount; ","")&amp;IF(IFERROR(IF(ISNUMBER(MATCH(N25,Lists!$B$2:$B$7,0)),0,1),1)=1,"Payment; ","")))</f>
        <v/>
      </c>
      <c r="R25" s="3" t="str">
        <f aca="false">IF(D25="","",IF(COUNTIFS($D$2:$D$701,D25,$E$2:$E$701,E25)&gt;1,"DUPLICATE","Unique"))</f>
        <v>Unique</v>
      </c>
    </row>
    <row r="26" customFormat="false" ht="15" hidden="false" customHeight="false" outlineLevel="0" collapsed="false">
      <c r="A26" s="3" t="n">
        <v>25</v>
      </c>
      <c r="B26" s="3" t="n">
        <v>1</v>
      </c>
      <c r="C26" s="3" t="s">
        <v>284</v>
      </c>
      <c r="D26" s="3" t="s">
        <v>285</v>
      </c>
      <c r="E26" s="3" t="s">
        <v>286</v>
      </c>
      <c r="F26" s="3" t="s">
        <v>287</v>
      </c>
      <c r="G26" s="3" t="s">
        <v>288</v>
      </c>
      <c r="H26" s="3" t="s">
        <v>126</v>
      </c>
      <c r="I26" s="3" t="s">
        <v>45</v>
      </c>
      <c r="J26" s="3" t="s">
        <v>289</v>
      </c>
      <c r="K26" s="3" t="s">
        <v>290</v>
      </c>
      <c r="L26" s="3" t="s">
        <v>58</v>
      </c>
      <c r="M26" s="3" t="n">
        <v>1182.8</v>
      </c>
      <c r="N26" s="3" t="s">
        <v>49</v>
      </c>
      <c r="O26" s="3" t="n">
        <f aca="false">IFERROR(LEN(C26&amp;D26&amp;E26&amp;F26&amp;G26&amp;H26&amp;I26&amp;J26&amp;K26&amp;L26&amp;M26&amp;N26)/5,0)</f>
        <v>27.4</v>
      </c>
      <c r="P26" s="3" t="str">
        <f aca="false">IF(OR(D26="",C26=""),"",IF((IFERROR(IF(AND(TRIM(D26)=D26,LEN(D26)&gt;0),0,1),1)+IFERROR(IF(AND(LEN(E26)=10,ISNUMBER(VALUE(E26))),0,1),1)+IFERROR(IF(AND(ISNUMBER(SEARCH("@",F26)),ISNUMBER(SEARCH(".",F26))),0,1),1)+IFERROR(IF(AND(LEN(J26)=6,ISNUMBER(VALUE(J26))),0,1),1)+IFERROR(IF(ISNUMBER(MATCH(TRIM(I26),Lists!$A$2:$A$20,0)),0,1),1)+IFERROR(IF(AND(LEN(K26)=10,VALUE(LEFT(K26,FIND("/",K26)-1))&gt;=1,VALUE(LEFT(K26,FIND("/",K26)-1))&lt;=31,VALUE(LEFT(MID(K26,FIND("/",K26)+1,10),FIND("/",MID(K26,FIND("/",K26)+1,10))-1))&gt;=1,VALUE(LEFT(MID(K26,FIND("/",K26)+1,10),FIND("/",MID(K26,FIND("/",K26)+1,10))-1))&lt;=12,VALUE(LEFT(K26,FIND("/",K26)-1))&lt;=DAY(EOMONTH(DATE(VALUE(MID(MID(K26,FIND("/",K26)+1,10),FIND("/",MID(K26,FIND("/",K26)+1,10))+1,4)),VALUE(LEFT(MID(K26,FIND("/",K26)+1,10),FIND("/",MID(K26,FIND("/",K26)+1,10))-1)),1),0))),0,1),1)+IFERROR(IF(M26&gt;=0,0,1),1)+IFERROR(IF(ISNUMBER(MATCH(N26,Lists!$B$2:$B$7,0)),0,1),1))=0,"OK","ERROR"))</f>
        <v>OK</v>
      </c>
      <c r="Q26" s="3" t="str">
        <f aca="false">IF(D26="","",TRIM(IF(IFERROR(IF(AND(TRIM(D26)=D26,LEN(D26)&gt;0),0,1),1)=1,"Name; ","")&amp;IF(IFERROR(IF(AND(LEN(E26)=10,ISNUMBER(VALUE(E26))),0,1),1)=1,"Phone; ","")&amp;IF(IFERROR(IF(AND(ISNUMBER(SEARCH("@",F26)),ISNUMBER(SEARCH(".",F26))),0,1),1)=1,"Email; ","")&amp;IF(IFERROR(IF(AND(LEN(J26)=6,ISNUMBER(VALUE(J26))),0,1),1)=1,"Pincode; ","")&amp;IF(IFERROR(IF(ISNUMBER(MATCH(TRIM(I26),Lists!$A$2:$A$20,0)),0,1),1)=1,"State; ","")&amp;IF(IFERROR(IF(AND(LEN(K26)=10,VALUE(LEFT(K26,FIND("/",K26)-1))&gt;=1,VALUE(LEFT(K26,FIND("/",K26)-1))&lt;=31,VALUE(LEFT(MID(K26,FIND("/",K26)+1,10),FIND("/",MID(K26,FIND("/",K26)+1,10))-1))&gt;=1,VALUE(LEFT(MID(K26,FIND("/",K26)+1,10),FIND("/",MID(K26,FIND("/",K26)+1,10))-1))&lt;=12,VALUE(LEFT(K26,FIND("/",K26)-1))&lt;=DAY(EOMONTH(DATE(VALUE(MID(MID(K26,FIND("/",K26)+1,10),FIND("/",MID(K26,FIND("/",K26)+1,10))+1,4)),VALUE(LEFT(MID(K26,FIND("/",K26)+1,10),FIND("/",MID(K26,FIND("/",K26)+1,10))-1)),1),0))),0,1),1)=1,"Date; ","")&amp;IF(IFERROR(IF(M26&gt;=0,0,1),1)=1,"Amount; ","")&amp;IF(IFERROR(IF(ISNUMBER(MATCH(N26,Lists!$B$2:$B$7,0)),0,1),1)=1,"Payment; ","")))</f>
        <v/>
      </c>
      <c r="R26" s="3" t="str">
        <f aca="false">IF(D26="","",IF(COUNTIFS($D$2:$D$701,D26,$E$2:$E$701,E26)&gt;1,"DUPLICATE","Unique"))</f>
        <v>Unique</v>
      </c>
    </row>
    <row r="27" customFormat="false" ht="15" hidden="false" customHeight="false" outlineLevel="0" collapsed="false">
      <c r="A27" s="3" t="n">
        <v>26</v>
      </c>
      <c r="B27" s="3" t="n">
        <v>1</v>
      </c>
      <c r="C27" s="3" t="s">
        <v>291</v>
      </c>
      <c r="D27" s="3" t="s">
        <v>292</v>
      </c>
      <c r="E27" s="3" t="s">
        <v>293</v>
      </c>
      <c r="F27" s="3" t="s">
        <v>294</v>
      </c>
      <c r="G27" s="3" t="s">
        <v>295</v>
      </c>
      <c r="H27" s="3" t="s">
        <v>118</v>
      </c>
      <c r="I27" s="3" t="s">
        <v>69</v>
      </c>
      <c r="J27" s="3" t="s">
        <v>296</v>
      </c>
      <c r="K27" s="3" t="s">
        <v>297</v>
      </c>
      <c r="L27" s="3" t="s">
        <v>60</v>
      </c>
      <c r="M27" s="3" t="n">
        <v>657.59</v>
      </c>
      <c r="N27" s="3" t="s">
        <v>46</v>
      </c>
      <c r="O27" s="3" t="n">
        <f aca="false">IFERROR(LEN(C27&amp;D27&amp;E27&amp;F27&amp;G27&amp;H27&amp;I27&amp;J27&amp;K27&amp;L27&amp;M27&amp;N27)/5,0)</f>
        <v>30</v>
      </c>
      <c r="P27" s="3" t="str">
        <f aca="false">IF(OR(D27="",C27=""),"",IF((IFERROR(IF(AND(TRIM(D27)=D27,LEN(D27)&gt;0),0,1),1)+IFERROR(IF(AND(LEN(E27)=10,ISNUMBER(VALUE(E27))),0,1),1)+IFERROR(IF(AND(ISNUMBER(SEARCH("@",F27)),ISNUMBER(SEARCH(".",F27))),0,1),1)+IFERROR(IF(AND(LEN(J27)=6,ISNUMBER(VALUE(J27))),0,1),1)+IFERROR(IF(ISNUMBER(MATCH(TRIM(I27),Lists!$A$2:$A$20,0)),0,1),1)+IFERROR(IF(AND(LEN(K27)=10,VALUE(LEFT(K27,FIND("/",K27)-1))&gt;=1,VALUE(LEFT(K27,FIND("/",K27)-1))&lt;=31,VALUE(LEFT(MID(K27,FIND("/",K27)+1,10),FIND("/",MID(K27,FIND("/",K27)+1,10))-1))&gt;=1,VALUE(LEFT(MID(K27,FIND("/",K27)+1,10),FIND("/",MID(K27,FIND("/",K27)+1,10))-1))&lt;=12,VALUE(LEFT(K27,FIND("/",K27)-1))&lt;=DAY(EOMONTH(DATE(VALUE(MID(MID(K27,FIND("/",K27)+1,10),FIND("/",MID(K27,FIND("/",K27)+1,10))+1,4)),VALUE(LEFT(MID(K27,FIND("/",K27)+1,10),FIND("/",MID(K27,FIND("/",K27)+1,10))-1)),1),0))),0,1),1)+IFERROR(IF(M27&gt;=0,0,1),1)+IFERROR(IF(ISNUMBER(MATCH(N27,Lists!$B$2:$B$7,0)),0,1),1))=0,"OK","ERROR"))</f>
        <v>OK</v>
      </c>
      <c r="Q27" s="3" t="str">
        <f aca="false">IF(D27="","",TRIM(IF(IFERROR(IF(AND(TRIM(D27)=D27,LEN(D27)&gt;0),0,1),1)=1,"Name; ","")&amp;IF(IFERROR(IF(AND(LEN(E27)=10,ISNUMBER(VALUE(E27))),0,1),1)=1,"Phone; ","")&amp;IF(IFERROR(IF(AND(ISNUMBER(SEARCH("@",F27)),ISNUMBER(SEARCH(".",F27))),0,1),1)=1,"Email; ","")&amp;IF(IFERROR(IF(AND(LEN(J27)=6,ISNUMBER(VALUE(J27))),0,1),1)=1,"Pincode; ","")&amp;IF(IFERROR(IF(ISNUMBER(MATCH(TRIM(I27),Lists!$A$2:$A$20,0)),0,1),1)=1,"State; ","")&amp;IF(IFERROR(IF(AND(LEN(K27)=10,VALUE(LEFT(K27,FIND("/",K27)-1))&gt;=1,VALUE(LEFT(K27,FIND("/",K27)-1))&lt;=31,VALUE(LEFT(MID(K27,FIND("/",K27)+1,10),FIND("/",MID(K27,FIND("/",K27)+1,10))-1))&gt;=1,VALUE(LEFT(MID(K27,FIND("/",K27)+1,10),FIND("/",MID(K27,FIND("/",K27)+1,10))-1))&lt;=12,VALUE(LEFT(K27,FIND("/",K27)-1))&lt;=DAY(EOMONTH(DATE(VALUE(MID(MID(K27,FIND("/",K27)+1,10),FIND("/",MID(K27,FIND("/",K27)+1,10))+1,4)),VALUE(LEFT(MID(K27,FIND("/",K27)+1,10),FIND("/",MID(K27,FIND("/",K27)+1,10))-1)),1),0))),0,1),1)=1,"Date; ","")&amp;IF(IFERROR(IF(M27&gt;=0,0,1),1)=1,"Amount; ","")&amp;IF(IFERROR(IF(ISNUMBER(MATCH(N27,Lists!$B$2:$B$7,0)),0,1),1)=1,"Payment; ","")))</f>
        <v/>
      </c>
      <c r="R27" s="3" t="str">
        <f aca="false">IF(D27="","",IF(COUNTIFS($D$2:$D$701,D27,$E$2:$E$701,E27)&gt;1,"DUPLICATE","Unique"))</f>
        <v>Unique</v>
      </c>
    </row>
    <row r="28" customFormat="false" ht="15" hidden="false" customHeight="false" outlineLevel="0" collapsed="false">
      <c r="A28" s="3" t="n">
        <v>27</v>
      </c>
      <c r="B28" s="3" t="n">
        <v>1</v>
      </c>
      <c r="C28" s="3" t="s">
        <v>298</v>
      </c>
      <c r="D28" s="3" t="s">
        <v>299</v>
      </c>
      <c r="E28" s="3" t="s">
        <v>300</v>
      </c>
      <c r="F28" s="3" t="s">
        <v>301</v>
      </c>
      <c r="G28" s="3" t="s">
        <v>302</v>
      </c>
      <c r="H28" s="3" t="s">
        <v>118</v>
      </c>
      <c r="I28" s="3" t="s">
        <v>69</v>
      </c>
      <c r="J28" s="3" t="s">
        <v>303</v>
      </c>
      <c r="K28" s="3" t="s">
        <v>304</v>
      </c>
      <c r="L28" s="3" t="s">
        <v>50</v>
      </c>
      <c r="M28" s="3" t="n">
        <v>7383.25</v>
      </c>
      <c r="N28" s="3" t="s">
        <v>46</v>
      </c>
      <c r="O28" s="3" t="n">
        <f aca="false">IFERROR(LEN(C28&amp;D28&amp;E28&amp;F28&amp;G28&amp;H28&amp;I28&amp;J28&amp;K28&amp;L28&amp;M28&amp;N28)/5,0)</f>
        <v>29.8</v>
      </c>
      <c r="P28" s="3" t="str">
        <f aca="false">IF(OR(D28="",C28=""),"",IF((IFERROR(IF(AND(TRIM(D28)=D28,LEN(D28)&gt;0),0,1),1)+IFERROR(IF(AND(LEN(E28)=10,ISNUMBER(VALUE(E28))),0,1),1)+IFERROR(IF(AND(ISNUMBER(SEARCH("@",F28)),ISNUMBER(SEARCH(".",F28))),0,1),1)+IFERROR(IF(AND(LEN(J28)=6,ISNUMBER(VALUE(J28))),0,1),1)+IFERROR(IF(ISNUMBER(MATCH(TRIM(I28),Lists!$A$2:$A$20,0)),0,1),1)+IFERROR(IF(AND(LEN(K28)=10,VALUE(LEFT(K28,FIND("/",K28)-1))&gt;=1,VALUE(LEFT(K28,FIND("/",K28)-1))&lt;=31,VALUE(LEFT(MID(K28,FIND("/",K28)+1,10),FIND("/",MID(K28,FIND("/",K28)+1,10))-1))&gt;=1,VALUE(LEFT(MID(K28,FIND("/",K28)+1,10),FIND("/",MID(K28,FIND("/",K28)+1,10))-1))&lt;=12,VALUE(LEFT(K28,FIND("/",K28)-1))&lt;=DAY(EOMONTH(DATE(VALUE(MID(MID(K28,FIND("/",K28)+1,10),FIND("/",MID(K28,FIND("/",K28)+1,10))+1,4)),VALUE(LEFT(MID(K28,FIND("/",K28)+1,10),FIND("/",MID(K28,FIND("/",K28)+1,10))-1)),1),0))),0,1),1)+IFERROR(IF(M28&gt;=0,0,1),1)+IFERROR(IF(ISNUMBER(MATCH(N28,Lists!$B$2:$B$7,0)),0,1),1))=0,"OK","ERROR"))</f>
        <v>OK</v>
      </c>
      <c r="Q28" s="3" t="str">
        <f aca="false">IF(D28="","",TRIM(IF(IFERROR(IF(AND(TRIM(D28)=D28,LEN(D28)&gt;0),0,1),1)=1,"Name; ","")&amp;IF(IFERROR(IF(AND(LEN(E28)=10,ISNUMBER(VALUE(E28))),0,1),1)=1,"Phone; ","")&amp;IF(IFERROR(IF(AND(ISNUMBER(SEARCH("@",F28)),ISNUMBER(SEARCH(".",F28))),0,1),1)=1,"Email; ","")&amp;IF(IFERROR(IF(AND(LEN(J28)=6,ISNUMBER(VALUE(J28))),0,1),1)=1,"Pincode; ","")&amp;IF(IFERROR(IF(ISNUMBER(MATCH(TRIM(I28),Lists!$A$2:$A$20,0)),0,1),1)=1,"State; ","")&amp;IF(IFERROR(IF(AND(LEN(K28)=10,VALUE(LEFT(K28,FIND("/",K28)-1))&gt;=1,VALUE(LEFT(K28,FIND("/",K28)-1))&lt;=31,VALUE(LEFT(MID(K28,FIND("/",K28)+1,10),FIND("/",MID(K28,FIND("/",K28)+1,10))-1))&gt;=1,VALUE(LEFT(MID(K28,FIND("/",K28)+1,10),FIND("/",MID(K28,FIND("/",K28)+1,10))-1))&lt;=12,VALUE(LEFT(K28,FIND("/",K28)-1))&lt;=DAY(EOMONTH(DATE(VALUE(MID(MID(K28,FIND("/",K28)+1,10),FIND("/",MID(K28,FIND("/",K28)+1,10))+1,4)),VALUE(LEFT(MID(K28,FIND("/",K28)+1,10),FIND("/",MID(K28,FIND("/",K28)+1,10))-1)),1),0))),0,1),1)=1,"Date; ","")&amp;IF(IFERROR(IF(M28&gt;=0,0,1),1)=1,"Amount; ","")&amp;IF(IFERROR(IF(ISNUMBER(MATCH(N28,Lists!$B$2:$B$7,0)),0,1),1)=1,"Payment; ","")))</f>
        <v/>
      </c>
      <c r="R28" s="3" t="str">
        <f aca="false">IF(D28="","",IF(COUNTIFS($D$2:$D$701,D28,$E$2:$E$701,E28)&gt;1,"DUPLICATE","Unique"))</f>
        <v>Unique</v>
      </c>
    </row>
    <row r="29" customFormat="false" ht="15" hidden="false" customHeight="false" outlineLevel="0" collapsed="false">
      <c r="A29" s="3" t="n">
        <v>28</v>
      </c>
      <c r="B29" s="3" t="n">
        <v>1</v>
      </c>
      <c r="C29" s="3" t="s">
        <v>305</v>
      </c>
      <c r="D29" s="3" t="s">
        <v>306</v>
      </c>
      <c r="E29" s="3" t="s">
        <v>307</v>
      </c>
      <c r="F29" s="3" t="s">
        <v>308</v>
      </c>
      <c r="G29" s="3" t="s">
        <v>309</v>
      </c>
      <c r="H29" s="3" t="s">
        <v>310</v>
      </c>
      <c r="I29" s="3" t="s">
        <v>69</v>
      </c>
      <c r="J29" s="3" t="s">
        <v>311</v>
      </c>
      <c r="K29" s="3" t="s">
        <v>312</v>
      </c>
      <c r="L29" s="3" t="s">
        <v>50</v>
      </c>
      <c r="M29" s="3" t="n">
        <v>2193.29</v>
      </c>
      <c r="N29" s="3" t="s">
        <v>55</v>
      </c>
      <c r="O29" s="3" t="n">
        <f aca="false">IFERROR(LEN(C29&amp;D29&amp;E29&amp;F29&amp;G29&amp;H29&amp;I29&amp;J29&amp;K29&amp;L29&amp;M29&amp;N29)/5,0)</f>
        <v>26.8</v>
      </c>
      <c r="P29" s="3" t="str">
        <f aca="false">IF(OR(D29="",C29=""),"",IF((IFERROR(IF(AND(TRIM(D29)=D29,LEN(D29)&gt;0),0,1),1)+IFERROR(IF(AND(LEN(E29)=10,ISNUMBER(VALUE(E29))),0,1),1)+IFERROR(IF(AND(ISNUMBER(SEARCH("@",F29)),ISNUMBER(SEARCH(".",F29))),0,1),1)+IFERROR(IF(AND(LEN(J29)=6,ISNUMBER(VALUE(J29))),0,1),1)+IFERROR(IF(ISNUMBER(MATCH(TRIM(I29),Lists!$A$2:$A$20,0)),0,1),1)+IFERROR(IF(AND(LEN(K29)=10,VALUE(LEFT(K29,FIND("/",K29)-1))&gt;=1,VALUE(LEFT(K29,FIND("/",K29)-1))&lt;=31,VALUE(LEFT(MID(K29,FIND("/",K29)+1,10),FIND("/",MID(K29,FIND("/",K29)+1,10))-1))&gt;=1,VALUE(LEFT(MID(K29,FIND("/",K29)+1,10),FIND("/",MID(K29,FIND("/",K29)+1,10))-1))&lt;=12,VALUE(LEFT(K29,FIND("/",K29)-1))&lt;=DAY(EOMONTH(DATE(VALUE(MID(MID(K29,FIND("/",K29)+1,10),FIND("/",MID(K29,FIND("/",K29)+1,10))+1,4)),VALUE(LEFT(MID(K29,FIND("/",K29)+1,10),FIND("/",MID(K29,FIND("/",K29)+1,10))-1)),1),0))),0,1),1)+IFERROR(IF(M29&gt;=0,0,1),1)+IFERROR(IF(ISNUMBER(MATCH(N29,Lists!$B$2:$B$7,0)),0,1),1))=0,"OK","ERROR"))</f>
        <v>OK</v>
      </c>
      <c r="Q29" s="3" t="str">
        <f aca="false">IF(D29="","",TRIM(IF(IFERROR(IF(AND(TRIM(D29)=D29,LEN(D29)&gt;0),0,1),1)=1,"Name; ","")&amp;IF(IFERROR(IF(AND(LEN(E29)=10,ISNUMBER(VALUE(E29))),0,1),1)=1,"Phone; ","")&amp;IF(IFERROR(IF(AND(ISNUMBER(SEARCH("@",F29)),ISNUMBER(SEARCH(".",F29))),0,1),1)=1,"Email; ","")&amp;IF(IFERROR(IF(AND(LEN(J29)=6,ISNUMBER(VALUE(J29))),0,1),1)=1,"Pincode; ","")&amp;IF(IFERROR(IF(ISNUMBER(MATCH(TRIM(I29),Lists!$A$2:$A$20,0)),0,1),1)=1,"State; ","")&amp;IF(IFERROR(IF(AND(LEN(K29)=10,VALUE(LEFT(K29,FIND("/",K29)-1))&gt;=1,VALUE(LEFT(K29,FIND("/",K29)-1))&lt;=31,VALUE(LEFT(MID(K29,FIND("/",K29)+1,10),FIND("/",MID(K29,FIND("/",K29)+1,10))-1))&gt;=1,VALUE(LEFT(MID(K29,FIND("/",K29)+1,10),FIND("/",MID(K29,FIND("/",K29)+1,10))-1))&lt;=12,VALUE(LEFT(K29,FIND("/",K29)-1))&lt;=DAY(EOMONTH(DATE(VALUE(MID(MID(K29,FIND("/",K29)+1,10),FIND("/",MID(K29,FIND("/",K29)+1,10))+1,4)),VALUE(LEFT(MID(K29,FIND("/",K29)+1,10),FIND("/",MID(K29,FIND("/",K29)+1,10))-1)),1),0))),0,1),1)=1,"Date; ","")&amp;IF(IFERROR(IF(M29&gt;=0,0,1),1)=1,"Amount; ","")&amp;IF(IFERROR(IF(ISNUMBER(MATCH(N29,Lists!$B$2:$B$7,0)),0,1),1)=1,"Payment; ","")))</f>
        <v/>
      </c>
      <c r="R29" s="3" t="str">
        <f aca="false">IF(D29="","",IF(COUNTIFS($D$2:$D$701,D29,$E$2:$E$701,E29)&gt;1,"DUPLICATE","Unique"))</f>
        <v>Unique</v>
      </c>
    </row>
    <row r="30" customFormat="false" ht="15" hidden="false" customHeight="false" outlineLevel="0" collapsed="false">
      <c r="A30" s="3" t="n">
        <v>29</v>
      </c>
      <c r="B30" s="3" t="n">
        <v>1</v>
      </c>
      <c r="C30" s="3" t="s">
        <v>313</v>
      </c>
      <c r="D30" s="3" t="s">
        <v>314</v>
      </c>
      <c r="E30" s="3" t="s">
        <v>315</v>
      </c>
      <c r="F30" s="3" t="s">
        <v>316</v>
      </c>
      <c r="G30" s="3" t="s">
        <v>317</v>
      </c>
      <c r="H30" s="3" t="s">
        <v>318</v>
      </c>
      <c r="I30" s="3" t="s">
        <v>48</v>
      </c>
      <c r="J30" s="3" t="s">
        <v>319</v>
      </c>
      <c r="K30" s="3" t="s">
        <v>320</v>
      </c>
      <c r="L30" s="3" t="s">
        <v>64</v>
      </c>
      <c r="M30" s="3" t="n">
        <v>11110.71</v>
      </c>
      <c r="N30" s="3" t="s">
        <v>55</v>
      </c>
      <c r="O30" s="3" t="n">
        <f aca="false">IFERROR(LEN(C30&amp;D30&amp;E30&amp;F30&amp;G30&amp;H30&amp;I30&amp;J30&amp;K30&amp;L30&amp;M30&amp;N30)/5,0)</f>
        <v>27</v>
      </c>
      <c r="P30" s="3" t="str">
        <f aca="false">IF(OR(D30="",C30=""),"",IF((IFERROR(IF(AND(TRIM(D30)=D30,LEN(D30)&gt;0),0,1),1)+IFERROR(IF(AND(LEN(E30)=10,ISNUMBER(VALUE(E30))),0,1),1)+IFERROR(IF(AND(ISNUMBER(SEARCH("@",F30)),ISNUMBER(SEARCH(".",F30))),0,1),1)+IFERROR(IF(AND(LEN(J30)=6,ISNUMBER(VALUE(J30))),0,1),1)+IFERROR(IF(ISNUMBER(MATCH(TRIM(I30),Lists!$A$2:$A$20,0)),0,1),1)+IFERROR(IF(AND(LEN(K30)=10,VALUE(LEFT(K30,FIND("/",K30)-1))&gt;=1,VALUE(LEFT(K30,FIND("/",K30)-1))&lt;=31,VALUE(LEFT(MID(K30,FIND("/",K30)+1,10),FIND("/",MID(K30,FIND("/",K30)+1,10))-1))&gt;=1,VALUE(LEFT(MID(K30,FIND("/",K30)+1,10),FIND("/",MID(K30,FIND("/",K30)+1,10))-1))&lt;=12,VALUE(LEFT(K30,FIND("/",K30)-1))&lt;=DAY(EOMONTH(DATE(VALUE(MID(MID(K30,FIND("/",K30)+1,10),FIND("/",MID(K30,FIND("/",K30)+1,10))+1,4)),VALUE(LEFT(MID(K30,FIND("/",K30)+1,10),FIND("/",MID(K30,FIND("/",K30)+1,10))-1)),1),0))),0,1),1)+IFERROR(IF(M30&gt;=0,0,1),1)+IFERROR(IF(ISNUMBER(MATCH(N30,Lists!$B$2:$B$7,0)),0,1),1))=0,"OK","ERROR"))</f>
        <v>OK</v>
      </c>
      <c r="Q30" s="3" t="str">
        <f aca="false">IF(D30="","",TRIM(IF(IFERROR(IF(AND(TRIM(D30)=D30,LEN(D30)&gt;0),0,1),1)=1,"Name; ","")&amp;IF(IFERROR(IF(AND(LEN(E30)=10,ISNUMBER(VALUE(E30))),0,1),1)=1,"Phone; ","")&amp;IF(IFERROR(IF(AND(ISNUMBER(SEARCH("@",F30)),ISNUMBER(SEARCH(".",F30))),0,1),1)=1,"Email; ","")&amp;IF(IFERROR(IF(AND(LEN(J30)=6,ISNUMBER(VALUE(J30))),0,1),1)=1,"Pincode; ","")&amp;IF(IFERROR(IF(ISNUMBER(MATCH(TRIM(I30),Lists!$A$2:$A$20,0)),0,1),1)=1,"State; ","")&amp;IF(IFERROR(IF(AND(LEN(K30)=10,VALUE(LEFT(K30,FIND("/",K30)-1))&gt;=1,VALUE(LEFT(K30,FIND("/",K30)-1))&lt;=31,VALUE(LEFT(MID(K30,FIND("/",K30)+1,10),FIND("/",MID(K30,FIND("/",K30)+1,10))-1))&gt;=1,VALUE(LEFT(MID(K30,FIND("/",K30)+1,10),FIND("/",MID(K30,FIND("/",K30)+1,10))-1))&lt;=12,VALUE(LEFT(K30,FIND("/",K30)-1))&lt;=DAY(EOMONTH(DATE(VALUE(MID(MID(K30,FIND("/",K30)+1,10),FIND("/",MID(K30,FIND("/",K30)+1,10))+1,4)),VALUE(LEFT(MID(K30,FIND("/",K30)+1,10),FIND("/",MID(K30,FIND("/",K30)+1,10))-1)),1),0))),0,1),1)=1,"Date; ","")&amp;IF(IFERROR(IF(M30&gt;=0,0,1),1)=1,"Amount; ","")&amp;IF(IFERROR(IF(ISNUMBER(MATCH(N30,Lists!$B$2:$B$7,0)),0,1),1)=1,"Payment; ","")))</f>
        <v/>
      </c>
      <c r="R30" s="3" t="str">
        <f aca="false">IF(D30="","",IF(COUNTIFS($D$2:$D$701,D30,$E$2:$E$701,E30)&gt;1,"DUPLICATE","Unique"))</f>
        <v>Unique</v>
      </c>
    </row>
    <row r="31" customFormat="false" ht="15" hidden="false" customHeight="false" outlineLevel="0" collapsed="false">
      <c r="A31" s="3" t="n">
        <v>30</v>
      </c>
      <c r="B31" s="3" t="n">
        <v>1</v>
      </c>
      <c r="C31" s="3" t="s">
        <v>321</v>
      </c>
      <c r="D31" s="3" t="s">
        <v>322</v>
      </c>
      <c r="E31" s="3" t="s">
        <v>323</v>
      </c>
      <c r="F31" s="3" t="s">
        <v>324</v>
      </c>
      <c r="G31" s="3" t="s">
        <v>325</v>
      </c>
      <c r="H31" s="3" t="s">
        <v>157</v>
      </c>
      <c r="I31" s="3" t="s">
        <v>59</v>
      </c>
      <c r="J31" s="3" t="s">
        <v>326</v>
      </c>
      <c r="K31" s="3" t="s">
        <v>327</v>
      </c>
      <c r="L31" s="3" t="s">
        <v>66</v>
      </c>
      <c r="M31" s="3" t="n">
        <v>14285.89</v>
      </c>
      <c r="N31" s="3" t="s">
        <v>49</v>
      </c>
      <c r="O31" s="3" t="n">
        <f aca="false">IFERROR(LEN(C31&amp;D31&amp;E31&amp;F31&amp;G31&amp;H31&amp;I31&amp;J31&amp;K31&amp;L31&amp;M31&amp;N31)/5,0)</f>
        <v>29.6</v>
      </c>
      <c r="P31" s="3" t="str">
        <f aca="false">IF(OR(D31="",C31=""),"",IF((IFERROR(IF(AND(TRIM(D31)=D31,LEN(D31)&gt;0),0,1),1)+IFERROR(IF(AND(LEN(E31)=10,ISNUMBER(VALUE(E31))),0,1),1)+IFERROR(IF(AND(ISNUMBER(SEARCH("@",F31)),ISNUMBER(SEARCH(".",F31))),0,1),1)+IFERROR(IF(AND(LEN(J31)=6,ISNUMBER(VALUE(J31))),0,1),1)+IFERROR(IF(ISNUMBER(MATCH(TRIM(I31),Lists!$A$2:$A$20,0)),0,1),1)+IFERROR(IF(AND(LEN(K31)=10,VALUE(LEFT(K31,FIND("/",K31)-1))&gt;=1,VALUE(LEFT(K31,FIND("/",K31)-1))&lt;=31,VALUE(LEFT(MID(K31,FIND("/",K31)+1,10),FIND("/",MID(K31,FIND("/",K31)+1,10))-1))&gt;=1,VALUE(LEFT(MID(K31,FIND("/",K31)+1,10),FIND("/",MID(K31,FIND("/",K31)+1,10))-1))&lt;=12,VALUE(LEFT(K31,FIND("/",K31)-1))&lt;=DAY(EOMONTH(DATE(VALUE(MID(MID(K31,FIND("/",K31)+1,10),FIND("/",MID(K31,FIND("/",K31)+1,10))+1,4)),VALUE(LEFT(MID(K31,FIND("/",K31)+1,10),FIND("/",MID(K31,FIND("/",K31)+1,10))-1)),1),0))),0,1),1)+IFERROR(IF(M31&gt;=0,0,1),1)+IFERROR(IF(ISNUMBER(MATCH(N31,Lists!$B$2:$B$7,0)),0,1),1))=0,"OK","ERROR"))</f>
        <v>OK</v>
      </c>
      <c r="Q31" s="3" t="str">
        <f aca="false">IF(D31="","",TRIM(IF(IFERROR(IF(AND(TRIM(D31)=D31,LEN(D31)&gt;0),0,1),1)=1,"Name; ","")&amp;IF(IFERROR(IF(AND(LEN(E31)=10,ISNUMBER(VALUE(E31))),0,1),1)=1,"Phone; ","")&amp;IF(IFERROR(IF(AND(ISNUMBER(SEARCH("@",F31)),ISNUMBER(SEARCH(".",F31))),0,1),1)=1,"Email; ","")&amp;IF(IFERROR(IF(AND(LEN(J31)=6,ISNUMBER(VALUE(J31))),0,1),1)=1,"Pincode; ","")&amp;IF(IFERROR(IF(ISNUMBER(MATCH(TRIM(I31),Lists!$A$2:$A$20,0)),0,1),1)=1,"State; ","")&amp;IF(IFERROR(IF(AND(LEN(K31)=10,VALUE(LEFT(K31,FIND("/",K31)-1))&gt;=1,VALUE(LEFT(K31,FIND("/",K31)-1))&lt;=31,VALUE(LEFT(MID(K31,FIND("/",K31)+1,10),FIND("/",MID(K31,FIND("/",K31)+1,10))-1))&gt;=1,VALUE(LEFT(MID(K31,FIND("/",K31)+1,10),FIND("/",MID(K31,FIND("/",K31)+1,10))-1))&lt;=12,VALUE(LEFT(K31,FIND("/",K31)-1))&lt;=DAY(EOMONTH(DATE(VALUE(MID(MID(K31,FIND("/",K31)+1,10),FIND("/",MID(K31,FIND("/",K31)+1,10))+1,4)),VALUE(LEFT(MID(K31,FIND("/",K31)+1,10),FIND("/",MID(K31,FIND("/",K31)+1,10))-1)),1),0))),0,1),1)=1,"Date; ","")&amp;IF(IFERROR(IF(M31&gt;=0,0,1),1)=1,"Amount; ","")&amp;IF(IFERROR(IF(ISNUMBER(MATCH(N31,Lists!$B$2:$B$7,0)),0,1),1)=1,"Payment; ","")))</f>
        <v/>
      </c>
      <c r="R31" s="3" t="str">
        <f aca="false">IF(D31="","",IF(COUNTIFS($D$2:$D$701,D31,$E$2:$E$701,E31)&gt;1,"DUPLICATE","Unique"))</f>
        <v>Unique</v>
      </c>
    </row>
    <row r="32" customFormat="false" ht="15" hidden="false" customHeight="false" outlineLevel="0" collapsed="false">
      <c r="A32" s="3" t="n">
        <v>31</v>
      </c>
      <c r="B32" s="3" t="n">
        <v>1</v>
      </c>
      <c r="C32" s="3" t="s">
        <v>328</v>
      </c>
      <c r="D32" s="3" t="s">
        <v>329</v>
      </c>
      <c r="E32" s="3" t="s">
        <v>330</v>
      </c>
      <c r="F32" s="3" t="s">
        <v>331</v>
      </c>
      <c r="G32" s="3" t="s">
        <v>332</v>
      </c>
      <c r="H32" s="3" t="s">
        <v>281</v>
      </c>
      <c r="I32" s="3" t="s">
        <v>51</v>
      </c>
      <c r="J32" s="3" t="s">
        <v>333</v>
      </c>
      <c r="K32" s="3" t="s">
        <v>334</v>
      </c>
      <c r="L32" s="3" t="s">
        <v>66</v>
      </c>
      <c r="M32" s="3" t="n">
        <v>6187.03</v>
      </c>
      <c r="N32" s="3" t="s">
        <v>40</v>
      </c>
      <c r="O32" s="3" t="n">
        <f aca="false">IFERROR(LEN(C32&amp;D32&amp;E32&amp;F32&amp;G32&amp;H32&amp;I32&amp;J32&amp;K32&amp;L32&amp;M32&amp;N32)/5,0)</f>
        <v>27.8</v>
      </c>
      <c r="P32" s="3" t="str">
        <f aca="false">IF(OR(D32="",C32=""),"",IF((IFERROR(IF(AND(TRIM(D32)=D32,LEN(D32)&gt;0),0,1),1)+IFERROR(IF(AND(LEN(E32)=10,ISNUMBER(VALUE(E32))),0,1),1)+IFERROR(IF(AND(ISNUMBER(SEARCH("@",F32)),ISNUMBER(SEARCH(".",F32))),0,1),1)+IFERROR(IF(AND(LEN(J32)=6,ISNUMBER(VALUE(J32))),0,1),1)+IFERROR(IF(ISNUMBER(MATCH(TRIM(I32),Lists!$A$2:$A$20,0)),0,1),1)+IFERROR(IF(AND(LEN(K32)=10,VALUE(LEFT(K32,FIND("/",K32)-1))&gt;=1,VALUE(LEFT(K32,FIND("/",K32)-1))&lt;=31,VALUE(LEFT(MID(K32,FIND("/",K32)+1,10),FIND("/",MID(K32,FIND("/",K32)+1,10))-1))&gt;=1,VALUE(LEFT(MID(K32,FIND("/",K32)+1,10),FIND("/",MID(K32,FIND("/",K32)+1,10))-1))&lt;=12,VALUE(LEFT(K32,FIND("/",K32)-1))&lt;=DAY(EOMONTH(DATE(VALUE(MID(MID(K32,FIND("/",K32)+1,10),FIND("/",MID(K32,FIND("/",K32)+1,10))+1,4)),VALUE(LEFT(MID(K32,FIND("/",K32)+1,10),FIND("/",MID(K32,FIND("/",K32)+1,10))-1)),1),0))),0,1),1)+IFERROR(IF(M32&gt;=0,0,1),1)+IFERROR(IF(ISNUMBER(MATCH(N32,Lists!$B$2:$B$7,0)),0,1),1))=0,"OK","ERROR"))</f>
        <v>OK</v>
      </c>
      <c r="Q32" s="3" t="str">
        <f aca="false">IF(D32="","",TRIM(IF(IFERROR(IF(AND(TRIM(D32)=D32,LEN(D32)&gt;0),0,1),1)=1,"Name; ","")&amp;IF(IFERROR(IF(AND(LEN(E32)=10,ISNUMBER(VALUE(E32))),0,1),1)=1,"Phone; ","")&amp;IF(IFERROR(IF(AND(ISNUMBER(SEARCH("@",F32)),ISNUMBER(SEARCH(".",F32))),0,1),1)=1,"Email; ","")&amp;IF(IFERROR(IF(AND(LEN(J32)=6,ISNUMBER(VALUE(J32))),0,1),1)=1,"Pincode; ","")&amp;IF(IFERROR(IF(ISNUMBER(MATCH(TRIM(I32),Lists!$A$2:$A$20,0)),0,1),1)=1,"State; ","")&amp;IF(IFERROR(IF(AND(LEN(K32)=10,VALUE(LEFT(K32,FIND("/",K32)-1))&gt;=1,VALUE(LEFT(K32,FIND("/",K32)-1))&lt;=31,VALUE(LEFT(MID(K32,FIND("/",K32)+1,10),FIND("/",MID(K32,FIND("/",K32)+1,10))-1))&gt;=1,VALUE(LEFT(MID(K32,FIND("/",K32)+1,10),FIND("/",MID(K32,FIND("/",K32)+1,10))-1))&lt;=12,VALUE(LEFT(K32,FIND("/",K32)-1))&lt;=DAY(EOMONTH(DATE(VALUE(MID(MID(K32,FIND("/",K32)+1,10),FIND("/",MID(K32,FIND("/",K32)+1,10))+1,4)),VALUE(LEFT(MID(K32,FIND("/",K32)+1,10),FIND("/",MID(K32,FIND("/",K32)+1,10))-1)),1),0))),0,1),1)=1,"Date; ","")&amp;IF(IFERROR(IF(M32&gt;=0,0,1),1)=1,"Amount; ","")&amp;IF(IFERROR(IF(ISNUMBER(MATCH(N32,Lists!$B$2:$B$7,0)),0,1),1)=1,"Payment; ","")))</f>
        <v/>
      </c>
      <c r="R32" s="3" t="str">
        <f aca="false">IF(D32="","",IF(COUNTIFS($D$2:$D$701,D32,$E$2:$E$701,E32)&gt;1,"DUPLICATE","Unique"))</f>
        <v>Unique</v>
      </c>
    </row>
    <row r="33" customFormat="false" ht="15" hidden="false" customHeight="false" outlineLevel="0" collapsed="false">
      <c r="A33" s="3" t="n">
        <v>32</v>
      </c>
      <c r="B33" s="3" t="n">
        <v>1</v>
      </c>
      <c r="C33" s="3" t="s">
        <v>335</v>
      </c>
      <c r="D33" s="3" t="s">
        <v>336</v>
      </c>
      <c r="E33" s="3" t="s">
        <v>337</v>
      </c>
      <c r="F33" s="3" t="s">
        <v>338</v>
      </c>
      <c r="G33" s="3" t="s">
        <v>339</v>
      </c>
      <c r="H33" s="3" t="s">
        <v>340</v>
      </c>
      <c r="I33" s="3" t="s">
        <v>75</v>
      </c>
      <c r="J33" s="3" t="s">
        <v>341</v>
      </c>
      <c r="K33" s="3" t="s">
        <v>342</v>
      </c>
      <c r="L33" s="3" t="s">
        <v>66</v>
      </c>
      <c r="M33" s="3" t="n">
        <v>11446.11</v>
      </c>
      <c r="N33" s="3" t="s">
        <v>49</v>
      </c>
      <c r="O33" s="3" t="n">
        <f aca="false">IFERROR(LEN(C33&amp;D33&amp;E33&amp;F33&amp;G33&amp;H33&amp;I33&amp;J33&amp;K33&amp;L33&amp;M33&amp;N33)/5,0)</f>
        <v>30.6</v>
      </c>
      <c r="P33" s="3" t="str">
        <f aca="false">IF(OR(D33="",C33=""),"",IF((IFERROR(IF(AND(TRIM(D33)=D33,LEN(D33)&gt;0),0,1),1)+IFERROR(IF(AND(LEN(E33)=10,ISNUMBER(VALUE(E33))),0,1),1)+IFERROR(IF(AND(ISNUMBER(SEARCH("@",F33)),ISNUMBER(SEARCH(".",F33))),0,1),1)+IFERROR(IF(AND(LEN(J33)=6,ISNUMBER(VALUE(J33))),0,1),1)+IFERROR(IF(ISNUMBER(MATCH(TRIM(I33),Lists!$A$2:$A$20,0)),0,1),1)+IFERROR(IF(AND(LEN(K33)=10,VALUE(LEFT(K33,FIND("/",K33)-1))&gt;=1,VALUE(LEFT(K33,FIND("/",K33)-1))&lt;=31,VALUE(LEFT(MID(K33,FIND("/",K33)+1,10),FIND("/",MID(K33,FIND("/",K33)+1,10))-1))&gt;=1,VALUE(LEFT(MID(K33,FIND("/",K33)+1,10),FIND("/",MID(K33,FIND("/",K33)+1,10))-1))&lt;=12,VALUE(LEFT(K33,FIND("/",K33)-1))&lt;=DAY(EOMONTH(DATE(VALUE(MID(MID(K33,FIND("/",K33)+1,10),FIND("/",MID(K33,FIND("/",K33)+1,10))+1,4)),VALUE(LEFT(MID(K33,FIND("/",K33)+1,10),FIND("/",MID(K33,FIND("/",K33)+1,10))-1)),1),0))),0,1),1)+IFERROR(IF(M33&gt;=0,0,1),1)+IFERROR(IF(ISNUMBER(MATCH(N33,Lists!$B$2:$B$7,0)),0,1),1))=0,"OK","ERROR"))</f>
        <v>OK</v>
      </c>
      <c r="Q33" s="3" t="str">
        <f aca="false">IF(D33="","",TRIM(IF(IFERROR(IF(AND(TRIM(D33)=D33,LEN(D33)&gt;0),0,1),1)=1,"Name; ","")&amp;IF(IFERROR(IF(AND(LEN(E33)=10,ISNUMBER(VALUE(E33))),0,1),1)=1,"Phone; ","")&amp;IF(IFERROR(IF(AND(ISNUMBER(SEARCH("@",F33)),ISNUMBER(SEARCH(".",F33))),0,1),1)=1,"Email; ","")&amp;IF(IFERROR(IF(AND(LEN(J33)=6,ISNUMBER(VALUE(J33))),0,1),1)=1,"Pincode; ","")&amp;IF(IFERROR(IF(ISNUMBER(MATCH(TRIM(I33),Lists!$A$2:$A$20,0)),0,1),1)=1,"State; ","")&amp;IF(IFERROR(IF(AND(LEN(K33)=10,VALUE(LEFT(K33,FIND("/",K33)-1))&gt;=1,VALUE(LEFT(K33,FIND("/",K33)-1))&lt;=31,VALUE(LEFT(MID(K33,FIND("/",K33)+1,10),FIND("/",MID(K33,FIND("/",K33)+1,10))-1))&gt;=1,VALUE(LEFT(MID(K33,FIND("/",K33)+1,10),FIND("/",MID(K33,FIND("/",K33)+1,10))-1))&lt;=12,VALUE(LEFT(K33,FIND("/",K33)-1))&lt;=DAY(EOMONTH(DATE(VALUE(MID(MID(K33,FIND("/",K33)+1,10),FIND("/",MID(K33,FIND("/",K33)+1,10))+1,4)),VALUE(LEFT(MID(K33,FIND("/",K33)+1,10),FIND("/",MID(K33,FIND("/",K33)+1,10))-1)),1),0))),0,1),1)=1,"Date; ","")&amp;IF(IFERROR(IF(M33&gt;=0,0,1),1)=1,"Amount; ","")&amp;IF(IFERROR(IF(ISNUMBER(MATCH(N33,Lists!$B$2:$B$7,0)),0,1),1)=1,"Payment; ","")))</f>
        <v/>
      </c>
      <c r="R33" s="3" t="str">
        <f aca="false">IF(D33="","",IF(COUNTIFS($D$2:$D$701,D33,$E$2:$E$701,E33)&gt;1,"DUPLICATE","Unique"))</f>
        <v>Unique</v>
      </c>
    </row>
    <row r="34" customFormat="false" ht="15" hidden="false" customHeight="false" outlineLevel="0" collapsed="false">
      <c r="A34" s="3" t="n">
        <v>33</v>
      </c>
      <c r="B34" s="3" t="n">
        <v>1</v>
      </c>
      <c r="C34" s="3" t="s">
        <v>343</v>
      </c>
      <c r="D34" s="3" t="s">
        <v>344</v>
      </c>
      <c r="E34" s="3" t="s">
        <v>345</v>
      </c>
      <c r="F34" s="3" t="s">
        <v>346</v>
      </c>
      <c r="G34" s="3" t="s">
        <v>347</v>
      </c>
      <c r="H34" s="3" t="s">
        <v>348</v>
      </c>
      <c r="I34" s="3" t="s">
        <v>39</v>
      </c>
      <c r="J34" s="3" t="s">
        <v>349</v>
      </c>
      <c r="K34" s="3" t="s">
        <v>350</v>
      </c>
      <c r="L34" s="3" t="s">
        <v>50</v>
      </c>
      <c r="M34" s="3" t="n">
        <v>2105.36</v>
      </c>
      <c r="N34" s="3" t="s">
        <v>43</v>
      </c>
      <c r="O34" s="3" t="n">
        <f aca="false">IFERROR(LEN(C34&amp;D34&amp;E34&amp;F34&amp;G34&amp;H34&amp;I34&amp;J34&amp;K34&amp;L34&amp;M34&amp;N34)/5,0)</f>
        <v>26.6</v>
      </c>
      <c r="P34" s="3" t="str">
        <f aca="false">IF(OR(D34="",C34=""),"",IF((IFERROR(IF(AND(TRIM(D34)=D34,LEN(D34)&gt;0),0,1),1)+IFERROR(IF(AND(LEN(E34)=10,ISNUMBER(VALUE(E34))),0,1),1)+IFERROR(IF(AND(ISNUMBER(SEARCH("@",F34)),ISNUMBER(SEARCH(".",F34))),0,1),1)+IFERROR(IF(AND(LEN(J34)=6,ISNUMBER(VALUE(J34))),0,1),1)+IFERROR(IF(ISNUMBER(MATCH(TRIM(I34),Lists!$A$2:$A$20,0)),0,1),1)+IFERROR(IF(AND(LEN(K34)=10,VALUE(LEFT(K34,FIND("/",K34)-1))&gt;=1,VALUE(LEFT(K34,FIND("/",K34)-1))&lt;=31,VALUE(LEFT(MID(K34,FIND("/",K34)+1,10),FIND("/",MID(K34,FIND("/",K34)+1,10))-1))&gt;=1,VALUE(LEFT(MID(K34,FIND("/",K34)+1,10),FIND("/",MID(K34,FIND("/",K34)+1,10))-1))&lt;=12,VALUE(LEFT(K34,FIND("/",K34)-1))&lt;=DAY(EOMONTH(DATE(VALUE(MID(MID(K34,FIND("/",K34)+1,10),FIND("/",MID(K34,FIND("/",K34)+1,10))+1,4)),VALUE(LEFT(MID(K34,FIND("/",K34)+1,10),FIND("/",MID(K34,FIND("/",K34)+1,10))-1)),1),0))),0,1),1)+IFERROR(IF(M34&gt;=0,0,1),1)+IFERROR(IF(ISNUMBER(MATCH(N34,Lists!$B$2:$B$7,0)),0,1),1))=0,"OK","ERROR"))</f>
        <v>OK</v>
      </c>
      <c r="Q34" s="3" t="str">
        <f aca="false">IF(D34="","",TRIM(IF(IFERROR(IF(AND(TRIM(D34)=D34,LEN(D34)&gt;0),0,1),1)=1,"Name; ","")&amp;IF(IFERROR(IF(AND(LEN(E34)=10,ISNUMBER(VALUE(E34))),0,1),1)=1,"Phone; ","")&amp;IF(IFERROR(IF(AND(ISNUMBER(SEARCH("@",F34)),ISNUMBER(SEARCH(".",F34))),0,1),1)=1,"Email; ","")&amp;IF(IFERROR(IF(AND(LEN(J34)=6,ISNUMBER(VALUE(J34))),0,1),1)=1,"Pincode; ","")&amp;IF(IFERROR(IF(ISNUMBER(MATCH(TRIM(I34),Lists!$A$2:$A$20,0)),0,1),1)=1,"State; ","")&amp;IF(IFERROR(IF(AND(LEN(K34)=10,VALUE(LEFT(K34,FIND("/",K34)-1))&gt;=1,VALUE(LEFT(K34,FIND("/",K34)-1))&lt;=31,VALUE(LEFT(MID(K34,FIND("/",K34)+1,10),FIND("/",MID(K34,FIND("/",K34)+1,10))-1))&gt;=1,VALUE(LEFT(MID(K34,FIND("/",K34)+1,10),FIND("/",MID(K34,FIND("/",K34)+1,10))-1))&lt;=12,VALUE(LEFT(K34,FIND("/",K34)-1))&lt;=DAY(EOMONTH(DATE(VALUE(MID(MID(K34,FIND("/",K34)+1,10),FIND("/",MID(K34,FIND("/",K34)+1,10))+1,4)),VALUE(LEFT(MID(K34,FIND("/",K34)+1,10),FIND("/",MID(K34,FIND("/",K34)+1,10))-1)),1),0))),0,1),1)=1,"Date; ","")&amp;IF(IFERROR(IF(M34&gt;=0,0,1),1)=1,"Amount; ","")&amp;IF(IFERROR(IF(ISNUMBER(MATCH(N34,Lists!$B$2:$B$7,0)),0,1),1)=1,"Payment; ","")))</f>
        <v/>
      </c>
      <c r="R34" s="3" t="str">
        <f aca="false">IF(D34="","",IF(COUNTIFS($D$2:$D$701,D34,$E$2:$E$701,E34)&gt;1,"DUPLICATE","Unique"))</f>
        <v>Unique</v>
      </c>
    </row>
    <row r="35" customFormat="false" ht="15" hidden="false" customHeight="false" outlineLevel="0" collapsed="false">
      <c r="A35" s="3" t="n">
        <v>34</v>
      </c>
      <c r="B35" s="3" t="n">
        <v>1</v>
      </c>
      <c r="C35" s="3" t="s">
        <v>351</v>
      </c>
      <c r="D35" s="3" t="s">
        <v>352</v>
      </c>
      <c r="E35" s="3" t="s">
        <v>353</v>
      </c>
      <c r="F35" s="3" t="s">
        <v>354</v>
      </c>
      <c r="G35" s="3" t="s">
        <v>355</v>
      </c>
      <c r="H35" s="3" t="s">
        <v>134</v>
      </c>
      <c r="I35" s="3" t="s">
        <v>65</v>
      </c>
      <c r="J35" s="3" t="s">
        <v>356</v>
      </c>
      <c r="K35" s="3" t="s">
        <v>357</v>
      </c>
      <c r="L35" s="3" t="s">
        <v>47</v>
      </c>
      <c r="M35" s="3" t="n">
        <v>4533.12</v>
      </c>
      <c r="N35" s="3" t="s">
        <v>40</v>
      </c>
      <c r="O35" s="3" t="n">
        <f aca="false">IFERROR(LEN(C35&amp;D35&amp;E35&amp;F35&amp;G35&amp;H35&amp;I35&amp;J35&amp;K35&amp;L35&amp;M35&amp;N35)/5,0)</f>
        <v>28.8</v>
      </c>
      <c r="P35" s="3" t="str">
        <f aca="false">IF(OR(D35="",C35=""),"",IF((IFERROR(IF(AND(TRIM(D35)=D35,LEN(D35)&gt;0),0,1),1)+IFERROR(IF(AND(LEN(E35)=10,ISNUMBER(VALUE(E35))),0,1),1)+IFERROR(IF(AND(ISNUMBER(SEARCH("@",F35)),ISNUMBER(SEARCH(".",F35))),0,1),1)+IFERROR(IF(AND(LEN(J35)=6,ISNUMBER(VALUE(J35))),0,1),1)+IFERROR(IF(ISNUMBER(MATCH(TRIM(I35),Lists!$A$2:$A$20,0)),0,1),1)+IFERROR(IF(AND(LEN(K35)=10,VALUE(LEFT(K35,FIND("/",K35)-1))&gt;=1,VALUE(LEFT(K35,FIND("/",K35)-1))&lt;=31,VALUE(LEFT(MID(K35,FIND("/",K35)+1,10),FIND("/",MID(K35,FIND("/",K35)+1,10))-1))&gt;=1,VALUE(LEFT(MID(K35,FIND("/",K35)+1,10),FIND("/",MID(K35,FIND("/",K35)+1,10))-1))&lt;=12,VALUE(LEFT(K35,FIND("/",K35)-1))&lt;=DAY(EOMONTH(DATE(VALUE(MID(MID(K35,FIND("/",K35)+1,10),FIND("/",MID(K35,FIND("/",K35)+1,10))+1,4)),VALUE(LEFT(MID(K35,FIND("/",K35)+1,10),FIND("/",MID(K35,FIND("/",K35)+1,10))-1)),1),0))),0,1),1)+IFERROR(IF(M35&gt;=0,0,1),1)+IFERROR(IF(ISNUMBER(MATCH(N35,Lists!$B$2:$B$7,0)),0,1),1))=0,"OK","ERROR"))</f>
        <v>OK</v>
      </c>
      <c r="Q35" s="3" t="str">
        <f aca="false">IF(D35="","",TRIM(IF(IFERROR(IF(AND(TRIM(D35)=D35,LEN(D35)&gt;0),0,1),1)=1,"Name; ","")&amp;IF(IFERROR(IF(AND(LEN(E35)=10,ISNUMBER(VALUE(E35))),0,1),1)=1,"Phone; ","")&amp;IF(IFERROR(IF(AND(ISNUMBER(SEARCH("@",F35)),ISNUMBER(SEARCH(".",F35))),0,1),1)=1,"Email; ","")&amp;IF(IFERROR(IF(AND(LEN(J35)=6,ISNUMBER(VALUE(J35))),0,1),1)=1,"Pincode; ","")&amp;IF(IFERROR(IF(ISNUMBER(MATCH(TRIM(I35),Lists!$A$2:$A$20,0)),0,1),1)=1,"State; ","")&amp;IF(IFERROR(IF(AND(LEN(K35)=10,VALUE(LEFT(K35,FIND("/",K35)-1))&gt;=1,VALUE(LEFT(K35,FIND("/",K35)-1))&lt;=31,VALUE(LEFT(MID(K35,FIND("/",K35)+1,10),FIND("/",MID(K35,FIND("/",K35)+1,10))-1))&gt;=1,VALUE(LEFT(MID(K35,FIND("/",K35)+1,10),FIND("/",MID(K35,FIND("/",K35)+1,10))-1))&lt;=12,VALUE(LEFT(K35,FIND("/",K35)-1))&lt;=DAY(EOMONTH(DATE(VALUE(MID(MID(K35,FIND("/",K35)+1,10),FIND("/",MID(K35,FIND("/",K35)+1,10))+1,4)),VALUE(LEFT(MID(K35,FIND("/",K35)+1,10),FIND("/",MID(K35,FIND("/",K35)+1,10))-1)),1),0))),0,1),1)=1,"Date; ","")&amp;IF(IFERROR(IF(M35&gt;=0,0,1),1)=1,"Amount; ","")&amp;IF(IFERROR(IF(ISNUMBER(MATCH(N35,Lists!$B$2:$B$7,0)),0,1),1)=1,"Payment; ","")))</f>
        <v/>
      </c>
      <c r="R35" s="3" t="str">
        <f aca="false">IF(D35="","",IF(COUNTIFS($D$2:$D$701,D35,$E$2:$E$701,E35)&gt;1,"DUPLICATE","Unique"))</f>
        <v>Unique</v>
      </c>
    </row>
    <row r="36" customFormat="false" ht="15" hidden="false" customHeight="false" outlineLevel="0" collapsed="false">
      <c r="A36" s="3" t="n">
        <v>35</v>
      </c>
      <c r="B36" s="3" t="n">
        <v>1</v>
      </c>
      <c r="C36" s="3" t="s">
        <v>358</v>
      </c>
      <c r="D36" s="3" t="s">
        <v>359</v>
      </c>
      <c r="E36" s="3" t="s">
        <v>360</v>
      </c>
      <c r="F36" s="3" t="s">
        <v>361</v>
      </c>
      <c r="G36" s="3" t="s">
        <v>362</v>
      </c>
      <c r="H36" s="3" t="s">
        <v>227</v>
      </c>
      <c r="I36" s="3" t="s">
        <v>77</v>
      </c>
      <c r="J36" s="3" t="s">
        <v>363</v>
      </c>
      <c r="K36" s="3" t="s">
        <v>364</v>
      </c>
      <c r="L36" s="3" t="s">
        <v>44</v>
      </c>
      <c r="M36" s="3" t="n">
        <v>9315.93</v>
      </c>
      <c r="N36" s="3" t="s">
        <v>55</v>
      </c>
      <c r="O36" s="3" t="n">
        <f aca="false">IFERROR(LEN(C36&amp;D36&amp;E36&amp;F36&amp;G36&amp;H36&amp;I36&amp;J36&amp;K36&amp;L36&amp;M36&amp;N36)/5,0)</f>
        <v>27.8</v>
      </c>
      <c r="P36" s="3" t="str">
        <f aca="false">IF(OR(D36="",C36=""),"",IF((IFERROR(IF(AND(TRIM(D36)=D36,LEN(D36)&gt;0),0,1),1)+IFERROR(IF(AND(LEN(E36)=10,ISNUMBER(VALUE(E36))),0,1),1)+IFERROR(IF(AND(ISNUMBER(SEARCH("@",F36)),ISNUMBER(SEARCH(".",F36))),0,1),1)+IFERROR(IF(AND(LEN(J36)=6,ISNUMBER(VALUE(J36))),0,1),1)+IFERROR(IF(ISNUMBER(MATCH(TRIM(I36),Lists!$A$2:$A$20,0)),0,1),1)+IFERROR(IF(AND(LEN(K36)=10,VALUE(LEFT(K36,FIND("/",K36)-1))&gt;=1,VALUE(LEFT(K36,FIND("/",K36)-1))&lt;=31,VALUE(LEFT(MID(K36,FIND("/",K36)+1,10),FIND("/",MID(K36,FIND("/",K36)+1,10))-1))&gt;=1,VALUE(LEFT(MID(K36,FIND("/",K36)+1,10),FIND("/",MID(K36,FIND("/",K36)+1,10))-1))&lt;=12,VALUE(LEFT(K36,FIND("/",K36)-1))&lt;=DAY(EOMONTH(DATE(VALUE(MID(MID(K36,FIND("/",K36)+1,10),FIND("/",MID(K36,FIND("/",K36)+1,10))+1,4)),VALUE(LEFT(MID(K36,FIND("/",K36)+1,10),FIND("/",MID(K36,FIND("/",K36)+1,10))-1)),1),0))),0,1),1)+IFERROR(IF(M36&gt;=0,0,1),1)+IFERROR(IF(ISNUMBER(MATCH(N36,Lists!$B$2:$B$7,0)),0,1),1))=0,"OK","ERROR"))</f>
        <v>OK</v>
      </c>
      <c r="Q36" s="3" t="str">
        <f aca="false">IF(D36="","",TRIM(IF(IFERROR(IF(AND(TRIM(D36)=D36,LEN(D36)&gt;0),0,1),1)=1,"Name; ","")&amp;IF(IFERROR(IF(AND(LEN(E36)=10,ISNUMBER(VALUE(E36))),0,1),1)=1,"Phone; ","")&amp;IF(IFERROR(IF(AND(ISNUMBER(SEARCH("@",F36)),ISNUMBER(SEARCH(".",F36))),0,1),1)=1,"Email; ","")&amp;IF(IFERROR(IF(AND(LEN(J36)=6,ISNUMBER(VALUE(J36))),0,1),1)=1,"Pincode; ","")&amp;IF(IFERROR(IF(ISNUMBER(MATCH(TRIM(I36),Lists!$A$2:$A$20,0)),0,1),1)=1,"State; ","")&amp;IF(IFERROR(IF(AND(LEN(K36)=10,VALUE(LEFT(K36,FIND("/",K36)-1))&gt;=1,VALUE(LEFT(K36,FIND("/",K36)-1))&lt;=31,VALUE(LEFT(MID(K36,FIND("/",K36)+1,10),FIND("/",MID(K36,FIND("/",K36)+1,10))-1))&gt;=1,VALUE(LEFT(MID(K36,FIND("/",K36)+1,10),FIND("/",MID(K36,FIND("/",K36)+1,10))-1))&lt;=12,VALUE(LEFT(K36,FIND("/",K36)-1))&lt;=DAY(EOMONTH(DATE(VALUE(MID(MID(K36,FIND("/",K36)+1,10),FIND("/",MID(K36,FIND("/",K36)+1,10))+1,4)),VALUE(LEFT(MID(K36,FIND("/",K36)+1,10),FIND("/",MID(K36,FIND("/",K36)+1,10))-1)),1),0))),0,1),1)=1,"Date; ","")&amp;IF(IFERROR(IF(M36&gt;=0,0,1),1)=1,"Amount; ","")&amp;IF(IFERROR(IF(ISNUMBER(MATCH(N36,Lists!$B$2:$B$7,0)),0,1),1)=1,"Payment; ","")))</f>
        <v/>
      </c>
      <c r="R36" s="3" t="str">
        <f aca="false">IF(D36="","",IF(COUNTIFS($D$2:$D$701,D36,$E$2:$E$701,E36)&gt;1,"DUPLICATE","Unique"))</f>
        <v>Unique</v>
      </c>
    </row>
    <row r="37" customFormat="false" ht="15" hidden="false" customHeight="false" outlineLevel="0" collapsed="false">
      <c r="A37" s="3" t="n">
        <v>36</v>
      </c>
      <c r="B37" s="3" t="n">
        <v>1</v>
      </c>
      <c r="C37" s="3" t="s">
        <v>365</v>
      </c>
      <c r="D37" s="3" t="s">
        <v>366</v>
      </c>
      <c r="E37" s="3" t="s">
        <v>367</v>
      </c>
      <c r="F37" s="3" t="s">
        <v>368</v>
      </c>
      <c r="G37" s="3" t="s">
        <v>369</v>
      </c>
      <c r="H37" s="3" t="s">
        <v>370</v>
      </c>
      <c r="I37" s="3" t="s">
        <v>42</v>
      </c>
      <c r="J37" s="3" t="s">
        <v>371</v>
      </c>
      <c r="K37" s="3" t="s">
        <v>372</v>
      </c>
      <c r="L37" s="3" t="s">
        <v>58</v>
      </c>
      <c r="M37" s="3" t="n">
        <v>5024.01</v>
      </c>
      <c r="N37" s="3" t="s">
        <v>52</v>
      </c>
      <c r="O37" s="3" t="n">
        <f aca="false">IFERROR(LEN(C37&amp;D37&amp;E37&amp;F37&amp;G37&amp;H37&amp;I37&amp;J37&amp;K37&amp;L37&amp;M37&amp;N37)/5,0)</f>
        <v>28.8</v>
      </c>
      <c r="P37" s="3" t="str">
        <f aca="false">IF(OR(D37="",C37=""),"",IF((IFERROR(IF(AND(TRIM(D37)=D37,LEN(D37)&gt;0),0,1),1)+IFERROR(IF(AND(LEN(E37)=10,ISNUMBER(VALUE(E37))),0,1),1)+IFERROR(IF(AND(ISNUMBER(SEARCH("@",F37)),ISNUMBER(SEARCH(".",F37))),0,1),1)+IFERROR(IF(AND(LEN(J37)=6,ISNUMBER(VALUE(J37))),0,1),1)+IFERROR(IF(ISNUMBER(MATCH(TRIM(I37),Lists!$A$2:$A$20,0)),0,1),1)+IFERROR(IF(AND(LEN(K37)=10,VALUE(LEFT(K37,FIND("/",K37)-1))&gt;=1,VALUE(LEFT(K37,FIND("/",K37)-1))&lt;=31,VALUE(LEFT(MID(K37,FIND("/",K37)+1,10),FIND("/",MID(K37,FIND("/",K37)+1,10))-1))&gt;=1,VALUE(LEFT(MID(K37,FIND("/",K37)+1,10),FIND("/",MID(K37,FIND("/",K37)+1,10))-1))&lt;=12,VALUE(LEFT(K37,FIND("/",K37)-1))&lt;=DAY(EOMONTH(DATE(VALUE(MID(MID(K37,FIND("/",K37)+1,10),FIND("/",MID(K37,FIND("/",K37)+1,10))+1,4)),VALUE(LEFT(MID(K37,FIND("/",K37)+1,10),FIND("/",MID(K37,FIND("/",K37)+1,10))-1)),1),0))),0,1),1)+IFERROR(IF(M37&gt;=0,0,1),1)+IFERROR(IF(ISNUMBER(MATCH(N37,Lists!$B$2:$B$7,0)),0,1),1))=0,"OK","ERROR"))</f>
        <v>OK</v>
      </c>
      <c r="Q37" s="3" t="str">
        <f aca="false">IF(D37="","",TRIM(IF(IFERROR(IF(AND(TRIM(D37)=D37,LEN(D37)&gt;0),0,1),1)=1,"Name; ","")&amp;IF(IFERROR(IF(AND(LEN(E37)=10,ISNUMBER(VALUE(E37))),0,1),1)=1,"Phone; ","")&amp;IF(IFERROR(IF(AND(ISNUMBER(SEARCH("@",F37)),ISNUMBER(SEARCH(".",F37))),0,1),1)=1,"Email; ","")&amp;IF(IFERROR(IF(AND(LEN(J37)=6,ISNUMBER(VALUE(J37))),0,1),1)=1,"Pincode; ","")&amp;IF(IFERROR(IF(ISNUMBER(MATCH(TRIM(I37),Lists!$A$2:$A$20,0)),0,1),1)=1,"State; ","")&amp;IF(IFERROR(IF(AND(LEN(K37)=10,VALUE(LEFT(K37,FIND("/",K37)-1))&gt;=1,VALUE(LEFT(K37,FIND("/",K37)-1))&lt;=31,VALUE(LEFT(MID(K37,FIND("/",K37)+1,10),FIND("/",MID(K37,FIND("/",K37)+1,10))-1))&gt;=1,VALUE(LEFT(MID(K37,FIND("/",K37)+1,10),FIND("/",MID(K37,FIND("/",K37)+1,10))-1))&lt;=12,VALUE(LEFT(K37,FIND("/",K37)-1))&lt;=DAY(EOMONTH(DATE(VALUE(MID(MID(K37,FIND("/",K37)+1,10),FIND("/",MID(K37,FIND("/",K37)+1,10))+1,4)),VALUE(LEFT(MID(K37,FIND("/",K37)+1,10),FIND("/",MID(K37,FIND("/",K37)+1,10))-1)),1),0))),0,1),1)=1,"Date; ","")&amp;IF(IFERROR(IF(M37&gt;=0,0,1),1)=1,"Amount; ","")&amp;IF(IFERROR(IF(ISNUMBER(MATCH(N37,Lists!$B$2:$B$7,0)),0,1),1)=1,"Payment; ","")))</f>
        <v/>
      </c>
      <c r="R37" s="3" t="str">
        <f aca="false">IF(D37="","",IF(COUNTIFS($D$2:$D$701,D37,$E$2:$E$701,E37)&gt;1,"DUPLICATE","Unique"))</f>
        <v>Unique</v>
      </c>
    </row>
    <row r="38" customFormat="false" ht="15" hidden="false" customHeight="false" outlineLevel="0" collapsed="false">
      <c r="A38" s="3" t="n">
        <v>37</v>
      </c>
      <c r="B38" s="3" t="n">
        <v>1</v>
      </c>
      <c r="C38" s="3" t="s">
        <v>373</v>
      </c>
      <c r="D38" s="3" t="s">
        <v>374</v>
      </c>
      <c r="E38" s="3" t="s">
        <v>375</v>
      </c>
      <c r="F38" s="3" t="s">
        <v>376</v>
      </c>
      <c r="G38" s="3" t="s">
        <v>377</v>
      </c>
      <c r="H38" s="3" t="s">
        <v>180</v>
      </c>
      <c r="I38" s="3" t="s">
        <v>42</v>
      </c>
      <c r="J38" s="3" t="s">
        <v>378</v>
      </c>
      <c r="K38" s="3" t="s">
        <v>379</v>
      </c>
      <c r="L38" s="3" t="s">
        <v>53</v>
      </c>
      <c r="M38" s="3" t="n">
        <v>11368.9</v>
      </c>
      <c r="N38" s="3" t="s">
        <v>55</v>
      </c>
      <c r="O38" s="3" t="n">
        <f aca="false">IFERROR(LEN(C38&amp;D38&amp;E38&amp;F38&amp;G38&amp;H38&amp;I38&amp;J38&amp;K38&amp;L38&amp;M38&amp;N38)/5,0)</f>
        <v>25.4</v>
      </c>
      <c r="P38" s="3" t="str">
        <f aca="false">IF(OR(D38="",C38=""),"",IF((IFERROR(IF(AND(TRIM(D38)=D38,LEN(D38)&gt;0),0,1),1)+IFERROR(IF(AND(LEN(E38)=10,ISNUMBER(VALUE(E38))),0,1),1)+IFERROR(IF(AND(ISNUMBER(SEARCH("@",F38)),ISNUMBER(SEARCH(".",F38))),0,1),1)+IFERROR(IF(AND(LEN(J38)=6,ISNUMBER(VALUE(J38))),0,1),1)+IFERROR(IF(ISNUMBER(MATCH(TRIM(I38),Lists!$A$2:$A$20,0)),0,1),1)+IFERROR(IF(AND(LEN(K38)=10,VALUE(LEFT(K38,FIND("/",K38)-1))&gt;=1,VALUE(LEFT(K38,FIND("/",K38)-1))&lt;=31,VALUE(LEFT(MID(K38,FIND("/",K38)+1,10),FIND("/",MID(K38,FIND("/",K38)+1,10))-1))&gt;=1,VALUE(LEFT(MID(K38,FIND("/",K38)+1,10),FIND("/",MID(K38,FIND("/",K38)+1,10))-1))&lt;=12,VALUE(LEFT(K38,FIND("/",K38)-1))&lt;=DAY(EOMONTH(DATE(VALUE(MID(MID(K38,FIND("/",K38)+1,10),FIND("/",MID(K38,FIND("/",K38)+1,10))+1,4)),VALUE(LEFT(MID(K38,FIND("/",K38)+1,10),FIND("/",MID(K38,FIND("/",K38)+1,10))-1)),1),0))),0,1),1)+IFERROR(IF(M38&gt;=0,0,1),1)+IFERROR(IF(ISNUMBER(MATCH(N38,Lists!$B$2:$B$7,0)),0,1),1))=0,"OK","ERROR"))</f>
        <v>OK</v>
      </c>
      <c r="Q38" s="3" t="str">
        <f aca="false">IF(D38="","",TRIM(IF(IFERROR(IF(AND(TRIM(D38)=D38,LEN(D38)&gt;0),0,1),1)=1,"Name; ","")&amp;IF(IFERROR(IF(AND(LEN(E38)=10,ISNUMBER(VALUE(E38))),0,1),1)=1,"Phone; ","")&amp;IF(IFERROR(IF(AND(ISNUMBER(SEARCH("@",F38)),ISNUMBER(SEARCH(".",F38))),0,1),1)=1,"Email; ","")&amp;IF(IFERROR(IF(AND(LEN(J38)=6,ISNUMBER(VALUE(J38))),0,1),1)=1,"Pincode; ","")&amp;IF(IFERROR(IF(ISNUMBER(MATCH(TRIM(I38),Lists!$A$2:$A$20,0)),0,1),1)=1,"State; ","")&amp;IF(IFERROR(IF(AND(LEN(K38)=10,VALUE(LEFT(K38,FIND("/",K38)-1))&gt;=1,VALUE(LEFT(K38,FIND("/",K38)-1))&lt;=31,VALUE(LEFT(MID(K38,FIND("/",K38)+1,10),FIND("/",MID(K38,FIND("/",K38)+1,10))-1))&gt;=1,VALUE(LEFT(MID(K38,FIND("/",K38)+1,10),FIND("/",MID(K38,FIND("/",K38)+1,10))-1))&lt;=12,VALUE(LEFT(K38,FIND("/",K38)-1))&lt;=DAY(EOMONTH(DATE(VALUE(MID(MID(K38,FIND("/",K38)+1,10),FIND("/",MID(K38,FIND("/",K38)+1,10))+1,4)),VALUE(LEFT(MID(K38,FIND("/",K38)+1,10),FIND("/",MID(K38,FIND("/",K38)+1,10))-1)),1),0))),0,1),1)=1,"Date; ","")&amp;IF(IFERROR(IF(M38&gt;=0,0,1),1)=1,"Amount; ","")&amp;IF(IFERROR(IF(ISNUMBER(MATCH(N38,Lists!$B$2:$B$7,0)),0,1),1)=1,"Payment; ","")))</f>
        <v/>
      </c>
      <c r="R38" s="3" t="str">
        <f aca="false">IF(D38="","",IF(COUNTIFS($D$2:$D$701,D38,$E$2:$E$701,E38)&gt;1,"DUPLICATE","Unique"))</f>
        <v>Unique</v>
      </c>
    </row>
    <row r="39" customFormat="false" ht="15" hidden="false" customHeight="false" outlineLevel="0" collapsed="false">
      <c r="A39" s="3" t="n">
        <v>38</v>
      </c>
      <c r="B39" s="3" t="n">
        <v>1</v>
      </c>
      <c r="C39" s="3" t="s">
        <v>380</v>
      </c>
      <c r="D39" s="3" t="s">
        <v>381</v>
      </c>
      <c r="E39" s="3" t="s">
        <v>382</v>
      </c>
      <c r="F39" s="3" t="s">
        <v>383</v>
      </c>
      <c r="G39" s="3" t="s">
        <v>384</v>
      </c>
      <c r="H39" s="3" t="s">
        <v>385</v>
      </c>
      <c r="I39" s="3" t="s">
        <v>73</v>
      </c>
      <c r="J39" s="3" t="s">
        <v>386</v>
      </c>
      <c r="K39" s="3" t="s">
        <v>387</v>
      </c>
      <c r="L39" s="3" t="s">
        <v>60</v>
      </c>
      <c r="M39" s="3" t="n">
        <v>2163.79</v>
      </c>
      <c r="N39" s="3" t="s">
        <v>55</v>
      </c>
      <c r="O39" s="3" t="n">
        <f aca="false">IFERROR(LEN(C39&amp;D39&amp;E39&amp;F39&amp;G39&amp;H39&amp;I39&amp;J39&amp;K39&amp;L39&amp;M39&amp;N39)/5,0)</f>
        <v>26.8</v>
      </c>
      <c r="P39" s="3" t="str">
        <f aca="false">IF(OR(D39="",C39=""),"",IF((IFERROR(IF(AND(TRIM(D39)=D39,LEN(D39)&gt;0),0,1),1)+IFERROR(IF(AND(LEN(E39)=10,ISNUMBER(VALUE(E39))),0,1),1)+IFERROR(IF(AND(ISNUMBER(SEARCH("@",F39)),ISNUMBER(SEARCH(".",F39))),0,1),1)+IFERROR(IF(AND(LEN(J39)=6,ISNUMBER(VALUE(J39))),0,1),1)+IFERROR(IF(ISNUMBER(MATCH(TRIM(I39),Lists!$A$2:$A$20,0)),0,1),1)+IFERROR(IF(AND(LEN(K39)=10,VALUE(LEFT(K39,FIND("/",K39)-1))&gt;=1,VALUE(LEFT(K39,FIND("/",K39)-1))&lt;=31,VALUE(LEFT(MID(K39,FIND("/",K39)+1,10),FIND("/",MID(K39,FIND("/",K39)+1,10))-1))&gt;=1,VALUE(LEFT(MID(K39,FIND("/",K39)+1,10),FIND("/",MID(K39,FIND("/",K39)+1,10))-1))&lt;=12,VALUE(LEFT(K39,FIND("/",K39)-1))&lt;=DAY(EOMONTH(DATE(VALUE(MID(MID(K39,FIND("/",K39)+1,10),FIND("/",MID(K39,FIND("/",K39)+1,10))+1,4)),VALUE(LEFT(MID(K39,FIND("/",K39)+1,10),FIND("/",MID(K39,FIND("/",K39)+1,10))-1)),1),0))),0,1),1)+IFERROR(IF(M39&gt;=0,0,1),1)+IFERROR(IF(ISNUMBER(MATCH(N39,Lists!$B$2:$B$7,0)),0,1),1))=0,"OK","ERROR"))</f>
        <v>OK</v>
      </c>
      <c r="Q39" s="3" t="str">
        <f aca="false">IF(D39="","",TRIM(IF(IFERROR(IF(AND(TRIM(D39)=D39,LEN(D39)&gt;0),0,1),1)=1,"Name; ","")&amp;IF(IFERROR(IF(AND(LEN(E39)=10,ISNUMBER(VALUE(E39))),0,1),1)=1,"Phone; ","")&amp;IF(IFERROR(IF(AND(ISNUMBER(SEARCH("@",F39)),ISNUMBER(SEARCH(".",F39))),0,1),1)=1,"Email; ","")&amp;IF(IFERROR(IF(AND(LEN(J39)=6,ISNUMBER(VALUE(J39))),0,1),1)=1,"Pincode; ","")&amp;IF(IFERROR(IF(ISNUMBER(MATCH(TRIM(I39),Lists!$A$2:$A$20,0)),0,1),1)=1,"State; ","")&amp;IF(IFERROR(IF(AND(LEN(K39)=10,VALUE(LEFT(K39,FIND("/",K39)-1))&gt;=1,VALUE(LEFT(K39,FIND("/",K39)-1))&lt;=31,VALUE(LEFT(MID(K39,FIND("/",K39)+1,10),FIND("/",MID(K39,FIND("/",K39)+1,10))-1))&gt;=1,VALUE(LEFT(MID(K39,FIND("/",K39)+1,10),FIND("/",MID(K39,FIND("/",K39)+1,10))-1))&lt;=12,VALUE(LEFT(K39,FIND("/",K39)-1))&lt;=DAY(EOMONTH(DATE(VALUE(MID(MID(K39,FIND("/",K39)+1,10),FIND("/",MID(K39,FIND("/",K39)+1,10))+1,4)),VALUE(LEFT(MID(K39,FIND("/",K39)+1,10),FIND("/",MID(K39,FIND("/",K39)+1,10))-1)),1),0))),0,1),1)=1,"Date; ","")&amp;IF(IFERROR(IF(M39&gt;=0,0,1),1)=1,"Amount; ","")&amp;IF(IFERROR(IF(ISNUMBER(MATCH(N39,Lists!$B$2:$B$7,0)),0,1),1)=1,"Payment; ","")))</f>
        <v/>
      </c>
      <c r="R39" s="3" t="str">
        <f aca="false">IF(D39="","",IF(COUNTIFS($D$2:$D$701,D39,$E$2:$E$701,E39)&gt;1,"DUPLICATE","Unique"))</f>
        <v>Unique</v>
      </c>
    </row>
    <row r="40" customFormat="false" ht="15" hidden="false" customHeight="false" outlineLevel="0" collapsed="false">
      <c r="A40" s="3" t="n">
        <v>39</v>
      </c>
      <c r="B40" s="3" t="n">
        <v>1</v>
      </c>
      <c r="C40" s="3" t="s">
        <v>388</v>
      </c>
      <c r="D40" s="3" t="s">
        <v>389</v>
      </c>
      <c r="E40" s="3" t="s">
        <v>390</v>
      </c>
      <c r="F40" s="3" t="s">
        <v>391</v>
      </c>
      <c r="G40" s="3" t="s">
        <v>392</v>
      </c>
      <c r="H40" s="3" t="s">
        <v>258</v>
      </c>
      <c r="I40" s="3" t="s">
        <v>63</v>
      </c>
      <c r="J40" s="3" t="s">
        <v>393</v>
      </c>
      <c r="K40" s="3" t="s">
        <v>394</v>
      </c>
      <c r="L40" s="3" t="s">
        <v>41</v>
      </c>
      <c r="M40" s="3" t="n">
        <v>15992.24</v>
      </c>
      <c r="N40" s="3" t="s">
        <v>55</v>
      </c>
      <c r="O40" s="3" t="n">
        <f aca="false">IFERROR(LEN(C40&amp;D40&amp;E40&amp;F40&amp;G40&amp;H40&amp;I40&amp;J40&amp;K40&amp;L40&amp;M40&amp;N40)/5,0)</f>
        <v>28</v>
      </c>
      <c r="P40" s="3" t="str">
        <f aca="false">IF(OR(D40="",C40=""),"",IF((IFERROR(IF(AND(TRIM(D40)=D40,LEN(D40)&gt;0),0,1),1)+IFERROR(IF(AND(LEN(E40)=10,ISNUMBER(VALUE(E40))),0,1),1)+IFERROR(IF(AND(ISNUMBER(SEARCH("@",F40)),ISNUMBER(SEARCH(".",F40))),0,1),1)+IFERROR(IF(AND(LEN(J40)=6,ISNUMBER(VALUE(J40))),0,1),1)+IFERROR(IF(ISNUMBER(MATCH(TRIM(I40),Lists!$A$2:$A$20,0)),0,1),1)+IFERROR(IF(AND(LEN(K40)=10,VALUE(LEFT(K40,FIND("/",K40)-1))&gt;=1,VALUE(LEFT(K40,FIND("/",K40)-1))&lt;=31,VALUE(LEFT(MID(K40,FIND("/",K40)+1,10),FIND("/",MID(K40,FIND("/",K40)+1,10))-1))&gt;=1,VALUE(LEFT(MID(K40,FIND("/",K40)+1,10),FIND("/",MID(K40,FIND("/",K40)+1,10))-1))&lt;=12,VALUE(LEFT(K40,FIND("/",K40)-1))&lt;=DAY(EOMONTH(DATE(VALUE(MID(MID(K40,FIND("/",K40)+1,10),FIND("/",MID(K40,FIND("/",K40)+1,10))+1,4)),VALUE(LEFT(MID(K40,FIND("/",K40)+1,10),FIND("/",MID(K40,FIND("/",K40)+1,10))-1)),1),0))),0,1),1)+IFERROR(IF(M40&gt;=0,0,1),1)+IFERROR(IF(ISNUMBER(MATCH(N40,Lists!$B$2:$B$7,0)),0,1),1))=0,"OK","ERROR"))</f>
        <v>OK</v>
      </c>
      <c r="Q40" s="3" t="str">
        <f aca="false">IF(D40="","",TRIM(IF(IFERROR(IF(AND(TRIM(D40)=D40,LEN(D40)&gt;0),0,1),1)=1,"Name; ","")&amp;IF(IFERROR(IF(AND(LEN(E40)=10,ISNUMBER(VALUE(E40))),0,1),1)=1,"Phone; ","")&amp;IF(IFERROR(IF(AND(ISNUMBER(SEARCH("@",F40)),ISNUMBER(SEARCH(".",F40))),0,1),1)=1,"Email; ","")&amp;IF(IFERROR(IF(AND(LEN(J40)=6,ISNUMBER(VALUE(J40))),0,1),1)=1,"Pincode; ","")&amp;IF(IFERROR(IF(ISNUMBER(MATCH(TRIM(I40),Lists!$A$2:$A$20,0)),0,1),1)=1,"State; ","")&amp;IF(IFERROR(IF(AND(LEN(K40)=10,VALUE(LEFT(K40,FIND("/",K40)-1))&gt;=1,VALUE(LEFT(K40,FIND("/",K40)-1))&lt;=31,VALUE(LEFT(MID(K40,FIND("/",K40)+1,10),FIND("/",MID(K40,FIND("/",K40)+1,10))-1))&gt;=1,VALUE(LEFT(MID(K40,FIND("/",K40)+1,10),FIND("/",MID(K40,FIND("/",K40)+1,10))-1))&lt;=12,VALUE(LEFT(K40,FIND("/",K40)-1))&lt;=DAY(EOMONTH(DATE(VALUE(MID(MID(K40,FIND("/",K40)+1,10),FIND("/",MID(K40,FIND("/",K40)+1,10))+1,4)),VALUE(LEFT(MID(K40,FIND("/",K40)+1,10),FIND("/",MID(K40,FIND("/",K40)+1,10))-1)),1),0))),0,1),1)=1,"Date; ","")&amp;IF(IFERROR(IF(M40&gt;=0,0,1),1)=1,"Amount; ","")&amp;IF(IFERROR(IF(ISNUMBER(MATCH(N40,Lists!$B$2:$B$7,0)),0,1),1)=1,"Payment; ","")))</f>
        <v/>
      </c>
      <c r="R40" s="3" t="str">
        <f aca="false">IF(D40="","",IF(COUNTIFS($D$2:$D$701,D40,$E$2:$E$701,E40)&gt;1,"DUPLICATE","Unique"))</f>
        <v>Unique</v>
      </c>
    </row>
    <row r="41" customFormat="false" ht="15" hidden="false" customHeight="false" outlineLevel="0" collapsed="false">
      <c r="A41" s="3" t="n">
        <v>40</v>
      </c>
      <c r="B41" s="3" t="n">
        <v>1</v>
      </c>
      <c r="C41" s="3" t="s">
        <v>395</v>
      </c>
      <c r="D41" s="3" t="s">
        <v>396</v>
      </c>
      <c r="E41" s="3" t="s">
        <v>397</v>
      </c>
      <c r="F41" s="3" t="s">
        <v>398</v>
      </c>
      <c r="G41" s="3" t="s">
        <v>399</v>
      </c>
      <c r="H41" s="3" t="s">
        <v>149</v>
      </c>
      <c r="I41" s="3" t="s">
        <v>61</v>
      </c>
      <c r="J41" s="3" t="s">
        <v>400</v>
      </c>
      <c r="K41" s="3" t="s">
        <v>401</v>
      </c>
      <c r="L41" s="3" t="s">
        <v>56</v>
      </c>
      <c r="M41" s="3" t="n">
        <v>6702.99</v>
      </c>
      <c r="N41" s="3" t="s">
        <v>49</v>
      </c>
      <c r="O41" s="3" t="n">
        <f aca="false">IFERROR(LEN(C41&amp;D41&amp;E41&amp;F41&amp;G41&amp;H41&amp;I41&amp;J41&amp;K41&amp;L41&amp;M41&amp;N41)/5,0)</f>
        <v>27.2</v>
      </c>
      <c r="P41" s="3" t="str">
        <f aca="false">IF(OR(D41="",C41=""),"",IF((IFERROR(IF(AND(TRIM(D41)=D41,LEN(D41)&gt;0),0,1),1)+IFERROR(IF(AND(LEN(E41)=10,ISNUMBER(VALUE(E41))),0,1),1)+IFERROR(IF(AND(ISNUMBER(SEARCH("@",F41)),ISNUMBER(SEARCH(".",F41))),0,1),1)+IFERROR(IF(AND(LEN(J41)=6,ISNUMBER(VALUE(J41))),0,1),1)+IFERROR(IF(ISNUMBER(MATCH(TRIM(I41),Lists!$A$2:$A$20,0)),0,1),1)+IFERROR(IF(AND(LEN(K41)=10,VALUE(LEFT(K41,FIND("/",K41)-1))&gt;=1,VALUE(LEFT(K41,FIND("/",K41)-1))&lt;=31,VALUE(LEFT(MID(K41,FIND("/",K41)+1,10),FIND("/",MID(K41,FIND("/",K41)+1,10))-1))&gt;=1,VALUE(LEFT(MID(K41,FIND("/",K41)+1,10),FIND("/",MID(K41,FIND("/",K41)+1,10))-1))&lt;=12,VALUE(LEFT(K41,FIND("/",K41)-1))&lt;=DAY(EOMONTH(DATE(VALUE(MID(MID(K41,FIND("/",K41)+1,10),FIND("/",MID(K41,FIND("/",K41)+1,10))+1,4)),VALUE(LEFT(MID(K41,FIND("/",K41)+1,10),FIND("/",MID(K41,FIND("/",K41)+1,10))-1)),1),0))),0,1),1)+IFERROR(IF(M41&gt;=0,0,1),1)+IFERROR(IF(ISNUMBER(MATCH(N41,Lists!$B$2:$B$7,0)),0,1),1))=0,"OK","ERROR"))</f>
        <v>ERROR</v>
      </c>
      <c r="Q41" s="3" t="str">
        <f aca="false">IF(D41="","",TRIM(IF(IFERROR(IF(AND(TRIM(D41)=D41,LEN(D41)&gt;0),0,1),1)=1,"Name; ","")&amp;IF(IFERROR(IF(AND(LEN(E41)=10,ISNUMBER(VALUE(E41))),0,1),1)=1,"Phone; ","")&amp;IF(IFERROR(IF(AND(ISNUMBER(SEARCH("@",F41)),ISNUMBER(SEARCH(".",F41))),0,1),1)=1,"Email; ","")&amp;IF(IFERROR(IF(AND(LEN(J41)=6,ISNUMBER(VALUE(J41))),0,1),1)=1,"Pincode; ","")&amp;IF(IFERROR(IF(ISNUMBER(MATCH(TRIM(I41),Lists!$A$2:$A$20,0)),0,1),1)=1,"State; ","")&amp;IF(IFERROR(IF(AND(LEN(K41)=10,VALUE(LEFT(K41,FIND("/",K41)-1))&gt;=1,VALUE(LEFT(K41,FIND("/",K41)-1))&lt;=31,VALUE(LEFT(MID(K41,FIND("/",K41)+1,10),FIND("/",MID(K41,FIND("/",K41)+1,10))-1))&gt;=1,VALUE(LEFT(MID(K41,FIND("/",K41)+1,10),FIND("/",MID(K41,FIND("/",K41)+1,10))-1))&lt;=12,VALUE(LEFT(K41,FIND("/",K41)-1))&lt;=DAY(EOMONTH(DATE(VALUE(MID(MID(K41,FIND("/",K41)+1,10),FIND("/",MID(K41,FIND("/",K41)+1,10))+1,4)),VALUE(LEFT(MID(K41,FIND("/",K41)+1,10),FIND("/",MID(K41,FIND("/",K41)+1,10))-1)),1),0))),0,1),1)=1,"Date; ","")&amp;IF(IFERROR(IF(M41&gt;=0,0,1),1)=1,"Amount; ","")&amp;IF(IFERROR(IF(ISNUMBER(MATCH(N41,Lists!$B$2:$B$7,0)),0,1),1)=1,"Payment; ","")))</f>
        <v>Email;</v>
      </c>
      <c r="R41" s="3" t="str">
        <f aca="false">IF(D41="","",IF(COUNTIFS($D$2:$D$701,D41,$E$2:$E$701,E41)&gt;1,"DUPLICATE","Unique"))</f>
        <v>Unique</v>
      </c>
    </row>
    <row r="42" customFormat="false" ht="15" hidden="false" customHeight="false" outlineLevel="0" collapsed="false">
      <c r="A42" s="3" t="n">
        <v>41</v>
      </c>
      <c r="B42" s="3" t="n">
        <v>1</v>
      </c>
      <c r="C42" s="3" t="s">
        <v>402</v>
      </c>
      <c r="D42" s="3" t="s">
        <v>403</v>
      </c>
      <c r="E42" s="3" t="s">
        <v>404</v>
      </c>
      <c r="F42" s="3" t="s">
        <v>405</v>
      </c>
      <c r="G42" s="3" t="s">
        <v>406</v>
      </c>
      <c r="H42" s="3" t="s">
        <v>258</v>
      </c>
      <c r="I42" s="3" t="s">
        <v>63</v>
      </c>
      <c r="J42" s="3" t="s">
        <v>407</v>
      </c>
      <c r="K42" s="3" t="s">
        <v>408</v>
      </c>
      <c r="L42" s="3" t="s">
        <v>56</v>
      </c>
      <c r="M42" s="3" t="n">
        <v>10036.62</v>
      </c>
      <c r="N42" s="3" t="s">
        <v>49</v>
      </c>
      <c r="O42" s="3" t="n">
        <f aca="false">IFERROR(LEN(C42&amp;D42&amp;E42&amp;F42&amp;G42&amp;H42&amp;I42&amp;J42&amp;K42&amp;L42&amp;M42&amp;N42)/5,0)</f>
        <v>27.2</v>
      </c>
      <c r="P42" s="3" t="str">
        <f aca="false">IF(OR(D42="",C42=""),"",IF((IFERROR(IF(AND(TRIM(D42)=D42,LEN(D42)&gt;0),0,1),1)+IFERROR(IF(AND(LEN(E42)=10,ISNUMBER(VALUE(E42))),0,1),1)+IFERROR(IF(AND(ISNUMBER(SEARCH("@",F42)),ISNUMBER(SEARCH(".",F42))),0,1),1)+IFERROR(IF(AND(LEN(J42)=6,ISNUMBER(VALUE(J42))),0,1),1)+IFERROR(IF(ISNUMBER(MATCH(TRIM(I42),Lists!$A$2:$A$20,0)),0,1),1)+IFERROR(IF(AND(LEN(K42)=10,VALUE(LEFT(K42,FIND("/",K42)-1))&gt;=1,VALUE(LEFT(K42,FIND("/",K42)-1))&lt;=31,VALUE(LEFT(MID(K42,FIND("/",K42)+1,10),FIND("/",MID(K42,FIND("/",K42)+1,10))-1))&gt;=1,VALUE(LEFT(MID(K42,FIND("/",K42)+1,10),FIND("/",MID(K42,FIND("/",K42)+1,10))-1))&lt;=12,VALUE(LEFT(K42,FIND("/",K42)-1))&lt;=DAY(EOMONTH(DATE(VALUE(MID(MID(K42,FIND("/",K42)+1,10),FIND("/",MID(K42,FIND("/",K42)+1,10))+1,4)),VALUE(LEFT(MID(K42,FIND("/",K42)+1,10),FIND("/",MID(K42,FIND("/",K42)+1,10))-1)),1),0))),0,1),1)+IFERROR(IF(M42&gt;=0,0,1),1)+IFERROR(IF(ISNUMBER(MATCH(N42,Lists!$B$2:$B$7,0)),0,1),1))=0,"OK","ERROR"))</f>
        <v>OK</v>
      </c>
      <c r="Q42" s="3" t="str">
        <f aca="false">IF(D42="","",TRIM(IF(IFERROR(IF(AND(TRIM(D42)=D42,LEN(D42)&gt;0),0,1),1)=1,"Name; ","")&amp;IF(IFERROR(IF(AND(LEN(E42)=10,ISNUMBER(VALUE(E42))),0,1),1)=1,"Phone; ","")&amp;IF(IFERROR(IF(AND(ISNUMBER(SEARCH("@",F42)),ISNUMBER(SEARCH(".",F42))),0,1),1)=1,"Email; ","")&amp;IF(IFERROR(IF(AND(LEN(J42)=6,ISNUMBER(VALUE(J42))),0,1),1)=1,"Pincode; ","")&amp;IF(IFERROR(IF(ISNUMBER(MATCH(TRIM(I42),Lists!$A$2:$A$20,0)),0,1),1)=1,"State; ","")&amp;IF(IFERROR(IF(AND(LEN(K42)=10,VALUE(LEFT(K42,FIND("/",K42)-1))&gt;=1,VALUE(LEFT(K42,FIND("/",K42)-1))&lt;=31,VALUE(LEFT(MID(K42,FIND("/",K42)+1,10),FIND("/",MID(K42,FIND("/",K42)+1,10))-1))&gt;=1,VALUE(LEFT(MID(K42,FIND("/",K42)+1,10),FIND("/",MID(K42,FIND("/",K42)+1,10))-1))&lt;=12,VALUE(LEFT(K42,FIND("/",K42)-1))&lt;=DAY(EOMONTH(DATE(VALUE(MID(MID(K42,FIND("/",K42)+1,10),FIND("/",MID(K42,FIND("/",K42)+1,10))+1,4)),VALUE(LEFT(MID(K42,FIND("/",K42)+1,10),FIND("/",MID(K42,FIND("/",K42)+1,10))-1)),1),0))),0,1),1)=1,"Date; ","")&amp;IF(IFERROR(IF(M42&gt;=0,0,1),1)=1,"Amount; ","")&amp;IF(IFERROR(IF(ISNUMBER(MATCH(N42,Lists!$B$2:$B$7,0)),0,1),1)=1,"Payment; ","")))</f>
        <v/>
      </c>
      <c r="R42" s="3" t="str">
        <f aca="false">IF(D42="","",IF(COUNTIFS($D$2:$D$701,D42,$E$2:$E$701,E42)&gt;1,"DUPLICATE","Unique"))</f>
        <v>Unique</v>
      </c>
    </row>
    <row r="43" customFormat="false" ht="15" hidden="false" customHeight="false" outlineLevel="0" collapsed="false">
      <c r="A43" s="3" t="n">
        <v>42</v>
      </c>
      <c r="B43" s="3" t="n">
        <v>1</v>
      </c>
      <c r="C43" s="3" t="s">
        <v>409</v>
      </c>
      <c r="D43" s="3" t="s">
        <v>410</v>
      </c>
      <c r="E43" s="3" t="s">
        <v>411</v>
      </c>
      <c r="F43" s="3" t="s">
        <v>412</v>
      </c>
      <c r="G43" s="3" t="s">
        <v>413</v>
      </c>
      <c r="H43" s="3" t="s">
        <v>385</v>
      </c>
      <c r="I43" s="3" t="s">
        <v>73</v>
      </c>
      <c r="J43" s="3" t="s">
        <v>414</v>
      </c>
      <c r="K43" s="3" t="s">
        <v>415</v>
      </c>
      <c r="L43" s="3" t="s">
        <v>72</v>
      </c>
      <c r="M43" s="3" t="n">
        <v>14623.29</v>
      </c>
      <c r="N43" s="3" t="s">
        <v>49</v>
      </c>
      <c r="O43" s="3" t="n">
        <f aca="false">IFERROR(LEN(C43&amp;D43&amp;E43&amp;F43&amp;G43&amp;H43&amp;I43&amp;J43&amp;K43&amp;L43&amp;M43&amp;N43)/5,0)</f>
        <v>27.2</v>
      </c>
      <c r="P43" s="3" t="str">
        <f aca="false">IF(OR(D43="",C43=""),"",IF((IFERROR(IF(AND(TRIM(D43)=D43,LEN(D43)&gt;0),0,1),1)+IFERROR(IF(AND(LEN(E43)=10,ISNUMBER(VALUE(E43))),0,1),1)+IFERROR(IF(AND(ISNUMBER(SEARCH("@",F43)),ISNUMBER(SEARCH(".",F43))),0,1),1)+IFERROR(IF(AND(LEN(J43)=6,ISNUMBER(VALUE(J43))),0,1),1)+IFERROR(IF(ISNUMBER(MATCH(TRIM(I43),Lists!$A$2:$A$20,0)),0,1),1)+IFERROR(IF(AND(LEN(K43)=10,VALUE(LEFT(K43,FIND("/",K43)-1))&gt;=1,VALUE(LEFT(K43,FIND("/",K43)-1))&lt;=31,VALUE(LEFT(MID(K43,FIND("/",K43)+1,10),FIND("/",MID(K43,FIND("/",K43)+1,10))-1))&gt;=1,VALUE(LEFT(MID(K43,FIND("/",K43)+1,10),FIND("/",MID(K43,FIND("/",K43)+1,10))-1))&lt;=12,VALUE(LEFT(K43,FIND("/",K43)-1))&lt;=DAY(EOMONTH(DATE(VALUE(MID(MID(K43,FIND("/",K43)+1,10),FIND("/",MID(K43,FIND("/",K43)+1,10))+1,4)),VALUE(LEFT(MID(K43,FIND("/",K43)+1,10),FIND("/",MID(K43,FIND("/",K43)+1,10))-1)),1),0))),0,1),1)+IFERROR(IF(M43&gt;=0,0,1),1)+IFERROR(IF(ISNUMBER(MATCH(N43,Lists!$B$2:$B$7,0)),0,1),1))=0,"OK","ERROR"))</f>
        <v>OK</v>
      </c>
      <c r="Q43" s="3" t="str">
        <f aca="false">IF(D43="","",TRIM(IF(IFERROR(IF(AND(TRIM(D43)=D43,LEN(D43)&gt;0),0,1),1)=1,"Name; ","")&amp;IF(IFERROR(IF(AND(LEN(E43)=10,ISNUMBER(VALUE(E43))),0,1),1)=1,"Phone; ","")&amp;IF(IFERROR(IF(AND(ISNUMBER(SEARCH("@",F43)),ISNUMBER(SEARCH(".",F43))),0,1),1)=1,"Email; ","")&amp;IF(IFERROR(IF(AND(LEN(J43)=6,ISNUMBER(VALUE(J43))),0,1),1)=1,"Pincode; ","")&amp;IF(IFERROR(IF(ISNUMBER(MATCH(TRIM(I43),Lists!$A$2:$A$20,0)),0,1),1)=1,"State; ","")&amp;IF(IFERROR(IF(AND(LEN(K43)=10,VALUE(LEFT(K43,FIND("/",K43)-1))&gt;=1,VALUE(LEFT(K43,FIND("/",K43)-1))&lt;=31,VALUE(LEFT(MID(K43,FIND("/",K43)+1,10),FIND("/",MID(K43,FIND("/",K43)+1,10))-1))&gt;=1,VALUE(LEFT(MID(K43,FIND("/",K43)+1,10),FIND("/",MID(K43,FIND("/",K43)+1,10))-1))&lt;=12,VALUE(LEFT(K43,FIND("/",K43)-1))&lt;=DAY(EOMONTH(DATE(VALUE(MID(MID(K43,FIND("/",K43)+1,10),FIND("/",MID(K43,FIND("/",K43)+1,10))+1,4)),VALUE(LEFT(MID(K43,FIND("/",K43)+1,10),FIND("/",MID(K43,FIND("/",K43)+1,10))-1)),1),0))),0,1),1)=1,"Date; ","")&amp;IF(IFERROR(IF(M43&gt;=0,0,1),1)=1,"Amount; ","")&amp;IF(IFERROR(IF(ISNUMBER(MATCH(N43,Lists!$B$2:$B$7,0)),0,1),1)=1,"Payment; ","")))</f>
        <v/>
      </c>
      <c r="R43" s="3" t="str">
        <f aca="false">IF(D43="","",IF(COUNTIFS($D$2:$D$701,D43,$E$2:$E$701,E43)&gt;1,"DUPLICATE","Unique"))</f>
        <v>Unique</v>
      </c>
    </row>
    <row r="44" customFormat="false" ht="15" hidden="false" customHeight="false" outlineLevel="0" collapsed="false">
      <c r="A44" s="3" t="n">
        <v>43</v>
      </c>
      <c r="B44" s="3" t="n">
        <v>1</v>
      </c>
      <c r="C44" s="3" t="s">
        <v>416</v>
      </c>
      <c r="D44" s="3" t="s">
        <v>417</v>
      </c>
      <c r="E44" s="3" t="s">
        <v>418</v>
      </c>
      <c r="F44" s="3" t="s">
        <v>419</v>
      </c>
      <c r="G44" s="3" t="s">
        <v>420</v>
      </c>
      <c r="H44" s="3" t="s">
        <v>318</v>
      </c>
      <c r="I44" s="3" t="s">
        <v>48</v>
      </c>
      <c r="J44" s="3" t="s">
        <v>421</v>
      </c>
      <c r="K44" s="3" t="s">
        <v>422</v>
      </c>
      <c r="L44" s="3" t="s">
        <v>70</v>
      </c>
      <c r="M44" s="3" t="n">
        <v>12681.1</v>
      </c>
      <c r="N44" s="3" t="s">
        <v>49</v>
      </c>
      <c r="O44" s="3" t="n">
        <f aca="false">IFERROR(LEN(C44&amp;D44&amp;E44&amp;F44&amp;G44&amp;H44&amp;I44&amp;J44&amp;K44&amp;L44&amp;M44&amp;N44)/5,0)</f>
        <v>26.6</v>
      </c>
      <c r="P44" s="3" t="str">
        <f aca="false">IF(OR(D44="",C44=""),"",IF((IFERROR(IF(AND(TRIM(D44)=D44,LEN(D44)&gt;0),0,1),1)+IFERROR(IF(AND(LEN(E44)=10,ISNUMBER(VALUE(E44))),0,1),1)+IFERROR(IF(AND(ISNUMBER(SEARCH("@",F44)),ISNUMBER(SEARCH(".",F44))),0,1),1)+IFERROR(IF(AND(LEN(J44)=6,ISNUMBER(VALUE(J44))),0,1),1)+IFERROR(IF(ISNUMBER(MATCH(TRIM(I44),Lists!$A$2:$A$20,0)),0,1),1)+IFERROR(IF(AND(LEN(K44)=10,VALUE(LEFT(K44,FIND("/",K44)-1))&gt;=1,VALUE(LEFT(K44,FIND("/",K44)-1))&lt;=31,VALUE(LEFT(MID(K44,FIND("/",K44)+1,10),FIND("/",MID(K44,FIND("/",K44)+1,10))-1))&gt;=1,VALUE(LEFT(MID(K44,FIND("/",K44)+1,10),FIND("/",MID(K44,FIND("/",K44)+1,10))-1))&lt;=12,VALUE(LEFT(K44,FIND("/",K44)-1))&lt;=DAY(EOMONTH(DATE(VALUE(MID(MID(K44,FIND("/",K44)+1,10),FIND("/",MID(K44,FIND("/",K44)+1,10))+1,4)),VALUE(LEFT(MID(K44,FIND("/",K44)+1,10),FIND("/",MID(K44,FIND("/",K44)+1,10))-1)),1),0))),0,1),1)+IFERROR(IF(M44&gt;=0,0,1),1)+IFERROR(IF(ISNUMBER(MATCH(N44,Lists!$B$2:$B$7,0)),0,1),1))=0,"OK","ERROR"))</f>
        <v>OK</v>
      </c>
      <c r="Q44" s="3" t="str">
        <f aca="false">IF(D44="","",TRIM(IF(IFERROR(IF(AND(TRIM(D44)=D44,LEN(D44)&gt;0),0,1),1)=1,"Name; ","")&amp;IF(IFERROR(IF(AND(LEN(E44)=10,ISNUMBER(VALUE(E44))),0,1),1)=1,"Phone; ","")&amp;IF(IFERROR(IF(AND(ISNUMBER(SEARCH("@",F44)),ISNUMBER(SEARCH(".",F44))),0,1),1)=1,"Email; ","")&amp;IF(IFERROR(IF(AND(LEN(J44)=6,ISNUMBER(VALUE(J44))),0,1),1)=1,"Pincode; ","")&amp;IF(IFERROR(IF(ISNUMBER(MATCH(TRIM(I44),Lists!$A$2:$A$20,0)),0,1),1)=1,"State; ","")&amp;IF(IFERROR(IF(AND(LEN(K44)=10,VALUE(LEFT(K44,FIND("/",K44)-1))&gt;=1,VALUE(LEFT(K44,FIND("/",K44)-1))&lt;=31,VALUE(LEFT(MID(K44,FIND("/",K44)+1,10),FIND("/",MID(K44,FIND("/",K44)+1,10))-1))&gt;=1,VALUE(LEFT(MID(K44,FIND("/",K44)+1,10),FIND("/",MID(K44,FIND("/",K44)+1,10))-1))&lt;=12,VALUE(LEFT(K44,FIND("/",K44)-1))&lt;=DAY(EOMONTH(DATE(VALUE(MID(MID(K44,FIND("/",K44)+1,10),FIND("/",MID(K44,FIND("/",K44)+1,10))+1,4)),VALUE(LEFT(MID(K44,FIND("/",K44)+1,10),FIND("/",MID(K44,FIND("/",K44)+1,10))-1)),1),0))),0,1),1)=1,"Date; ","")&amp;IF(IFERROR(IF(M44&gt;=0,0,1),1)=1,"Amount; ","")&amp;IF(IFERROR(IF(ISNUMBER(MATCH(N44,Lists!$B$2:$B$7,0)),0,1),1)=1,"Payment; ","")))</f>
        <v/>
      </c>
      <c r="R44" s="3" t="str">
        <f aca="false">IF(D44="","",IF(COUNTIFS($D$2:$D$701,D44,$E$2:$E$701,E44)&gt;1,"DUPLICATE","Unique"))</f>
        <v>Unique</v>
      </c>
    </row>
    <row r="45" customFormat="false" ht="15" hidden="false" customHeight="false" outlineLevel="0" collapsed="false">
      <c r="A45" s="3" t="n">
        <v>44</v>
      </c>
      <c r="B45" s="3" t="n">
        <v>1</v>
      </c>
      <c r="C45" s="3" t="s">
        <v>423</v>
      </c>
      <c r="D45" s="3" t="s">
        <v>424</v>
      </c>
      <c r="E45" s="3" t="s">
        <v>425</v>
      </c>
      <c r="F45" s="3" t="s">
        <v>426</v>
      </c>
      <c r="G45" s="3" t="s">
        <v>427</v>
      </c>
      <c r="H45" s="3" t="s">
        <v>428</v>
      </c>
      <c r="I45" s="3" t="s">
        <v>65</v>
      </c>
      <c r="J45" s="3" t="s">
        <v>429</v>
      </c>
      <c r="K45" s="3" t="s">
        <v>430</v>
      </c>
      <c r="L45" s="3" t="s">
        <v>68</v>
      </c>
      <c r="M45" s="3" t="n">
        <v>3972.13</v>
      </c>
      <c r="N45" s="3" t="s">
        <v>49</v>
      </c>
      <c r="O45" s="3" t="n">
        <f aca="false">IFERROR(LEN(C45&amp;D45&amp;E45&amp;F45&amp;G45&amp;H45&amp;I45&amp;J45&amp;K45&amp;L45&amp;M45&amp;N45)/5,0)</f>
        <v>26.4</v>
      </c>
      <c r="P45" s="3" t="str">
        <f aca="false">IF(OR(D45="",C45=""),"",IF((IFERROR(IF(AND(TRIM(D45)=D45,LEN(D45)&gt;0),0,1),1)+IFERROR(IF(AND(LEN(E45)=10,ISNUMBER(VALUE(E45))),0,1),1)+IFERROR(IF(AND(ISNUMBER(SEARCH("@",F45)),ISNUMBER(SEARCH(".",F45))),0,1),1)+IFERROR(IF(AND(LEN(J45)=6,ISNUMBER(VALUE(J45))),0,1),1)+IFERROR(IF(ISNUMBER(MATCH(TRIM(I45),Lists!$A$2:$A$20,0)),0,1),1)+IFERROR(IF(AND(LEN(K45)=10,VALUE(LEFT(K45,FIND("/",K45)-1))&gt;=1,VALUE(LEFT(K45,FIND("/",K45)-1))&lt;=31,VALUE(LEFT(MID(K45,FIND("/",K45)+1,10),FIND("/",MID(K45,FIND("/",K45)+1,10))-1))&gt;=1,VALUE(LEFT(MID(K45,FIND("/",K45)+1,10),FIND("/",MID(K45,FIND("/",K45)+1,10))-1))&lt;=12,VALUE(LEFT(K45,FIND("/",K45)-1))&lt;=DAY(EOMONTH(DATE(VALUE(MID(MID(K45,FIND("/",K45)+1,10),FIND("/",MID(K45,FIND("/",K45)+1,10))+1,4)),VALUE(LEFT(MID(K45,FIND("/",K45)+1,10),FIND("/",MID(K45,FIND("/",K45)+1,10))-1)),1),0))),0,1),1)+IFERROR(IF(M45&gt;=0,0,1),1)+IFERROR(IF(ISNUMBER(MATCH(N45,Lists!$B$2:$B$7,0)),0,1),1))=0,"OK","ERROR"))</f>
        <v>OK</v>
      </c>
      <c r="Q45" s="3" t="str">
        <f aca="false">IF(D45="","",TRIM(IF(IFERROR(IF(AND(TRIM(D45)=D45,LEN(D45)&gt;0),0,1),1)=1,"Name; ","")&amp;IF(IFERROR(IF(AND(LEN(E45)=10,ISNUMBER(VALUE(E45))),0,1),1)=1,"Phone; ","")&amp;IF(IFERROR(IF(AND(ISNUMBER(SEARCH("@",F45)),ISNUMBER(SEARCH(".",F45))),0,1),1)=1,"Email; ","")&amp;IF(IFERROR(IF(AND(LEN(J45)=6,ISNUMBER(VALUE(J45))),0,1),1)=1,"Pincode; ","")&amp;IF(IFERROR(IF(ISNUMBER(MATCH(TRIM(I45),Lists!$A$2:$A$20,0)),0,1),1)=1,"State; ","")&amp;IF(IFERROR(IF(AND(LEN(K45)=10,VALUE(LEFT(K45,FIND("/",K45)-1))&gt;=1,VALUE(LEFT(K45,FIND("/",K45)-1))&lt;=31,VALUE(LEFT(MID(K45,FIND("/",K45)+1,10),FIND("/",MID(K45,FIND("/",K45)+1,10))-1))&gt;=1,VALUE(LEFT(MID(K45,FIND("/",K45)+1,10),FIND("/",MID(K45,FIND("/",K45)+1,10))-1))&lt;=12,VALUE(LEFT(K45,FIND("/",K45)-1))&lt;=DAY(EOMONTH(DATE(VALUE(MID(MID(K45,FIND("/",K45)+1,10),FIND("/",MID(K45,FIND("/",K45)+1,10))+1,4)),VALUE(LEFT(MID(K45,FIND("/",K45)+1,10),FIND("/",MID(K45,FIND("/",K45)+1,10))-1)),1),0))),0,1),1)=1,"Date; ","")&amp;IF(IFERROR(IF(M45&gt;=0,0,1),1)=1,"Amount; ","")&amp;IF(IFERROR(IF(ISNUMBER(MATCH(N45,Lists!$B$2:$B$7,0)),0,1),1)=1,"Payment; ","")))</f>
        <v/>
      </c>
      <c r="R45" s="3" t="str">
        <f aca="false">IF(D45="","",IF(COUNTIFS($D$2:$D$701,D45,$E$2:$E$701,E45)&gt;1,"DUPLICATE","Unique"))</f>
        <v>Unique</v>
      </c>
    </row>
    <row r="46" customFormat="false" ht="15" hidden="false" customHeight="false" outlineLevel="0" collapsed="false">
      <c r="A46" s="3" t="n">
        <v>45</v>
      </c>
      <c r="B46" s="3" t="n">
        <v>1</v>
      </c>
      <c r="C46" s="3" t="s">
        <v>431</v>
      </c>
      <c r="D46" s="3" t="s">
        <v>432</v>
      </c>
      <c r="E46" s="3" t="s">
        <v>433</v>
      </c>
      <c r="F46" s="3" t="s">
        <v>434</v>
      </c>
      <c r="G46" s="3" t="s">
        <v>435</v>
      </c>
      <c r="H46" s="3" t="s">
        <v>436</v>
      </c>
      <c r="I46" s="3" t="s">
        <v>59</v>
      </c>
      <c r="J46" s="3" t="s">
        <v>437</v>
      </c>
      <c r="K46" s="3" t="s">
        <v>438</v>
      </c>
      <c r="L46" s="3" t="s">
        <v>72</v>
      </c>
      <c r="M46" s="3" t="n">
        <v>10544.54</v>
      </c>
      <c r="N46" s="3" t="s">
        <v>43</v>
      </c>
      <c r="O46" s="3" t="n">
        <f aca="false">IFERROR(LEN(C46&amp;D46&amp;E46&amp;F46&amp;G46&amp;H46&amp;I46&amp;J46&amp;K46&amp;L46&amp;M46&amp;N46)/5,0)</f>
        <v>24.4</v>
      </c>
      <c r="P46" s="3" t="str">
        <f aca="false">IF(OR(D46="",C46=""),"",IF((IFERROR(IF(AND(TRIM(D46)=D46,LEN(D46)&gt;0),0,1),1)+IFERROR(IF(AND(LEN(E46)=10,ISNUMBER(VALUE(E46))),0,1),1)+IFERROR(IF(AND(ISNUMBER(SEARCH("@",F46)),ISNUMBER(SEARCH(".",F46))),0,1),1)+IFERROR(IF(AND(LEN(J46)=6,ISNUMBER(VALUE(J46))),0,1),1)+IFERROR(IF(ISNUMBER(MATCH(TRIM(I46),Lists!$A$2:$A$20,0)),0,1),1)+IFERROR(IF(AND(LEN(K46)=10,VALUE(LEFT(K46,FIND("/",K46)-1))&gt;=1,VALUE(LEFT(K46,FIND("/",K46)-1))&lt;=31,VALUE(LEFT(MID(K46,FIND("/",K46)+1,10),FIND("/",MID(K46,FIND("/",K46)+1,10))-1))&gt;=1,VALUE(LEFT(MID(K46,FIND("/",K46)+1,10),FIND("/",MID(K46,FIND("/",K46)+1,10))-1))&lt;=12,VALUE(LEFT(K46,FIND("/",K46)-1))&lt;=DAY(EOMONTH(DATE(VALUE(MID(MID(K46,FIND("/",K46)+1,10),FIND("/",MID(K46,FIND("/",K46)+1,10))+1,4)),VALUE(LEFT(MID(K46,FIND("/",K46)+1,10),FIND("/",MID(K46,FIND("/",K46)+1,10))-1)),1),0))),0,1),1)+IFERROR(IF(M46&gt;=0,0,1),1)+IFERROR(IF(ISNUMBER(MATCH(N46,Lists!$B$2:$B$7,0)),0,1),1))=0,"OK","ERROR"))</f>
        <v>OK</v>
      </c>
      <c r="Q46" s="3" t="str">
        <f aca="false">IF(D46="","",TRIM(IF(IFERROR(IF(AND(TRIM(D46)=D46,LEN(D46)&gt;0),0,1),1)=1,"Name; ","")&amp;IF(IFERROR(IF(AND(LEN(E46)=10,ISNUMBER(VALUE(E46))),0,1),1)=1,"Phone; ","")&amp;IF(IFERROR(IF(AND(ISNUMBER(SEARCH("@",F46)),ISNUMBER(SEARCH(".",F46))),0,1),1)=1,"Email; ","")&amp;IF(IFERROR(IF(AND(LEN(J46)=6,ISNUMBER(VALUE(J46))),0,1),1)=1,"Pincode; ","")&amp;IF(IFERROR(IF(ISNUMBER(MATCH(TRIM(I46),Lists!$A$2:$A$20,0)),0,1),1)=1,"State; ","")&amp;IF(IFERROR(IF(AND(LEN(K46)=10,VALUE(LEFT(K46,FIND("/",K46)-1))&gt;=1,VALUE(LEFT(K46,FIND("/",K46)-1))&lt;=31,VALUE(LEFT(MID(K46,FIND("/",K46)+1,10),FIND("/",MID(K46,FIND("/",K46)+1,10))-1))&gt;=1,VALUE(LEFT(MID(K46,FIND("/",K46)+1,10),FIND("/",MID(K46,FIND("/",K46)+1,10))-1))&lt;=12,VALUE(LEFT(K46,FIND("/",K46)-1))&lt;=DAY(EOMONTH(DATE(VALUE(MID(MID(K46,FIND("/",K46)+1,10),FIND("/",MID(K46,FIND("/",K46)+1,10))+1,4)),VALUE(LEFT(MID(K46,FIND("/",K46)+1,10),FIND("/",MID(K46,FIND("/",K46)+1,10))-1)),1),0))),0,1),1)=1,"Date; ","")&amp;IF(IFERROR(IF(M46&gt;=0,0,1),1)=1,"Amount; ","")&amp;IF(IFERROR(IF(ISNUMBER(MATCH(N46,Lists!$B$2:$B$7,0)),0,1),1)=1,"Payment; ","")))</f>
        <v/>
      </c>
      <c r="R46" s="3" t="str">
        <f aca="false">IF(D46="","",IF(COUNTIFS($D$2:$D$701,D46,$E$2:$E$701,E46)&gt;1,"DUPLICATE","Unique"))</f>
        <v>Unique</v>
      </c>
    </row>
    <row r="47" customFormat="false" ht="15" hidden="false" customHeight="false" outlineLevel="0" collapsed="false">
      <c r="A47" s="3" t="n">
        <v>46</v>
      </c>
      <c r="B47" s="3" t="n">
        <v>1</v>
      </c>
      <c r="C47" s="3" t="s">
        <v>439</v>
      </c>
      <c r="D47" s="3" t="s">
        <v>440</v>
      </c>
      <c r="E47" s="3" t="s">
        <v>441</v>
      </c>
      <c r="F47" s="3" t="s">
        <v>442</v>
      </c>
      <c r="G47" s="3" t="s">
        <v>443</v>
      </c>
      <c r="H47" s="3" t="s">
        <v>205</v>
      </c>
      <c r="I47" s="3" t="s">
        <v>45</v>
      </c>
      <c r="J47" s="3" t="s">
        <v>444</v>
      </c>
      <c r="K47" s="3" t="s">
        <v>167</v>
      </c>
      <c r="L47" s="3" t="s">
        <v>66</v>
      </c>
      <c r="M47" s="3" t="n">
        <v>14749.68</v>
      </c>
      <c r="N47" s="3" t="s">
        <v>43</v>
      </c>
      <c r="O47" s="3" t="n">
        <f aca="false">IFERROR(LEN(C47&amp;D47&amp;E47&amp;F47&amp;G47&amp;H47&amp;I47&amp;J47&amp;K47&amp;L47&amp;M47&amp;N47)/5,0)</f>
        <v>25.8</v>
      </c>
      <c r="P47" s="3" t="str">
        <f aca="false">IF(OR(D47="",C47=""),"",IF((IFERROR(IF(AND(TRIM(D47)=D47,LEN(D47)&gt;0),0,1),1)+IFERROR(IF(AND(LEN(E47)=10,ISNUMBER(VALUE(E47))),0,1),1)+IFERROR(IF(AND(ISNUMBER(SEARCH("@",F47)),ISNUMBER(SEARCH(".",F47))),0,1),1)+IFERROR(IF(AND(LEN(J47)=6,ISNUMBER(VALUE(J47))),0,1),1)+IFERROR(IF(ISNUMBER(MATCH(TRIM(I47),Lists!$A$2:$A$20,0)),0,1),1)+IFERROR(IF(AND(LEN(K47)=10,VALUE(LEFT(K47,FIND("/",K47)-1))&gt;=1,VALUE(LEFT(K47,FIND("/",K47)-1))&lt;=31,VALUE(LEFT(MID(K47,FIND("/",K47)+1,10),FIND("/",MID(K47,FIND("/",K47)+1,10))-1))&gt;=1,VALUE(LEFT(MID(K47,FIND("/",K47)+1,10),FIND("/",MID(K47,FIND("/",K47)+1,10))-1))&lt;=12,VALUE(LEFT(K47,FIND("/",K47)-1))&lt;=DAY(EOMONTH(DATE(VALUE(MID(MID(K47,FIND("/",K47)+1,10),FIND("/",MID(K47,FIND("/",K47)+1,10))+1,4)),VALUE(LEFT(MID(K47,FIND("/",K47)+1,10),FIND("/",MID(K47,FIND("/",K47)+1,10))-1)),1),0))),0,1),1)+IFERROR(IF(M47&gt;=0,0,1),1)+IFERROR(IF(ISNUMBER(MATCH(N47,Lists!$B$2:$B$7,0)),0,1),1))=0,"OK","ERROR"))</f>
        <v>OK</v>
      </c>
      <c r="Q47" s="3" t="str">
        <f aca="false">IF(D47="","",TRIM(IF(IFERROR(IF(AND(TRIM(D47)=D47,LEN(D47)&gt;0),0,1),1)=1,"Name; ","")&amp;IF(IFERROR(IF(AND(LEN(E47)=10,ISNUMBER(VALUE(E47))),0,1),1)=1,"Phone; ","")&amp;IF(IFERROR(IF(AND(ISNUMBER(SEARCH("@",F47)),ISNUMBER(SEARCH(".",F47))),0,1),1)=1,"Email; ","")&amp;IF(IFERROR(IF(AND(LEN(J47)=6,ISNUMBER(VALUE(J47))),0,1),1)=1,"Pincode; ","")&amp;IF(IFERROR(IF(ISNUMBER(MATCH(TRIM(I47),Lists!$A$2:$A$20,0)),0,1),1)=1,"State; ","")&amp;IF(IFERROR(IF(AND(LEN(K47)=10,VALUE(LEFT(K47,FIND("/",K47)-1))&gt;=1,VALUE(LEFT(K47,FIND("/",K47)-1))&lt;=31,VALUE(LEFT(MID(K47,FIND("/",K47)+1,10),FIND("/",MID(K47,FIND("/",K47)+1,10))-1))&gt;=1,VALUE(LEFT(MID(K47,FIND("/",K47)+1,10),FIND("/",MID(K47,FIND("/",K47)+1,10))-1))&lt;=12,VALUE(LEFT(K47,FIND("/",K47)-1))&lt;=DAY(EOMONTH(DATE(VALUE(MID(MID(K47,FIND("/",K47)+1,10),FIND("/",MID(K47,FIND("/",K47)+1,10))+1,4)),VALUE(LEFT(MID(K47,FIND("/",K47)+1,10),FIND("/",MID(K47,FIND("/",K47)+1,10))-1)),1),0))),0,1),1)=1,"Date; ","")&amp;IF(IFERROR(IF(M47&gt;=0,0,1),1)=1,"Amount; ","")&amp;IF(IFERROR(IF(ISNUMBER(MATCH(N47,Lists!$B$2:$B$7,0)),0,1),1)=1,"Payment; ","")))</f>
        <v/>
      </c>
      <c r="R47" s="3" t="str">
        <f aca="false">IF(D47="","",IF(COUNTIFS($D$2:$D$701,D47,$E$2:$E$701,E47)&gt;1,"DUPLICATE","Unique"))</f>
        <v>Unique</v>
      </c>
    </row>
    <row r="48" customFormat="false" ht="15" hidden="false" customHeight="false" outlineLevel="0" collapsed="false">
      <c r="A48" s="3" t="n">
        <v>47</v>
      </c>
      <c r="B48" s="3" t="n">
        <v>1</v>
      </c>
      <c r="C48" s="3" t="s">
        <v>445</v>
      </c>
      <c r="D48" s="3" t="s">
        <v>446</v>
      </c>
      <c r="E48" s="3" t="s">
        <v>447</v>
      </c>
      <c r="F48" s="3" t="s">
        <v>448</v>
      </c>
      <c r="G48" s="3" t="s">
        <v>449</v>
      </c>
      <c r="H48" s="3" t="s">
        <v>205</v>
      </c>
      <c r="I48" s="3" t="s">
        <v>45</v>
      </c>
      <c r="J48" s="3" t="s">
        <v>450</v>
      </c>
      <c r="K48" s="3" t="s">
        <v>451</v>
      </c>
      <c r="L48" s="3" t="s">
        <v>47</v>
      </c>
      <c r="M48" s="3" t="n">
        <v>2965.1</v>
      </c>
      <c r="N48" s="3" t="s">
        <v>52</v>
      </c>
      <c r="O48" s="3" t="n">
        <f aca="false">IFERROR(LEN(C48&amp;D48&amp;E48&amp;F48&amp;G48&amp;H48&amp;I48&amp;J48&amp;K48&amp;L48&amp;M48&amp;N48)/5,0)</f>
        <v>24.4</v>
      </c>
      <c r="P48" s="3" t="str">
        <f aca="false">IF(OR(D48="",C48=""),"",IF((IFERROR(IF(AND(TRIM(D48)=D48,LEN(D48)&gt;0),0,1),1)+IFERROR(IF(AND(LEN(E48)=10,ISNUMBER(VALUE(E48))),0,1),1)+IFERROR(IF(AND(ISNUMBER(SEARCH("@",F48)),ISNUMBER(SEARCH(".",F48))),0,1),1)+IFERROR(IF(AND(LEN(J48)=6,ISNUMBER(VALUE(J48))),0,1),1)+IFERROR(IF(ISNUMBER(MATCH(TRIM(I48),Lists!$A$2:$A$20,0)),0,1),1)+IFERROR(IF(AND(LEN(K48)=10,VALUE(LEFT(K48,FIND("/",K48)-1))&gt;=1,VALUE(LEFT(K48,FIND("/",K48)-1))&lt;=31,VALUE(LEFT(MID(K48,FIND("/",K48)+1,10),FIND("/",MID(K48,FIND("/",K48)+1,10))-1))&gt;=1,VALUE(LEFT(MID(K48,FIND("/",K48)+1,10),FIND("/",MID(K48,FIND("/",K48)+1,10))-1))&lt;=12,VALUE(LEFT(K48,FIND("/",K48)-1))&lt;=DAY(EOMONTH(DATE(VALUE(MID(MID(K48,FIND("/",K48)+1,10),FIND("/",MID(K48,FIND("/",K48)+1,10))+1,4)),VALUE(LEFT(MID(K48,FIND("/",K48)+1,10),FIND("/",MID(K48,FIND("/",K48)+1,10))-1)),1),0))),0,1),1)+IFERROR(IF(M48&gt;=0,0,1),1)+IFERROR(IF(ISNUMBER(MATCH(N48,Lists!$B$2:$B$7,0)),0,1),1))=0,"OK","ERROR"))</f>
        <v>OK</v>
      </c>
      <c r="Q48" s="3" t="str">
        <f aca="false">IF(D48="","",TRIM(IF(IFERROR(IF(AND(TRIM(D48)=D48,LEN(D48)&gt;0),0,1),1)=1,"Name; ","")&amp;IF(IFERROR(IF(AND(LEN(E48)=10,ISNUMBER(VALUE(E48))),0,1),1)=1,"Phone; ","")&amp;IF(IFERROR(IF(AND(ISNUMBER(SEARCH("@",F48)),ISNUMBER(SEARCH(".",F48))),0,1),1)=1,"Email; ","")&amp;IF(IFERROR(IF(AND(LEN(J48)=6,ISNUMBER(VALUE(J48))),0,1),1)=1,"Pincode; ","")&amp;IF(IFERROR(IF(ISNUMBER(MATCH(TRIM(I48),Lists!$A$2:$A$20,0)),0,1),1)=1,"State; ","")&amp;IF(IFERROR(IF(AND(LEN(K48)=10,VALUE(LEFT(K48,FIND("/",K48)-1))&gt;=1,VALUE(LEFT(K48,FIND("/",K48)-1))&lt;=31,VALUE(LEFT(MID(K48,FIND("/",K48)+1,10),FIND("/",MID(K48,FIND("/",K48)+1,10))-1))&gt;=1,VALUE(LEFT(MID(K48,FIND("/",K48)+1,10),FIND("/",MID(K48,FIND("/",K48)+1,10))-1))&lt;=12,VALUE(LEFT(K48,FIND("/",K48)-1))&lt;=DAY(EOMONTH(DATE(VALUE(MID(MID(K48,FIND("/",K48)+1,10),FIND("/",MID(K48,FIND("/",K48)+1,10))+1,4)),VALUE(LEFT(MID(K48,FIND("/",K48)+1,10),FIND("/",MID(K48,FIND("/",K48)+1,10))-1)),1),0))),0,1),1)=1,"Date; ","")&amp;IF(IFERROR(IF(M48&gt;=0,0,1),1)=1,"Amount; ","")&amp;IF(IFERROR(IF(ISNUMBER(MATCH(N48,Lists!$B$2:$B$7,0)),0,1),1)=1,"Payment; ","")))</f>
        <v/>
      </c>
      <c r="R48" s="3" t="str">
        <f aca="false">IF(D48="","",IF(COUNTIFS($D$2:$D$701,D48,$E$2:$E$701,E48)&gt;1,"DUPLICATE","Unique"))</f>
        <v>Unique</v>
      </c>
    </row>
    <row r="49" customFormat="false" ht="15" hidden="false" customHeight="false" outlineLevel="0" collapsed="false">
      <c r="A49" s="3" t="n">
        <v>48</v>
      </c>
      <c r="B49" s="3" t="n">
        <v>1</v>
      </c>
      <c r="C49" s="3" t="s">
        <v>452</v>
      </c>
      <c r="D49" s="3" t="s">
        <v>453</v>
      </c>
      <c r="E49" s="3" t="s">
        <v>454</v>
      </c>
      <c r="F49" s="3" t="s">
        <v>455</v>
      </c>
      <c r="G49" s="3" t="s">
        <v>456</v>
      </c>
      <c r="H49" s="3" t="s">
        <v>118</v>
      </c>
      <c r="I49" s="3" t="s">
        <v>69</v>
      </c>
      <c r="J49" s="3" t="s">
        <v>457</v>
      </c>
      <c r="K49" s="3" t="s">
        <v>458</v>
      </c>
      <c r="L49" s="3" t="s">
        <v>66</v>
      </c>
      <c r="M49" s="3" t="n">
        <v>15399.06</v>
      </c>
      <c r="N49" s="3" t="s">
        <v>55</v>
      </c>
      <c r="O49" s="3" t="n">
        <f aca="false">IFERROR(LEN(C49&amp;D49&amp;E49&amp;F49&amp;G49&amp;H49&amp;I49&amp;J49&amp;K49&amp;L49&amp;M49&amp;N49)/5,0)</f>
        <v>29.8</v>
      </c>
      <c r="P49" s="3" t="str">
        <f aca="false">IF(OR(D49="",C49=""),"",IF((IFERROR(IF(AND(TRIM(D49)=D49,LEN(D49)&gt;0),0,1),1)+IFERROR(IF(AND(LEN(E49)=10,ISNUMBER(VALUE(E49))),0,1),1)+IFERROR(IF(AND(ISNUMBER(SEARCH("@",F49)),ISNUMBER(SEARCH(".",F49))),0,1),1)+IFERROR(IF(AND(LEN(J49)=6,ISNUMBER(VALUE(J49))),0,1),1)+IFERROR(IF(ISNUMBER(MATCH(TRIM(I49),Lists!$A$2:$A$20,0)),0,1),1)+IFERROR(IF(AND(LEN(K49)=10,VALUE(LEFT(K49,FIND("/",K49)-1))&gt;=1,VALUE(LEFT(K49,FIND("/",K49)-1))&lt;=31,VALUE(LEFT(MID(K49,FIND("/",K49)+1,10),FIND("/",MID(K49,FIND("/",K49)+1,10))-1))&gt;=1,VALUE(LEFT(MID(K49,FIND("/",K49)+1,10),FIND("/",MID(K49,FIND("/",K49)+1,10))-1))&lt;=12,VALUE(LEFT(K49,FIND("/",K49)-1))&lt;=DAY(EOMONTH(DATE(VALUE(MID(MID(K49,FIND("/",K49)+1,10),FIND("/",MID(K49,FIND("/",K49)+1,10))+1,4)),VALUE(LEFT(MID(K49,FIND("/",K49)+1,10),FIND("/",MID(K49,FIND("/",K49)+1,10))-1)),1),0))),0,1),1)+IFERROR(IF(M49&gt;=0,0,1),1)+IFERROR(IF(ISNUMBER(MATCH(N49,Lists!$B$2:$B$7,0)),0,1),1))=0,"OK","ERROR"))</f>
        <v>OK</v>
      </c>
      <c r="Q49" s="3" t="str">
        <f aca="false">IF(D49="","",TRIM(IF(IFERROR(IF(AND(TRIM(D49)=D49,LEN(D49)&gt;0),0,1),1)=1,"Name; ","")&amp;IF(IFERROR(IF(AND(LEN(E49)=10,ISNUMBER(VALUE(E49))),0,1),1)=1,"Phone; ","")&amp;IF(IFERROR(IF(AND(ISNUMBER(SEARCH("@",F49)),ISNUMBER(SEARCH(".",F49))),0,1),1)=1,"Email; ","")&amp;IF(IFERROR(IF(AND(LEN(J49)=6,ISNUMBER(VALUE(J49))),0,1),1)=1,"Pincode; ","")&amp;IF(IFERROR(IF(ISNUMBER(MATCH(TRIM(I49),Lists!$A$2:$A$20,0)),0,1),1)=1,"State; ","")&amp;IF(IFERROR(IF(AND(LEN(K49)=10,VALUE(LEFT(K49,FIND("/",K49)-1))&gt;=1,VALUE(LEFT(K49,FIND("/",K49)-1))&lt;=31,VALUE(LEFT(MID(K49,FIND("/",K49)+1,10),FIND("/",MID(K49,FIND("/",K49)+1,10))-1))&gt;=1,VALUE(LEFT(MID(K49,FIND("/",K49)+1,10),FIND("/",MID(K49,FIND("/",K49)+1,10))-1))&lt;=12,VALUE(LEFT(K49,FIND("/",K49)-1))&lt;=DAY(EOMONTH(DATE(VALUE(MID(MID(K49,FIND("/",K49)+1,10),FIND("/",MID(K49,FIND("/",K49)+1,10))+1,4)),VALUE(LEFT(MID(K49,FIND("/",K49)+1,10),FIND("/",MID(K49,FIND("/",K49)+1,10))-1)),1),0))),0,1),1)=1,"Date; ","")&amp;IF(IFERROR(IF(M49&gt;=0,0,1),1)=1,"Amount; ","")&amp;IF(IFERROR(IF(ISNUMBER(MATCH(N49,Lists!$B$2:$B$7,0)),0,1),1)=1,"Payment; ","")))</f>
        <v/>
      </c>
      <c r="R49" s="3" t="str">
        <f aca="false">IF(D49="","",IF(COUNTIFS($D$2:$D$701,D49,$E$2:$E$701,E49)&gt;1,"DUPLICATE","Unique"))</f>
        <v>Unique</v>
      </c>
    </row>
    <row r="50" customFormat="false" ht="15" hidden="false" customHeight="false" outlineLevel="0" collapsed="false">
      <c r="A50" s="3" t="n">
        <v>49</v>
      </c>
      <c r="B50" s="3" t="n">
        <v>1</v>
      </c>
      <c r="C50" s="3" t="s">
        <v>459</v>
      </c>
      <c r="D50" s="3" t="s">
        <v>460</v>
      </c>
      <c r="E50" s="3" t="s">
        <v>461</v>
      </c>
      <c r="F50" s="3" t="s">
        <v>462</v>
      </c>
      <c r="G50" s="3" t="s">
        <v>463</v>
      </c>
      <c r="H50" s="3" t="s">
        <v>464</v>
      </c>
      <c r="I50" s="3" t="s">
        <v>61</v>
      </c>
      <c r="J50" s="3" t="s">
        <v>465</v>
      </c>
      <c r="K50" s="3" t="s">
        <v>466</v>
      </c>
      <c r="L50" s="3" t="s">
        <v>74</v>
      </c>
      <c r="M50" s="3" t="n">
        <v>9780.22</v>
      </c>
      <c r="N50" s="3" t="s">
        <v>49</v>
      </c>
      <c r="O50" s="3" t="n">
        <f aca="false">IFERROR(LEN(C50&amp;D50&amp;E50&amp;F50&amp;G50&amp;H50&amp;I50&amp;J50&amp;K50&amp;L50&amp;M50&amp;N50)/5,0)</f>
        <v>27.4</v>
      </c>
      <c r="P50" s="3" t="str">
        <f aca="false">IF(OR(D50="",C50=""),"",IF((IFERROR(IF(AND(TRIM(D50)=D50,LEN(D50)&gt;0),0,1),1)+IFERROR(IF(AND(LEN(E50)=10,ISNUMBER(VALUE(E50))),0,1),1)+IFERROR(IF(AND(ISNUMBER(SEARCH("@",F50)),ISNUMBER(SEARCH(".",F50))),0,1),1)+IFERROR(IF(AND(LEN(J50)=6,ISNUMBER(VALUE(J50))),0,1),1)+IFERROR(IF(ISNUMBER(MATCH(TRIM(I50),Lists!$A$2:$A$20,0)),0,1),1)+IFERROR(IF(AND(LEN(K50)=10,VALUE(LEFT(K50,FIND("/",K50)-1))&gt;=1,VALUE(LEFT(K50,FIND("/",K50)-1))&lt;=31,VALUE(LEFT(MID(K50,FIND("/",K50)+1,10),FIND("/",MID(K50,FIND("/",K50)+1,10))-1))&gt;=1,VALUE(LEFT(MID(K50,FIND("/",K50)+1,10),FIND("/",MID(K50,FIND("/",K50)+1,10))-1))&lt;=12,VALUE(LEFT(K50,FIND("/",K50)-1))&lt;=DAY(EOMONTH(DATE(VALUE(MID(MID(K50,FIND("/",K50)+1,10),FIND("/",MID(K50,FIND("/",K50)+1,10))+1,4)),VALUE(LEFT(MID(K50,FIND("/",K50)+1,10),FIND("/",MID(K50,FIND("/",K50)+1,10))-1)),1),0))),0,1),1)+IFERROR(IF(M50&gt;=0,0,1),1)+IFERROR(IF(ISNUMBER(MATCH(N50,Lists!$B$2:$B$7,0)),0,1),1))=0,"OK","ERROR"))</f>
        <v>OK</v>
      </c>
      <c r="Q50" s="3" t="str">
        <f aca="false">IF(D50="","",TRIM(IF(IFERROR(IF(AND(TRIM(D50)=D50,LEN(D50)&gt;0),0,1),1)=1,"Name; ","")&amp;IF(IFERROR(IF(AND(LEN(E50)=10,ISNUMBER(VALUE(E50))),0,1),1)=1,"Phone; ","")&amp;IF(IFERROR(IF(AND(ISNUMBER(SEARCH("@",F50)),ISNUMBER(SEARCH(".",F50))),0,1),1)=1,"Email; ","")&amp;IF(IFERROR(IF(AND(LEN(J50)=6,ISNUMBER(VALUE(J50))),0,1),1)=1,"Pincode; ","")&amp;IF(IFERROR(IF(ISNUMBER(MATCH(TRIM(I50),Lists!$A$2:$A$20,0)),0,1),1)=1,"State; ","")&amp;IF(IFERROR(IF(AND(LEN(K50)=10,VALUE(LEFT(K50,FIND("/",K50)-1))&gt;=1,VALUE(LEFT(K50,FIND("/",K50)-1))&lt;=31,VALUE(LEFT(MID(K50,FIND("/",K50)+1,10),FIND("/",MID(K50,FIND("/",K50)+1,10))-1))&gt;=1,VALUE(LEFT(MID(K50,FIND("/",K50)+1,10),FIND("/",MID(K50,FIND("/",K50)+1,10))-1))&lt;=12,VALUE(LEFT(K50,FIND("/",K50)-1))&lt;=DAY(EOMONTH(DATE(VALUE(MID(MID(K50,FIND("/",K50)+1,10),FIND("/",MID(K50,FIND("/",K50)+1,10))+1,4)),VALUE(LEFT(MID(K50,FIND("/",K50)+1,10),FIND("/",MID(K50,FIND("/",K50)+1,10))-1)),1),0))),0,1),1)=1,"Date; ","")&amp;IF(IFERROR(IF(M50&gt;=0,0,1),1)=1,"Amount; ","")&amp;IF(IFERROR(IF(ISNUMBER(MATCH(N50,Lists!$B$2:$B$7,0)),0,1),1)=1,"Payment; ","")))</f>
        <v/>
      </c>
      <c r="R50" s="3" t="str">
        <f aca="false">IF(D50="","",IF(COUNTIFS($D$2:$D$701,D50,$E$2:$E$701,E50)&gt;1,"DUPLICATE","Unique"))</f>
        <v>Unique</v>
      </c>
    </row>
    <row r="51" customFormat="false" ht="15" hidden="false" customHeight="false" outlineLevel="0" collapsed="false">
      <c r="A51" s="3" t="n">
        <v>50</v>
      </c>
      <c r="B51" s="3" t="n">
        <v>1</v>
      </c>
      <c r="C51" s="3" t="s">
        <v>467</v>
      </c>
      <c r="D51" s="3" t="s">
        <v>468</v>
      </c>
      <c r="E51" s="3" t="s">
        <v>469</v>
      </c>
      <c r="F51" s="3" t="s">
        <v>470</v>
      </c>
      <c r="G51" s="3" t="s">
        <v>471</v>
      </c>
      <c r="H51" s="3" t="s">
        <v>472</v>
      </c>
      <c r="I51" s="3" t="s">
        <v>63</v>
      </c>
      <c r="J51" s="3" t="s">
        <v>473</v>
      </c>
      <c r="K51" s="3" t="s">
        <v>474</v>
      </c>
      <c r="L51" s="3" t="s">
        <v>68</v>
      </c>
      <c r="M51" s="3" t="n">
        <v>6763.95</v>
      </c>
      <c r="N51" s="3" t="s">
        <v>43</v>
      </c>
      <c r="O51" s="3" t="n">
        <f aca="false">IFERROR(LEN(C51&amp;D51&amp;E51&amp;F51&amp;G51&amp;H51&amp;I51&amp;J51&amp;K51&amp;L51&amp;M51&amp;N51)/5,0)</f>
        <v>26.4</v>
      </c>
      <c r="P51" s="3" t="str">
        <f aca="false">IF(OR(D51="",C51=""),"",IF((IFERROR(IF(AND(TRIM(D51)=D51,LEN(D51)&gt;0),0,1),1)+IFERROR(IF(AND(LEN(E51)=10,ISNUMBER(VALUE(E51))),0,1),1)+IFERROR(IF(AND(ISNUMBER(SEARCH("@",F51)),ISNUMBER(SEARCH(".",F51))),0,1),1)+IFERROR(IF(AND(LEN(J51)=6,ISNUMBER(VALUE(J51))),0,1),1)+IFERROR(IF(ISNUMBER(MATCH(TRIM(I51),Lists!$A$2:$A$20,0)),0,1),1)+IFERROR(IF(AND(LEN(K51)=10,VALUE(LEFT(K51,FIND("/",K51)-1))&gt;=1,VALUE(LEFT(K51,FIND("/",K51)-1))&lt;=31,VALUE(LEFT(MID(K51,FIND("/",K51)+1,10),FIND("/",MID(K51,FIND("/",K51)+1,10))-1))&gt;=1,VALUE(LEFT(MID(K51,FIND("/",K51)+1,10),FIND("/",MID(K51,FIND("/",K51)+1,10))-1))&lt;=12,VALUE(LEFT(K51,FIND("/",K51)-1))&lt;=DAY(EOMONTH(DATE(VALUE(MID(MID(K51,FIND("/",K51)+1,10),FIND("/",MID(K51,FIND("/",K51)+1,10))+1,4)),VALUE(LEFT(MID(K51,FIND("/",K51)+1,10),FIND("/",MID(K51,FIND("/",K51)+1,10))-1)),1),0))),0,1),1)+IFERROR(IF(M51&gt;=0,0,1),1)+IFERROR(IF(ISNUMBER(MATCH(N51,Lists!$B$2:$B$7,0)),0,1),1))=0,"OK","ERROR"))</f>
        <v>ERROR</v>
      </c>
      <c r="Q51" s="3" t="str">
        <f aca="false">IF(D51="","",TRIM(IF(IFERROR(IF(AND(TRIM(D51)=D51,LEN(D51)&gt;0),0,1),1)=1,"Name; ","")&amp;IF(IFERROR(IF(AND(LEN(E51)=10,ISNUMBER(VALUE(E51))),0,1),1)=1,"Phone; ","")&amp;IF(IFERROR(IF(AND(ISNUMBER(SEARCH("@",F51)),ISNUMBER(SEARCH(".",F51))),0,1),1)=1,"Email; ","")&amp;IF(IFERROR(IF(AND(LEN(J51)=6,ISNUMBER(VALUE(J51))),0,1),1)=1,"Pincode; ","")&amp;IF(IFERROR(IF(ISNUMBER(MATCH(TRIM(I51),Lists!$A$2:$A$20,0)),0,1),1)=1,"State; ","")&amp;IF(IFERROR(IF(AND(LEN(K51)=10,VALUE(LEFT(K51,FIND("/",K51)-1))&gt;=1,VALUE(LEFT(K51,FIND("/",K51)-1))&lt;=31,VALUE(LEFT(MID(K51,FIND("/",K51)+1,10),FIND("/",MID(K51,FIND("/",K51)+1,10))-1))&gt;=1,VALUE(LEFT(MID(K51,FIND("/",K51)+1,10),FIND("/",MID(K51,FIND("/",K51)+1,10))-1))&lt;=12,VALUE(LEFT(K51,FIND("/",K51)-1))&lt;=DAY(EOMONTH(DATE(VALUE(MID(MID(K51,FIND("/",K51)+1,10),FIND("/",MID(K51,FIND("/",K51)+1,10))+1,4)),VALUE(LEFT(MID(K51,FIND("/",K51)+1,10),FIND("/",MID(K51,FIND("/",K51)+1,10))-1)),1),0))),0,1),1)=1,"Date; ","")&amp;IF(IFERROR(IF(M51&gt;=0,0,1),1)=1,"Amount; ","")&amp;IF(IFERROR(IF(ISNUMBER(MATCH(N51,Lists!$B$2:$B$7,0)),0,1),1)=1,"Payment; ","")))</f>
        <v>Name;</v>
      </c>
      <c r="R51" s="3" t="str">
        <f aca="false">IF(D51="","",IF(COUNTIFS($D$2:$D$701,D51,$E$2:$E$701,E51)&gt;1,"DUPLICATE","Unique"))</f>
        <v>Unique</v>
      </c>
    </row>
    <row r="52" customFormat="false" ht="15" hidden="false" customHeight="false" outlineLevel="0" collapsed="false">
      <c r="A52" s="3" t="n">
        <v>51</v>
      </c>
      <c r="B52" s="3" t="n">
        <v>2</v>
      </c>
      <c r="C52" s="3" t="s">
        <v>475</v>
      </c>
      <c r="D52" s="3" t="s">
        <v>476</v>
      </c>
      <c r="E52" s="3" t="s">
        <v>477</v>
      </c>
      <c r="F52" s="3" t="s">
        <v>478</v>
      </c>
      <c r="G52" s="3" t="s">
        <v>479</v>
      </c>
      <c r="H52" s="3" t="s">
        <v>480</v>
      </c>
      <c r="I52" s="3" t="s">
        <v>51</v>
      </c>
      <c r="J52" s="3" t="s">
        <v>481</v>
      </c>
      <c r="K52" s="3" t="s">
        <v>482</v>
      </c>
      <c r="L52" s="3" t="s">
        <v>44</v>
      </c>
      <c r="M52" s="3" t="n">
        <v>12691.78</v>
      </c>
      <c r="N52" s="3" t="s">
        <v>40</v>
      </c>
      <c r="O52" s="3" t="n">
        <f aca="false">IFERROR(LEN(C52&amp;D52&amp;E52&amp;F52&amp;G52&amp;H52&amp;I52&amp;J52&amp;K52&amp;L52&amp;M52&amp;N52)/5,0)</f>
        <v>28.2</v>
      </c>
      <c r="P52" s="3" t="str">
        <f aca="false">IF(OR(D52="",C52=""),"",IF((IFERROR(IF(AND(TRIM(D52)=D52,LEN(D52)&gt;0),0,1),1)+IFERROR(IF(AND(LEN(E52)=10,ISNUMBER(VALUE(E52))),0,1),1)+IFERROR(IF(AND(ISNUMBER(SEARCH("@",F52)),ISNUMBER(SEARCH(".",F52))),0,1),1)+IFERROR(IF(AND(LEN(J52)=6,ISNUMBER(VALUE(J52))),0,1),1)+IFERROR(IF(ISNUMBER(MATCH(TRIM(I52),Lists!$A$2:$A$20,0)),0,1),1)+IFERROR(IF(AND(LEN(K52)=10,VALUE(LEFT(K52,FIND("/",K52)-1))&gt;=1,VALUE(LEFT(K52,FIND("/",K52)-1))&lt;=31,VALUE(LEFT(MID(K52,FIND("/",K52)+1,10),FIND("/",MID(K52,FIND("/",K52)+1,10))-1))&gt;=1,VALUE(LEFT(MID(K52,FIND("/",K52)+1,10),FIND("/",MID(K52,FIND("/",K52)+1,10))-1))&lt;=12,VALUE(LEFT(K52,FIND("/",K52)-1))&lt;=DAY(EOMONTH(DATE(VALUE(MID(MID(K52,FIND("/",K52)+1,10),FIND("/",MID(K52,FIND("/",K52)+1,10))+1,4)),VALUE(LEFT(MID(K52,FIND("/",K52)+1,10),FIND("/",MID(K52,FIND("/",K52)+1,10))-1)),1),0))),0,1),1)+IFERROR(IF(M52&gt;=0,0,1),1)+IFERROR(IF(ISNUMBER(MATCH(N52,Lists!$B$2:$B$7,0)),0,1),1))=0,"OK","ERROR"))</f>
        <v>OK</v>
      </c>
      <c r="Q52" s="3" t="str">
        <f aca="false">IF(D52="","",TRIM(IF(IFERROR(IF(AND(TRIM(D52)=D52,LEN(D52)&gt;0),0,1),1)=1,"Name; ","")&amp;IF(IFERROR(IF(AND(LEN(E52)=10,ISNUMBER(VALUE(E52))),0,1),1)=1,"Phone; ","")&amp;IF(IFERROR(IF(AND(ISNUMBER(SEARCH("@",F52)),ISNUMBER(SEARCH(".",F52))),0,1),1)=1,"Email; ","")&amp;IF(IFERROR(IF(AND(LEN(J52)=6,ISNUMBER(VALUE(J52))),0,1),1)=1,"Pincode; ","")&amp;IF(IFERROR(IF(ISNUMBER(MATCH(TRIM(I52),Lists!$A$2:$A$20,0)),0,1),1)=1,"State; ","")&amp;IF(IFERROR(IF(AND(LEN(K52)=10,VALUE(LEFT(K52,FIND("/",K52)-1))&gt;=1,VALUE(LEFT(K52,FIND("/",K52)-1))&lt;=31,VALUE(LEFT(MID(K52,FIND("/",K52)+1,10),FIND("/",MID(K52,FIND("/",K52)+1,10))-1))&gt;=1,VALUE(LEFT(MID(K52,FIND("/",K52)+1,10),FIND("/",MID(K52,FIND("/",K52)+1,10))-1))&lt;=12,VALUE(LEFT(K52,FIND("/",K52)-1))&lt;=DAY(EOMONTH(DATE(VALUE(MID(MID(K52,FIND("/",K52)+1,10),FIND("/",MID(K52,FIND("/",K52)+1,10))+1,4)),VALUE(LEFT(MID(K52,FIND("/",K52)+1,10),FIND("/",MID(K52,FIND("/",K52)+1,10))-1)),1),0))),0,1),1)=1,"Date; ","")&amp;IF(IFERROR(IF(M52&gt;=0,0,1),1)=1,"Amount; ","")&amp;IF(IFERROR(IF(ISNUMBER(MATCH(N52,Lists!$B$2:$B$7,0)),0,1),1)=1,"Payment; ","")))</f>
        <v/>
      </c>
      <c r="R52" s="3" t="str">
        <f aca="false">IF(D52="","",IF(COUNTIFS($D$2:$D$701,D52,$E$2:$E$701,E52)&gt;1,"DUPLICATE","Unique"))</f>
        <v>Unique</v>
      </c>
    </row>
    <row r="53" customFormat="false" ht="15" hidden="false" customHeight="false" outlineLevel="0" collapsed="false">
      <c r="A53" s="3" t="n">
        <v>52</v>
      </c>
      <c r="B53" s="3" t="n">
        <v>2</v>
      </c>
      <c r="C53" s="3" t="s">
        <v>483</v>
      </c>
      <c r="D53" s="3" t="s">
        <v>484</v>
      </c>
      <c r="E53" s="3" t="s">
        <v>485</v>
      </c>
      <c r="F53" s="3" t="s">
        <v>486</v>
      </c>
      <c r="G53" s="3" t="s">
        <v>487</v>
      </c>
      <c r="H53" s="3" t="s">
        <v>149</v>
      </c>
      <c r="I53" s="3" t="s">
        <v>61</v>
      </c>
      <c r="J53" s="3" t="s">
        <v>488</v>
      </c>
      <c r="K53" s="3" t="s">
        <v>489</v>
      </c>
      <c r="L53" s="3" t="s">
        <v>44</v>
      </c>
      <c r="M53" s="3" t="n">
        <v>2407.48</v>
      </c>
      <c r="N53" s="3" t="s">
        <v>40</v>
      </c>
      <c r="O53" s="3" t="n">
        <f aca="false">IFERROR(LEN(C53&amp;D53&amp;E53&amp;F53&amp;G53&amp;H53&amp;I53&amp;J53&amp;K53&amp;L53&amp;M53&amp;N53)/5,0)</f>
        <v>28</v>
      </c>
      <c r="P53" s="3" t="str">
        <f aca="false">IF(OR(D53="",C53=""),"",IF((IFERROR(IF(AND(TRIM(D53)=D53,LEN(D53)&gt;0),0,1),1)+IFERROR(IF(AND(LEN(E53)=10,ISNUMBER(VALUE(E53))),0,1),1)+IFERROR(IF(AND(ISNUMBER(SEARCH("@",F53)),ISNUMBER(SEARCH(".",F53))),0,1),1)+IFERROR(IF(AND(LEN(J53)=6,ISNUMBER(VALUE(J53))),0,1),1)+IFERROR(IF(ISNUMBER(MATCH(TRIM(I53),Lists!$A$2:$A$20,0)),0,1),1)+IFERROR(IF(AND(LEN(K53)=10,VALUE(LEFT(K53,FIND("/",K53)-1))&gt;=1,VALUE(LEFT(K53,FIND("/",K53)-1))&lt;=31,VALUE(LEFT(MID(K53,FIND("/",K53)+1,10),FIND("/",MID(K53,FIND("/",K53)+1,10))-1))&gt;=1,VALUE(LEFT(MID(K53,FIND("/",K53)+1,10),FIND("/",MID(K53,FIND("/",K53)+1,10))-1))&lt;=12,VALUE(LEFT(K53,FIND("/",K53)-1))&lt;=DAY(EOMONTH(DATE(VALUE(MID(MID(K53,FIND("/",K53)+1,10),FIND("/",MID(K53,FIND("/",K53)+1,10))+1,4)),VALUE(LEFT(MID(K53,FIND("/",K53)+1,10),FIND("/",MID(K53,FIND("/",K53)+1,10))-1)),1),0))),0,1),1)+IFERROR(IF(M53&gt;=0,0,1),1)+IFERROR(IF(ISNUMBER(MATCH(N53,Lists!$B$2:$B$7,0)),0,1),1))=0,"OK","ERROR"))</f>
        <v>OK</v>
      </c>
      <c r="Q53" s="3" t="str">
        <f aca="false">IF(D53="","",TRIM(IF(IFERROR(IF(AND(TRIM(D53)=D53,LEN(D53)&gt;0),0,1),1)=1,"Name; ","")&amp;IF(IFERROR(IF(AND(LEN(E53)=10,ISNUMBER(VALUE(E53))),0,1),1)=1,"Phone; ","")&amp;IF(IFERROR(IF(AND(ISNUMBER(SEARCH("@",F53)),ISNUMBER(SEARCH(".",F53))),0,1),1)=1,"Email; ","")&amp;IF(IFERROR(IF(AND(LEN(J53)=6,ISNUMBER(VALUE(J53))),0,1),1)=1,"Pincode; ","")&amp;IF(IFERROR(IF(ISNUMBER(MATCH(TRIM(I53),Lists!$A$2:$A$20,0)),0,1),1)=1,"State; ","")&amp;IF(IFERROR(IF(AND(LEN(K53)=10,VALUE(LEFT(K53,FIND("/",K53)-1))&gt;=1,VALUE(LEFT(K53,FIND("/",K53)-1))&lt;=31,VALUE(LEFT(MID(K53,FIND("/",K53)+1,10),FIND("/",MID(K53,FIND("/",K53)+1,10))-1))&gt;=1,VALUE(LEFT(MID(K53,FIND("/",K53)+1,10),FIND("/",MID(K53,FIND("/",K53)+1,10))-1))&lt;=12,VALUE(LEFT(K53,FIND("/",K53)-1))&lt;=DAY(EOMONTH(DATE(VALUE(MID(MID(K53,FIND("/",K53)+1,10),FIND("/",MID(K53,FIND("/",K53)+1,10))+1,4)),VALUE(LEFT(MID(K53,FIND("/",K53)+1,10),FIND("/",MID(K53,FIND("/",K53)+1,10))-1)),1),0))),0,1),1)=1,"Date; ","")&amp;IF(IFERROR(IF(M53&gt;=0,0,1),1)=1,"Amount; ","")&amp;IF(IFERROR(IF(ISNUMBER(MATCH(N53,Lists!$B$2:$B$7,0)),0,1),1)=1,"Payment; ","")))</f>
        <v/>
      </c>
      <c r="R53" s="3" t="str">
        <f aca="false">IF(D53="","",IF(COUNTIFS($D$2:$D$701,D53,$E$2:$E$701,E53)&gt;1,"DUPLICATE","Unique"))</f>
        <v>Unique</v>
      </c>
    </row>
    <row r="54" customFormat="false" ht="15" hidden="false" customHeight="false" outlineLevel="0" collapsed="false">
      <c r="A54" s="3" t="n">
        <v>53</v>
      </c>
      <c r="B54" s="3" t="n">
        <v>2</v>
      </c>
      <c r="C54" s="3" t="s">
        <v>490</v>
      </c>
      <c r="D54" s="3" t="s">
        <v>491</v>
      </c>
      <c r="E54" s="3" t="s">
        <v>492</v>
      </c>
      <c r="F54" s="3" t="s">
        <v>493</v>
      </c>
      <c r="G54" s="3" t="s">
        <v>494</v>
      </c>
      <c r="H54" s="3" t="s">
        <v>165</v>
      </c>
      <c r="I54" s="3" t="s">
        <v>63</v>
      </c>
      <c r="J54" s="3" t="s">
        <v>495</v>
      </c>
      <c r="K54" s="3" t="s">
        <v>496</v>
      </c>
      <c r="L54" s="3" t="s">
        <v>41</v>
      </c>
      <c r="M54" s="3" t="n">
        <v>11105.43</v>
      </c>
      <c r="N54" s="3" t="s">
        <v>43</v>
      </c>
      <c r="O54" s="3" t="n">
        <f aca="false">IFERROR(LEN(C54&amp;D54&amp;E54&amp;F54&amp;G54&amp;H54&amp;I54&amp;J54&amp;K54&amp;L54&amp;M54&amp;N54)/5,0)</f>
        <v>27.8</v>
      </c>
      <c r="P54" s="3" t="str">
        <f aca="false">IF(OR(D54="",C54=""),"",IF((IFERROR(IF(AND(TRIM(D54)=D54,LEN(D54)&gt;0),0,1),1)+IFERROR(IF(AND(LEN(E54)=10,ISNUMBER(VALUE(E54))),0,1),1)+IFERROR(IF(AND(ISNUMBER(SEARCH("@",F54)),ISNUMBER(SEARCH(".",F54))),0,1),1)+IFERROR(IF(AND(LEN(J54)=6,ISNUMBER(VALUE(J54))),0,1),1)+IFERROR(IF(ISNUMBER(MATCH(TRIM(I54),Lists!$A$2:$A$20,0)),0,1),1)+IFERROR(IF(AND(LEN(K54)=10,VALUE(LEFT(K54,FIND("/",K54)-1))&gt;=1,VALUE(LEFT(K54,FIND("/",K54)-1))&lt;=31,VALUE(LEFT(MID(K54,FIND("/",K54)+1,10),FIND("/",MID(K54,FIND("/",K54)+1,10))-1))&gt;=1,VALUE(LEFT(MID(K54,FIND("/",K54)+1,10),FIND("/",MID(K54,FIND("/",K54)+1,10))-1))&lt;=12,VALUE(LEFT(K54,FIND("/",K54)-1))&lt;=DAY(EOMONTH(DATE(VALUE(MID(MID(K54,FIND("/",K54)+1,10),FIND("/",MID(K54,FIND("/",K54)+1,10))+1,4)),VALUE(LEFT(MID(K54,FIND("/",K54)+1,10),FIND("/",MID(K54,FIND("/",K54)+1,10))-1)),1),0))),0,1),1)+IFERROR(IF(M54&gt;=0,0,1),1)+IFERROR(IF(ISNUMBER(MATCH(N54,Lists!$B$2:$B$7,0)),0,1),1))=0,"OK","ERROR"))</f>
        <v>OK</v>
      </c>
      <c r="Q54" s="3" t="str">
        <f aca="false">IF(D54="","",TRIM(IF(IFERROR(IF(AND(TRIM(D54)=D54,LEN(D54)&gt;0),0,1),1)=1,"Name; ","")&amp;IF(IFERROR(IF(AND(LEN(E54)=10,ISNUMBER(VALUE(E54))),0,1),1)=1,"Phone; ","")&amp;IF(IFERROR(IF(AND(ISNUMBER(SEARCH("@",F54)),ISNUMBER(SEARCH(".",F54))),0,1),1)=1,"Email; ","")&amp;IF(IFERROR(IF(AND(LEN(J54)=6,ISNUMBER(VALUE(J54))),0,1),1)=1,"Pincode; ","")&amp;IF(IFERROR(IF(ISNUMBER(MATCH(TRIM(I54),Lists!$A$2:$A$20,0)),0,1),1)=1,"State; ","")&amp;IF(IFERROR(IF(AND(LEN(K54)=10,VALUE(LEFT(K54,FIND("/",K54)-1))&gt;=1,VALUE(LEFT(K54,FIND("/",K54)-1))&lt;=31,VALUE(LEFT(MID(K54,FIND("/",K54)+1,10),FIND("/",MID(K54,FIND("/",K54)+1,10))-1))&gt;=1,VALUE(LEFT(MID(K54,FIND("/",K54)+1,10),FIND("/",MID(K54,FIND("/",K54)+1,10))-1))&lt;=12,VALUE(LEFT(K54,FIND("/",K54)-1))&lt;=DAY(EOMONTH(DATE(VALUE(MID(MID(K54,FIND("/",K54)+1,10),FIND("/",MID(K54,FIND("/",K54)+1,10))+1,4)),VALUE(LEFT(MID(K54,FIND("/",K54)+1,10),FIND("/",MID(K54,FIND("/",K54)+1,10))-1)),1),0))),0,1),1)=1,"Date; ","")&amp;IF(IFERROR(IF(M54&gt;=0,0,1),1)=1,"Amount; ","")&amp;IF(IFERROR(IF(ISNUMBER(MATCH(N54,Lists!$B$2:$B$7,0)),0,1),1)=1,"Payment; ","")))</f>
        <v/>
      </c>
      <c r="R54" s="3" t="str">
        <f aca="false">IF(D54="","",IF(COUNTIFS($D$2:$D$701,D54,$E$2:$E$701,E54)&gt;1,"DUPLICATE","Unique"))</f>
        <v>Unique</v>
      </c>
    </row>
    <row r="55" customFormat="false" ht="15" hidden="false" customHeight="false" outlineLevel="0" collapsed="false">
      <c r="A55" s="3" t="n">
        <v>54</v>
      </c>
      <c r="B55" s="3" t="n">
        <v>2</v>
      </c>
      <c r="C55" s="3" t="s">
        <v>497</v>
      </c>
      <c r="D55" s="3" t="s">
        <v>498</v>
      </c>
      <c r="E55" s="3" t="s">
        <v>499</v>
      </c>
      <c r="F55" s="3" t="s">
        <v>500</v>
      </c>
      <c r="G55" s="3" t="s">
        <v>501</v>
      </c>
      <c r="H55" s="3" t="s">
        <v>502</v>
      </c>
      <c r="I55" s="3" t="s">
        <v>73</v>
      </c>
      <c r="J55" s="3" t="s">
        <v>503</v>
      </c>
      <c r="K55" s="3" t="s">
        <v>504</v>
      </c>
      <c r="L55" s="3" t="s">
        <v>50</v>
      </c>
      <c r="M55" s="3" t="n">
        <v>15822.37</v>
      </c>
      <c r="N55" s="3" t="s">
        <v>52</v>
      </c>
      <c r="O55" s="3" t="n">
        <f aca="false">IFERROR(LEN(C55&amp;D55&amp;E55&amp;F55&amp;G55&amp;H55&amp;I55&amp;J55&amp;K55&amp;L55&amp;M55&amp;N55)/5,0)</f>
        <v>25.6</v>
      </c>
      <c r="P55" s="3" t="str">
        <f aca="false">IF(OR(D55="",C55=""),"",IF((IFERROR(IF(AND(TRIM(D55)=D55,LEN(D55)&gt;0),0,1),1)+IFERROR(IF(AND(LEN(E55)=10,ISNUMBER(VALUE(E55))),0,1),1)+IFERROR(IF(AND(ISNUMBER(SEARCH("@",F55)),ISNUMBER(SEARCH(".",F55))),0,1),1)+IFERROR(IF(AND(LEN(J55)=6,ISNUMBER(VALUE(J55))),0,1),1)+IFERROR(IF(ISNUMBER(MATCH(TRIM(I55),Lists!$A$2:$A$20,0)),0,1),1)+IFERROR(IF(AND(LEN(K55)=10,VALUE(LEFT(K55,FIND("/",K55)-1))&gt;=1,VALUE(LEFT(K55,FIND("/",K55)-1))&lt;=31,VALUE(LEFT(MID(K55,FIND("/",K55)+1,10),FIND("/",MID(K55,FIND("/",K55)+1,10))-1))&gt;=1,VALUE(LEFT(MID(K55,FIND("/",K55)+1,10),FIND("/",MID(K55,FIND("/",K55)+1,10))-1))&lt;=12,VALUE(LEFT(K55,FIND("/",K55)-1))&lt;=DAY(EOMONTH(DATE(VALUE(MID(MID(K55,FIND("/",K55)+1,10),FIND("/",MID(K55,FIND("/",K55)+1,10))+1,4)),VALUE(LEFT(MID(K55,FIND("/",K55)+1,10),FIND("/",MID(K55,FIND("/",K55)+1,10))-1)),1),0))),0,1),1)+IFERROR(IF(M55&gt;=0,0,1),1)+IFERROR(IF(ISNUMBER(MATCH(N55,Lists!$B$2:$B$7,0)),0,1),1))=0,"OK","ERROR"))</f>
        <v>OK</v>
      </c>
      <c r="Q55" s="3" t="str">
        <f aca="false">IF(D55="","",TRIM(IF(IFERROR(IF(AND(TRIM(D55)=D55,LEN(D55)&gt;0),0,1),1)=1,"Name; ","")&amp;IF(IFERROR(IF(AND(LEN(E55)=10,ISNUMBER(VALUE(E55))),0,1),1)=1,"Phone; ","")&amp;IF(IFERROR(IF(AND(ISNUMBER(SEARCH("@",F55)),ISNUMBER(SEARCH(".",F55))),0,1),1)=1,"Email; ","")&amp;IF(IFERROR(IF(AND(LEN(J55)=6,ISNUMBER(VALUE(J55))),0,1),1)=1,"Pincode; ","")&amp;IF(IFERROR(IF(ISNUMBER(MATCH(TRIM(I55),Lists!$A$2:$A$20,0)),0,1),1)=1,"State; ","")&amp;IF(IFERROR(IF(AND(LEN(K55)=10,VALUE(LEFT(K55,FIND("/",K55)-1))&gt;=1,VALUE(LEFT(K55,FIND("/",K55)-1))&lt;=31,VALUE(LEFT(MID(K55,FIND("/",K55)+1,10),FIND("/",MID(K55,FIND("/",K55)+1,10))-1))&gt;=1,VALUE(LEFT(MID(K55,FIND("/",K55)+1,10),FIND("/",MID(K55,FIND("/",K55)+1,10))-1))&lt;=12,VALUE(LEFT(K55,FIND("/",K55)-1))&lt;=DAY(EOMONTH(DATE(VALUE(MID(MID(K55,FIND("/",K55)+1,10),FIND("/",MID(K55,FIND("/",K55)+1,10))+1,4)),VALUE(LEFT(MID(K55,FIND("/",K55)+1,10),FIND("/",MID(K55,FIND("/",K55)+1,10))-1)),1),0))),0,1),1)=1,"Date; ","")&amp;IF(IFERROR(IF(M55&gt;=0,0,1),1)=1,"Amount; ","")&amp;IF(IFERROR(IF(ISNUMBER(MATCH(N55,Lists!$B$2:$B$7,0)),0,1),1)=1,"Payment; ","")))</f>
        <v/>
      </c>
      <c r="R55" s="3" t="str">
        <f aca="false">IF(D55="","",IF(COUNTIFS($D$2:$D$701,D55,$E$2:$E$701,E55)&gt;1,"DUPLICATE","Unique"))</f>
        <v>Unique</v>
      </c>
    </row>
    <row r="56" customFormat="false" ht="15" hidden="false" customHeight="false" outlineLevel="0" collapsed="false">
      <c r="A56" s="3" t="n">
        <v>55</v>
      </c>
      <c r="B56" s="3" t="n">
        <v>2</v>
      </c>
      <c r="C56" s="3" t="s">
        <v>505</v>
      </c>
      <c r="D56" s="3" t="s">
        <v>506</v>
      </c>
      <c r="E56" s="3" t="s">
        <v>507</v>
      </c>
      <c r="F56" s="3" t="s">
        <v>508</v>
      </c>
      <c r="G56" s="3" t="s">
        <v>509</v>
      </c>
      <c r="H56" s="3" t="s">
        <v>510</v>
      </c>
      <c r="I56" s="3" t="s">
        <v>57</v>
      </c>
      <c r="J56" s="3" t="s">
        <v>511</v>
      </c>
      <c r="K56" s="3" t="s">
        <v>512</v>
      </c>
      <c r="L56" s="3" t="s">
        <v>41</v>
      </c>
      <c r="M56" s="3" t="n">
        <v>5859.23</v>
      </c>
      <c r="N56" s="3" t="s">
        <v>43</v>
      </c>
      <c r="O56" s="3" t="n">
        <f aca="false">IFERROR(LEN(C56&amp;D56&amp;E56&amp;F56&amp;G56&amp;H56&amp;I56&amp;J56&amp;K56&amp;L56&amp;M56&amp;N56)/5,0)</f>
        <v>25.4</v>
      </c>
      <c r="P56" s="3" t="str">
        <f aca="false">IF(OR(D56="",C56=""),"",IF((IFERROR(IF(AND(TRIM(D56)=D56,LEN(D56)&gt;0),0,1),1)+IFERROR(IF(AND(LEN(E56)=10,ISNUMBER(VALUE(E56))),0,1),1)+IFERROR(IF(AND(ISNUMBER(SEARCH("@",F56)),ISNUMBER(SEARCH(".",F56))),0,1),1)+IFERROR(IF(AND(LEN(J56)=6,ISNUMBER(VALUE(J56))),0,1),1)+IFERROR(IF(ISNUMBER(MATCH(TRIM(I56),Lists!$A$2:$A$20,0)),0,1),1)+IFERROR(IF(AND(LEN(K56)=10,VALUE(LEFT(K56,FIND("/",K56)-1))&gt;=1,VALUE(LEFT(K56,FIND("/",K56)-1))&lt;=31,VALUE(LEFT(MID(K56,FIND("/",K56)+1,10),FIND("/",MID(K56,FIND("/",K56)+1,10))-1))&gt;=1,VALUE(LEFT(MID(K56,FIND("/",K56)+1,10),FIND("/",MID(K56,FIND("/",K56)+1,10))-1))&lt;=12,VALUE(LEFT(K56,FIND("/",K56)-1))&lt;=DAY(EOMONTH(DATE(VALUE(MID(MID(K56,FIND("/",K56)+1,10),FIND("/",MID(K56,FIND("/",K56)+1,10))+1,4)),VALUE(LEFT(MID(K56,FIND("/",K56)+1,10),FIND("/",MID(K56,FIND("/",K56)+1,10))-1)),1),0))),0,1),1)+IFERROR(IF(M56&gt;=0,0,1),1)+IFERROR(IF(ISNUMBER(MATCH(N56,Lists!$B$2:$B$7,0)),0,1),1))=0,"OK","ERROR"))</f>
        <v>OK</v>
      </c>
      <c r="Q56" s="3" t="str">
        <f aca="false">IF(D56="","",TRIM(IF(IFERROR(IF(AND(TRIM(D56)=D56,LEN(D56)&gt;0),0,1),1)=1,"Name; ","")&amp;IF(IFERROR(IF(AND(LEN(E56)=10,ISNUMBER(VALUE(E56))),0,1),1)=1,"Phone; ","")&amp;IF(IFERROR(IF(AND(ISNUMBER(SEARCH("@",F56)),ISNUMBER(SEARCH(".",F56))),0,1),1)=1,"Email; ","")&amp;IF(IFERROR(IF(AND(LEN(J56)=6,ISNUMBER(VALUE(J56))),0,1),1)=1,"Pincode; ","")&amp;IF(IFERROR(IF(ISNUMBER(MATCH(TRIM(I56),Lists!$A$2:$A$20,0)),0,1),1)=1,"State; ","")&amp;IF(IFERROR(IF(AND(LEN(K56)=10,VALUE(LEFT(K56,FIND("/",K56)-1))&gt;=1,VALUE(LEFT(K56,FIND("/",K56)-1))&lt;=31,VALUE(LEFT(MID(K56,FIND("/",K56)+1,10),FIND("/",MID(K56,FIND("/",K56)+1,10))-1))&gt;=1,VALUE(LEFT(MID(K56,FIND("/",K56)+1,10),FIND("/",MID(K56,FIND("/",K56)+1,10))-1))&lt;=12,VALUE(LEFT(K56,FIND("/",K56)-1))&lt;=DAY(EOMONTH(DATE(VALUE(MID(MID(K56,FIND("/",K56)+1,10),FIND("/",MID(K56,FIND("/",K56)+1,10))+1,4)),VALUE(LEFT(MID(K56,FIND("/",K56)+1,10),FIND("/",MID(K56,FIND("/",K56)+1,10))-1)),1),0))),0,1),1)=1,"Date; ","")&amp;IF(IFERROR(IF(M56&gt;=0,0,1),1)=1,"Amount; ","")&amp;IF(IFERROR(IF(ISNUMBER(MATCH(N56,Lists!$B$2:$B$7,0)),0,1),1)=1,"Payment; ","")))</f>
        <v/>
      </c>
      <c r="R56" s="3" t="str">
        <f aca="false">IF(D56="","",IF(COUNTIFS($D$2:$D$701,D56,$E$2:$E$701,E56)&gt;1,"DUPLICATE","Unique"))</f>
        <v>Unique</v>
      </c>
    </row>
    <row r="57" customFormat="false" ht="15" hidden="false" customHeight="false" outlineLevel="0" collapsed="false">
      <c r="A57" s="3" t="n">
        <v>56</v>
      </c>
      <c r="B57" s="3" t="n">
        <v>2</v>
      </c>
      <c r="C57" s="3" t="s">
        <v>513</v>
      </c>
      <c r="D57" s="3" t="s">
        <v>514</v>
      </c>
      <c r="E57" s="3" t="s">
        <v>515</v>
      </c>
      <c r="F57" s="3" t="s">
        <v>516</v>
      </c>
      <c r="G57" s="3" t="s">
        <v>517</v>
      </c>
      <c r="H57" s="3" t="s">
        <v>266</v>
      </c>
      <c r="I57" s="3" t="s">
        <v>78</v>
      </c>
      <c r="J57" s="3" t="s">
        <v>518</v>
      </c>
      <c r="K57" s="3" t="s">
        <v>519</v>
      </c>
      <c r="L57" s="3" t="s">
        <v>41</v>
      </c>
      <c r="M57" s="3" t="n">
        <v>11689.44</v>
      </c>
      <c r="N57" s="3" t="s">
        <v>55</v>
      </c>
      <c r="O57" s="3" t="n">
        <f aca="false">IFERROR(LEN(C57&amp;D57&amp;E57&amp;F57&amp;G57&amp;H57&amp;I57&amp;J57&amp;K57&amp;L57&amp;M57&amp;N57)/5,0)</f>
        <v>27.6</v>
      </c>
      <c r="P57" s="3" t="str">
        <f aca="false">IF(OR(D57="",C57=""),"",IF((IFERROR(IF(AND(TRIM(D57)=D57,LEN(D57)&gt;0),0,1),1)+IFERROR(IF(AND(LEN(E57)=10,ISNUMBER(VALUE(E57))),0,1),1)+IFERROR(IF(AND(ISNUMBER(SEARCH("@",F57)),ISNUMBER(SEARCH(".",F57))),0,1),1)+IFERROR(IF(AND(LEN(J57)=6,ISNUMBER(VALUE(J57))),0,1),1)+IFERROR(IF(ISNUMBER(MATCH(TRIM(I57),Lists!$A$2:$A$20,0)),0,1),1)+IFERROR(IF(AND(LEN(K57)=10,VALUE(LEFT(K57,FIND("/",K57)-1))&gt;=1,VALUE(LEFT(K57,FIND("/",K57)-1))&lt;=31,VALUE(LEFT(MID(K57,FIND("/",K57)+1,10),FIND("/",MID(K57,FIND("/",K57)+1,10))-1))&gt;=1,VALUE(LEFT(MID(K57,FIND("/",K57)+1,10),FIND("/",MID(K57,FIND("/",K57)+1,10))-1))&lt;=12,VALUE(LEFT(K57,FIND("/",K57)-1))&lt;=DAY(EOMONTH(DATE(VALUE(MID(MID(K57,FIND("/",K57)+1,10),FIND("/",MID(K57,FIND("/",K57)+1,10))+1,4)),VALUE(LEFT(MID(K57,FIND("/",K57)+1,10),FIND("/",MID(K57,FIND("/",K57)+1,10))-1)),1),0))),0,1),1)+IFERROR(IF(M57&gt;=0,0,1),1)+IFERROR(IF(ISNUMBER(MATCH(N57,Lists!$B$2:$B$7,0)),0,1),1))=0,"OK","ERROR"))</f>
        <v>OK</v>
      </c>
      <c r="Q57" s="3" t="str">
        <f aca="false">IF(D57="","",TRIM(IF(IFERROR(IF(AND(TRIM(D57)=D57,LEN(D57)&gt;0),0,1),1)=1,"Name; ","")&amp;IF(IFERROR(IF(AND(LEN(E57)=10,ISNUMBER(VALUE(E57))),0,1),1)=1,"Phone; ","")&amp;IF(IFERROR(IF(AND(ISNUMBER(SEARCH("@",F57)),ISNUMBER(SEARCH(".",F57))),0,1),1)=1,"Email; ","")&amp;IF(IFERROR(IF(AND(LEN(J57)=6,ISNUMBER(VALUE(J57))),0,1),1)=1,"Pincode; ","")&amp;IF(IFERROR(IF(ISNUMBER(MATCH(TRIM(I57),Lists!$A$2:$A$20,0)),0,1),1)=1,"State; ","")&amp;IF(IFERROR(IF(AND(LEN(K57)=10,VALUE(LEFT(K57,FIND("/",K57)-1))&gt;=1,VALUE(LEFT(K57,FIND("/",K57)-1))&lt;=31,VALUE(LEFT(MID(K57,FIND("/",K57)+1,10),FIND("/",MID(K57,FIND("/",K57)+1,10))-1))&gt;=1,VALUE(LEFT(MID(K57,FIND("/",K57)+1,10),FIND("/",MID(K57,FIND("/",K57)+1,10))-1))&lt;=12,VALUE(LEFT(K57,FIND("/",K57)-1))&lt;=DAY(EOMONTH(DATE(VALUE(MID(MID(K57,FIND("/",K57)+1,10),FIND("/",MID(K57,FIND("/",K57)+1,10))+1,4)),VALUE(LEFT(MID(K57,FIND("/",K57)+1,10),FIND("/",MID(K57,FIND("/",K57)+1,10))-1)),1),0))),0,1),1)=1,"Date; ","")&amp;IF(IFERROR(IF(M57&gt;=0,0,1),1)=1,"Amount; ","")&amp;IF(IFERROR(IF(ISNUMBER(MATCH(N57,Lists!$B$2:$B$7,0)),0,1),1)=1,"Payment; ","")))</f>
        <v/>
      </c>
      <c r="R57" s="3" t="str">
        <f aca="false">IF(D57="","",IF(COUNTIFS($D$2:$D$701,D57,$E$2:$E$701,E57)&gt;1,"DUPLICATE","Unique"))</f>
        <v>Unique</v>
      </c>
    </row>
    <row r="58" customFormat="false" ht="15" hidden="false" customHeight="false" outlineLevel="0" collapsed="false">
      <c r="A58" s="3" t="n">
        <v>57</v>
      </c>
      <c r="B58" s="3" t="n">
        <v>2</v>
      </c>
      <c r="C58" s="3" t="s">
        <v>520</v>
      </c>
      <c r="D58" s="3" t="s">
        <v>521</v>
      </c>
      <c r="E58" s="3" t="s">
        <v>522</v>
      </c>
      <c r="F58" s="3" t="s">
        <v>523</v>
      </c>
      <c r="G58" s="3" t="s">
        <v>524</v>
      </c>
      <c r="H58" s="3" t="s">
        <v>525</v>
      </c>
      <c r="I58" s="3" t="s">
        <v>76</v>
      </c>
      <c r="J58" s="3" t="s">
        <v>526</v>
      </c>
      <c r="K58" s="3" t="s">
        <v>527</v>
      </c>
      <c r="L58" s="3" t="s">
        <v>66</v>
      </c>
      <c r="M58" s="3" t="n">
        <v>9447.76</v>
      </c>
      <c r="N58" s="3" t="s">
        <v>55</v>
      </c>
      <c r="O58" s="3" t="n">
        <f aca="false">IFERROR(LEN(C58&amp;D58&amp;E58&amp;F58&amp;G58&amp;H58&amp;I58&amp;J58&amp;K58&amp;L58&amp;M58&amp;N58)/5,0)</f>
        <v>28.4</v>
      </c>
      <c r="P58" s="3" t="str">
        <f aca="false">IF(OR(D58="",C58=""),"",IF((IFERROR(IF(AND(TRIM(D58)=D58,LEN(D58)&gt;0),0,1),1)+IFERROR(IF(AND(LEN(E58)=10,ISNUMBER(VALUE(E58))),0,1),1)+IFERROR(IF(AND(ISNUMBER(SEARCH("@",F58)),ISNUMBER(SEARCH(".",F58))),0,1),1)+IFERROR(IF(AND(LEN(J58)=6,ISNUMBER(VALUE(J58))),0,1),1)+IFERROR(IF(ISNUMBER(MATCH(TRIM(I58),Lists!$A$2:$A$20,0)),0,1),1)+IFERROR(IF(AND(LEN(K58)=10,VALUE(LEFT(K58,FIND("/",K58)-1))&gt;=1,VALUE(LEFT(K58,FIND("/",K58)-1))&lt;=31,VALUE(LEFT(MID(K58,FIND("/",K58)+1,10),FIND("/",MID(K58,FIND("/",K58)+1,10))-1))&gt;=1,VALUE(LEFT(MID(K58,FIND("/",K58)+1,10),FIND("/",MID(K58,FIND("/",K58)+1,10))-1))&lt;=12,VALUE(LEFT(K58,FIND("/",K58)-1))&lt;=DAY(EOMONTH(DATE(VALUE(MID(MID(K58,FIND("/",K58)+1,10),FIND("/",MID(K58,FIND("/",K58)+1,10))+1,4)),VALUE(LEFT(MID(K58,FIND("/",K58)+1,10),FIND("/",MID(K58,FIND("/",K58)+1,10))-1)),1),0))),0,1),1)+IFERROR(IF(M58&gt;=0,0,1),1)+IFERROR(IF(ISNUMBER(MATCH(N58,Lists!$B$2:$B$7,0)),0,1),1))=0,"OK","ERROR"))</f>
        <v>OK</v>
      </c>
      <c r="Q58" s="3" t="str">
        <f aca="false">IF(D58="","",TRIM(IF(IFERROR(IF(AND(TRIM(D58)=D58,LEN(D58)&gt;0),0,1),1)=1,"Name; ","")&amp;IF(IFERROR(IF(AND(LEN(E58)=10,ISNUMBER(VALUE(E58))),0,1),1)=1,"Phone; ","")&amp;IF(IFERROR(IF(AND(ISNUMBER(SEARCH("@",F58)),ISNUMBER(SEARCH(".",F58))),0,1),1)=1,"Email; ","")&amp;IF(IFERROR(IF(AND(LEN(J58)=6,ISNUMBER(VALUE(J58))),0,1),1)=1,"Pincode; ","")&amp;IF(IFERROR(IF(ISNUMBER(MATCH(TRIM(I58),Lists!$A$2:$A$20,0)),0,1),1)=1,"State; ","")&amp;IF(IFERROR(IF(AND(LEN(K58)=10,VALUE(LEFT(K58,FIND("/",K58)-1))&gt;=1,VALUE(LEFT(K58,FIND("/",K58)-1))&lt;=31,VALUE(LEFT(MID(K58,FIND("/",K58)+1,10),FIND("/",MID(K58,FIND("/",K58)+1,10))-1))&gt;=1,VALUE(LEFT(MID(K58,FIND("/",K58)+1,10),FIND("/",MID(K58,FIND("/",K58)+1,10))-1))&lt;=12,VALUE(LEFT(K58,FIND("/",K58)-1))&lt;=DAY(EOMONTH(DATE(VALUE(MID(MID(K58,FIND("/",K58)+1,10),FIND("/",MID(K58,FIND("/",K58)+1,10))+1,4)),VALUE(LEFT(MID(K58,FIND("/",K58)+1,10),FIND("/",MID(K58,FIND("/",K58)+1,10))-1)),1),0))),0,1),1)=1,"Date; ","")&amp;IF(IFERROR(IF(M58&gt;=0,0,1),1)=1,"Amount; ","")&amp;IF(IFERROR(IF(ISNUMBER(MATCH(N58,Lists!$B$2:$B$7,0)),0,1),1)=1,"Payment; ","")))</f>
        <v/>
      </c>
      <c r="R58" s="3" t="str">
        <f aca="false">IF(D58="","",IF(COUNTIFS($D$2:$D$701,D58,$E$2:$E$701,E58)&gt;1,"DUPLICATE","Unique"))</f>
        <v>Unique</v>
      </c>
    </row>
    <row r="59" customFormat="false" ht="15" hidden="false" customHeight="false" outlineLevel="0" collapsed="false">
      <c r="A59" s="3" t="n">
        <v>58</v>
      </c>
      <c r="B59" s="3" t="n">
        <v>2</v>
      </c>
      <c r="C59" s="3" t="s">
        <v>528</v>
      </c>
      <c r="D59" s="3" t="s">
        <v>529</v>
      </c>
      <c r="E59" s="3" t="s">
        <v>530</v>
      </c>
      <c r="F59" s="3" t="s">
        <v>531</v>
      </c>
      <c r="G59" s="3" t="s">
        <v>532</v>
      </c>
      <c r="H59" s="3" t="s">
        <v>250</v>
      </c>
      <c r="I59" s="3" t="s">
        <v>65</v>
      </c>
      <c r="J59" s="3" t="s">
        <v>533</v>
      </c>
      <c r="K59" s="3" t="s">
        <v>534</v>
      </c>
      <c r="L59" s="3" t="s">
        <v>58</v>
      </c>
      <c r="M59" s="3" t="n">
        <v>11726.88</v>
      </c>
      <c r="N59" s="3" t="s">
        <v>46</v>
      </c>
      <c r="O59" s="3" t="n">
        <f aca="false">IFERROR(LEN(C59&amp;D59&amp;E59&amp;F59&amp;G59&amp;H59&amp;I59&amp;J59&amp;K59&amp;L59&amp;M59&amp;N59)/5,0)</f>
        <v>29.4</v>
      </c>
      <c r="P59" s="3" t="str">
        <f aca="false">IF(OR(D59="",C59=""),"",IF((IFERROR(IF(AND(TRIM(D59)=D59,LEN(D59)&gt;0),0,1),1)+IFERROR(IF(AND(LEN(E59)=10,ISNUMBER(VALUE(E59))),0,1),1)+IFERROR(IF(AND(ISNUMBER(SEARCH("@",F59)),ISNUMBER(SEARCH(".",F59))),0,1),1)+IFERROR(IF(AND(LEN(J59)=6,ISNUMBER(VALUE(J59))),0,1),1)+IFERROR(IF(ISNUMBER(MATCH(TRIM(I59),Lists!$A$2:$A$20,0)),0,1),1)+IFERROR(IF(AND(LEN(K59)=10,VALUE(LEFT(K59,FIND("/",K59)-1))&gt;=1,VALUE(LEFT(K59,FIND("/",K59)-1))&lt;=31,VALUE(LEFT(MID(K59,FIND("/",K59)+1,10),FIND("/",MID(K59,FIND("/",K59)+1,10))-1))&gt;=1,VALUE(LEFT(MID(K59,FIND("/",K59)+1,10),FIND("/",MID(K59,FIND("/",K59)+1,10))-1))&lt;=12,VALUE(LEFT(K59,FIND("/",K59)-1))&lt;=DAY(EOMONTH(DATE(VALUE(MID(MID(K59,FIND("/",K59)+1,10),FIND("/",MID(K59,FIND("/",K59)+1,10))+1,4)),VALUE(LEFT(MID(K59,FIND("/",K59)+1,10),FIND("/",MID(K59,FIND("/",K59)+1,10))-1)),1),0))),0,1),1)+IFERROR(IF(M59&gt;=0,0,1),1)+IFERROR(IF(ISNUMBER(MATCH(N59,Lists!$B$2:$B$7,0)),0,1),1))=0,"OK","ERROR"))</f>
        <v>OK</v>
      </c>
      <c r="Q59" s="3" t="str">
        <f aca="false">IF(D59="","",TRIM(IF(IFERROR(IF(AND(TRIM(D59)=D59,LEN(D59)&gt;0),0,1),1)=1,"Name; ","")&amp;IF(IFERROR(IF(AND(LEN(E59)=10,ISNUMBER(VALUE(E59))),0,1),1)=1,"Phone; ","")&amp;IF(IFERROR(IF(AND(ISNUMBER(SEARCH("@",F59)),ISNUMBER(SEARCH(".",F59))),0,1),1)=1,"Email; ","")&amp;IF(IFERROR(IF(AND(LEN(J59)=6,ISNUMBER(VALUE(J59))),0,1),1)=1,"Pincode; ","")&amp;IF(IFERROR(IF(ISNUMBER(MATCH(TRIM(I59),Lists!$A$2:$A$20,0)),0,1),1)=1,"State; ","")&amp;IF(IFERROR(IF(AND(LEN(K59)=10,VALUE(LEFT(K59,FIND("/",K59)-1))&gt;=1,VALUE(LEFT(K59,FIND("/",K59)-1))&lt;=31,VALUE(LEFT(MID(K59,FIND("/",K59)+1,10),FIND("/",MID(K59,FIND("/",K59)+1,10))-1))&gt;=1,VALUE(LEFT(MID(K59,FIND("/",K59)+1,10),FIND("/",MID(K59,FIND("/",K59)+1,10))-1))&lt;=12,VALUE(LEFT(K59,FIND("/",K59)-1))&lt;=DAY(EOMONTH(DATE(VALUE(MID(MID(K59,FIND("/",K59)+1,10),FIND("/",MID(K59,FIND("/",K59)+1,10))+1,4)),VALUE(LEFT(MID(K59,FIND("/",K59)+1,10),FIND("/",MID(K59,FIND("/",K59)+1,10))-1)),1),0))),0,1),1)=1,"Date; ","")&amp;IF(IFERROR(IF(M59&gt;=0,0,1),1)=1,"Amount; ","")&amp;IF(IFERROR(IF(ISNUMBER(MATCH(N59,Lists!$B$2:$B$7,0)),0,1),1)=1,"Payment; ","")))</f>
        <v/>
      </c>
      <c r="R59" s="3" t="str">
        <f aca="false">IF(D59="","",IF(COUNTIFS($D$2:$D$701,D59,$E$2:$E$701,E59)&gt;1,"DUPLICATE","Unique"))</f>
        <v>Unique</v>
      </c>
    </row>
    <row r="60" customFormat="false" ht="15" hidden="false" customHeight="false" outlineLevel="0" collapsed="false">
      <c r="A60" s="3" t="n">
        <v>59</v>
      </c>
      <c r="B60" s="3" t="n">
        <v>2</v>
      </c>
      <c r="C60" s="3" t="s">
        <v>535</v>
      </c>
      <c r="D60" s="3" t="s">
        <v>536</v>
      </c>
      <c r="E60" s="3" t="s">
        <v>537</v>
      </c>
      <c r="F60" s="3" t="s">
        <v>538</v>
      </c>
      <c r="G60" s="3" t="s">
        <v>539</v>
      </c>
      <c r="H60" s="3" t="s">
        <v>540</v>
      </c>
      <c r="I60" s="3" t="s">
        <v>71</v>
      </c>
      <c r="J60" s="3" t="s">
        <v>541</v>
      </c>
      <c r="K60" s="3" t="s">
        <v>542</v>
      </c>
      <c r="L60" s="3" t="s">
        <v>56</v>
      </c>
      <c r="M60" s="3" t="n">
        <v>10785.21</v>
      </c>
      <c r="N60" s="3" t="s">
        <v>49</v>
      </c>
      <c r="O60" s="3" t="n">
        <f aca="false">IFERROR(LEN(C60&amp;D60&amp;E60&amp;F60&amp;G60&amp;H60&amp;I60&amp;J60&amp;K60&amp;L60&amp;M60&amp;N60)/5,0)</f>
        <v>28.6</v>
      </c>
      <c r="P60" s="3" t="str">
        <f aca="false">IF(OR(D60="",C60=""),"",IF((IFERROR(IF(AND(TRIM(D60)=D60,LEN(D60)&gt;0),0,1),1)+IFERROR(IF(AND(LEN(E60)=10,ISNUMBER(VALUE(E60))),0,1),1)+IFERROR(IF(AND(ISNUMBER(SEARCH("@",F60)),ISNUMBER(SEARCH(".",F60))),0,1),1)+IFERROR(IF(AND(LEN(J60)=6,ISNUMBER(VALUE(J60))),0,1),1)+IFERROR(IF(ISNUMBER(MATCH(TRIM(I60),Lists!$A$2:$A$20,0)),0,1),1)+IFERROR(IF(AND(LEN(K60)=10,VALUE(LEFT(K60,FIND("/",K60)-1))&gt;=1,VALUE(LEFT(K60,FIND("/",K60)-1))&lt;=31,VALUE(LEFT(MID(K60,FIND("/",K60)+1,10),FIND("/",MID(K60,FIND("/",K60)+1,10))-1))&gt;=1,VALUE(LEFT(MID(K60,FIND("/",K60)+1,10),FIND("/",MID(K60,FIND("/",K60)+1,10))-1))&lt;=12,VALUE(LEFT(K60,FIND("/",K60)-1))&lt;=DAY(EOMONTH(DATE(VALUE(MID(MID(K60,FIND("/",K60)+1,10),FIND("/",MID(K60,FIND("/",K60)+1,10))+1,4)),VALUE(LEFT(MID(K60,FIND("/",K60)+1,10),FIND("/",MID(K60,FIND("/",K60)+1,10))-1)),1),0))),0,1),1)+IFERROR(IF(M60&gt;=0,0,1),1)+IFERROR(IF(ISNUMBER(MATCH(N60,Lists!$B$2:$B$7,0)),0,1),1))=0,"OK","ERROR"))</f>
        <v>OK</v>
      </c>
      <c r="Q60" s="3" t="str">
        <f aca="false">IF(D60="","",TRIM(IF(IFERROR(IF(AND(TRIM(D60)=D60,LEN(D60)&gt;0),0,1),1)=1,"Name; ","")&amp;IF(IFERROR(IF(AND(LEN(E60)=10,ISNUMBER(VALUE(E60))),0,1),1)=1,"Phone; ","")&amp;IF(IFERROR(IF(AND(ISNUMBER(SEARCH("@",F60)),ISNUMBER(SEARCH(".",F60))),0,1),1)=1,"Email; ","")&amp;IF(IFERROR(IF(AND(LEN(J60)=6,ISNUMBER(VALUE(J60))),0,1),1)=1,"Pincode; ","")&amp;IF(IFERROR(IF(ISNUMBER(MATCH(TRIM(I60),Lists!$A$2:$A$20,0)),0,1),1)=1,"State; ","")&amp;IF(IFERROR(IF(AND(LEN(K60)=10,VALUE(LEFT(K60,FIND("/",K60)-1))&gt;=1,VALUE(LEFT(K60,FIND("/",K60)-1))&lt;=31,VALUE(LEFT(MID(K60,FIND("/",K60)+1,10),FIND("/",MID(K60,FIND("/",K60)+1,10))-1))&gt;=1,VALUE(LEFT(MID(K60,FIND("/",K60)+1,10),FIND("/",MID(K60,FIND("/",K60)+1,10))-1))&lt;=12,VALUE(LEFT(K60,FIND("/",K60)-1))&lt;=DAY(EOMONTH(DATE(VALUE(MID(MID(K60,FIND("/",K60)+1,10),FIND("/",MID(K60,FIND("/",K60)+1,10))+1,4)),VALUE(LEFT(MID(K60,FIND("/",K60)+1,10),FIND("/",MID(K60,FIND("/",K60)+1,10))-1)),1),0))),0,1),1)=1,"Date; ","")&amp;IF(IFERROR(IF(M60&gt;=0,0,1),1)=1,"Amount; ","")&amp;IF(IFERROR(IF(ISNUMBER(MATCH(N60,Lists!$B$2:$B$7,0)),0,1),1)=1,"Payment; ","")))</f>
        <v/>
      </c>
      <c r="R60" s="3" t="str">
        <f aca="false">IF(D60="","",IF(COUNTIFS($D$2:$D$701,D60,$E$2:$E$701,E60)&gt;1,"DUPLICATE","Unique"))</f>
        <v>Unique</v>
      </c>
    </row>
    <row r="61" customFormat="false" ht="15" hidden="false" customHeight="false" outlineLevel="0" collapsed="false">
      <c r="A61" s="3" t="n">
        <v>60</v>
      </c>
      <c r="B61" s="3" t="n">
        <v>2</v>
      </c>
      <c r="C61" s="3" t="s">
        <v>543</v>
      </c>
      <c r="D61" s="3" t="s">
        <v>544</v>
      </c>
      <c r="E61" s="3" t="s">
        <v>545</v>
      </c>
      <c r="F61" s="3" t="s">
        <v>546</v>
      </c>
      <c r="G61" s="3" t="s">
        <v>547</v>
      </c>
      <c r="H61" s="3" t="s">
        <v>548</v>
      </c>
      <c r="I61" s="3" t="s">
        <v>67</v>
      </c>
      <c r="J61" s="3" t="s">
        <v>549</v>
      </c>
      <c r="K61" s="3" t="s">
        <v>550</v>
      </c>
      <c r="L61" s="3" t="s">
        <v>70</v>
      </c>
      <c r="M61" s="3" t="n">
        <v>4600.38</v>
      </c>
      <c r="N61" s="3" t="s">
        <v>43</v>
      </c>
      <c r="O61" s="3" t="n">
        <f aca="false">IFERROR(LEN(C61&amp;D61&amp;E61&amp;F61&amp;G61&amp;H61&amp;I61&amp;J61&amp;K61&amp;L61&amp;M61&amp;N61)/5,0)</f>
        <v>24</v>
      </c>
      <c r="P61" s="3" t="str">
        <f aca="false">IF(OR(D61="",C61=""),"",IF((IFERROR(IF(AND(TRIM(D61)=D61,LEN(D61)&gt;0),0,1),1)+IFERROR(IF(AND(LEN(E61)=10,ISNUMBER(VALUE(E61))),0,1),1)+IFERROR(IF(AND(ISNUMBER(SEARCH("@",F61)),ISNUMBER(SEARCH(".",F61))),0,1),1)+IFERROR(IF(AND(LEN(J61)=6,ISNUMBER(VALUE(J61))),0,1),1)+IFERROR(IF(ISNUMBER(MATCH(TRIM(I61),Lists!$A$2:$A$20,0)),0,1),1)+IFERROR(IF(AND(LEN(K61)=10,VALUE(LEFT(K61,FIND("/",K61)-1))&gt;=1,VALUE(LEFT(K61,FIND("/",K61)-1))&lt;=31,VALUE(LEFT(MID(K61,FIND("/",K61)+1,10),FIND("/",MID(K61,FIND("/",K61)+1,10))-1))&gt;=1,VALUE(LEFT(MID(K61,FIND("/",K61)+1,10),FIND("/",MID(K61,FIND("/",K61)+1,10))-1))&lt;=12,VALUE(LEFT(K61,FIND("/",K61)-1))&lt;=DAY(EOMONTH(DATE(VALUE(MID(MID(K61,FIND("/",K61)+1,10),FIND("/",MID(K61,FIND("/",K61)+1,10))+1,4)),VALUE(LEFT(MID(K61,FIND("/",K61)+1,10),FIND("/",MID(K61,FIND("/",K61)+1,10))-1)),1),0))),0,1),1)+IFERROR(IF(M61&gt;=0,0,1),1)+IFERROR(IF(ISNUMBER(MATCH(N61,Lists!$B$2:$B$7,0)),0,1),1))=0,"OK","ERROR"))</f>
        <v>OK</v>
      </c>
      <c r="Q61" s="3" t="str">
        <f aca="false">IF(D61="","",TRIM(IF(IFERROR(IF(AND(TRIM(D61)=D61,LEN(D61)&gt;0),0,1),1)=1,"Name; ","")&amp;IF(IFERROR(IF(AND(LEN(E61)=10,ISNUMBER(VALUE(E61))),0,1),1)=1,"Phone; ","")&amp;IF(IFERROR(IF(AND(ISNUMBER(SEARCH("@",F61)),ISNUMBER(SEARCH(".",F61))),0,1),1)=1,"Email; ","")&amp;IF(IFERROR(IF(AND(LEN(J61)=6,ISNUMBER(VALUE(J61))),0,1),1)=1,"Pincode; ","")&amp;IF(IFERROR(IF(ISNUMBER(MATCH(TRIM(I61),Lists!$A$2:$A$20,0)),0,1),1)=1,"State; ","")&amp;IF(IFERROR(IF(AND(LEN(K61)=10,VALUE(LEFT(K61,FIND("/",K61)-1))&gt;=1,VALUE(LEFT(K61,FIND("/",K61)-1))&lt;=31,VALUE(LEFT(MID(K61,FIND("/",K61)+1,10),FIND("/",MID(K61,FIND("/",K61)+1,10))-1))&gt;=1,VALUE(LEFT(MID(K61,FIND("/",K61)+1,10),FIND("/",MID(K61,FIND("/",K61)+1,10))-1))&lt;=12,VALUE(LEFT(K61,FIND("/",K61)-1))&lt;=DAY(EOMONTH(DATE(VALUE(MID(MID(K61,FIND("/",K61)+1,10),FIND("/",MID(K61,FIND("/",K61)+1,10))+1,4)),VALUE(LEFT(MID(K61,FIND("/",K61)+1,10),FIND("/",MID(K61,FIND("/",K61)+1,10))-1)),1),0))),0,1),1)=1,"Date; ","")&amp;IF(IFERROR(IF(M61&gt;=0,0,1),1)=1,"Amount; ","")&amp;IF(IFERROR(IF(ISNUMBER(MATCH(N61,Lists!$B$2:$B$7,0)),0,1),1)=1,"Payment; ","")))</f>
        <v/>
      </c>
      <c r="R61" s="3" t="str">
        <f aca="false">IF(D61="","",IF(COUNTIFS($D$2:$D$701,D61,$E$2:$E$701,E61)&gt;1,"DUPLICATE","Unique"))</f>
        <v>Unique</v>
      </c>
    </row>
    <row r="62" customFormat="false" ht="15" hidden="false" customHeight="false" outlineLevel="0" collapsed="false">
      <c r="A62" s="3" t="n">
        <v>61</v>
      </c>
      <c r="B62" s="3" t="n">
        <v>2</v>
      </c>
      <c r="C62" s="3" t="s">
        <v>551</v>
      </c>
      <c r="D62" s="3" t="s">
        <v>552</v>
      </c>
      <c r="E62" s="3" t="s">
        <v>553</v>
      </c>
      <c r="F62" s="3" t="s">
        <v>554</v>
      </c>
      <c r="G62" s="3" t="s">
        <v>555</v>
      </c>
      <c r="H62" s="3" t="s">
        <v>235</v>
      </c>
      <c r="I62" s="3" t="s">
        <v>71</v>
      </c>
      <c r="J62" s="3" t="s">
        <v>556</v>
      </c>
      <c r="K62" s="3" t="s">
        <v>557</v>
      </c>
      <c r="L62" s="3" t="s">
        <v>44</v>
      </c>
      <c r="M62" s="3" t="n">
        <v>2440.62</v>
      </c>
      <c r="N62" s="3" t="s">
        <v>55</v>
      </c>
      <c r="O62" s="3" t="n">
        <f aca="false">IFERROR(LEN(C62&amp;D62&amp;E62&amp;F62&amp;G62&amp;H62&amp;I62&amp;J62&amp;K62&amp;L62&amp;M62&amp;N62)/5,0)</f>
        <v>28.8</v>
      </c>
      <c r="P62" s="3" t="str">
        <f aca="false">IF(OR(D62="",C62=""),"",IF((IFERROR(IF(AND(TRIM(D62)=D62,LEN(D62)&gt;0),0,1),1)+IFERROR(IF(AND(LEN(E62)=10,ISNUMBER(VALUE(E62))),0,1),1)+IFERROR(IF(AND(ISNUMBER(SEARCH("@",F62)),ISNUMBER(SEARCH(".",F62))),0,1),1)+IFERROR(IF(AND(LEN(J62)=6,ISNUMBER(VALUE(J62))),0,1),1)+IFERROR(IF(ISNUMBER(MATCH(TRIM(I62),Lists!$A$2:$A$20,0)),0,1),1)+IFERROR(IF(AND(LEN(K62)=10,VALUE(LEFT(K62,FIND("/",K62)-1))&gt;=1,VALUE(LEFT(K62,FIND("/",K62)-1))&lt;=31,VALUE(LEFT(MID(K62,FIND("/",K62)+1,10),FIND("/",MID(K62,FIND("/",K62)+1,10))-1))&gt;=1,VALUE(LEFT(MID(K62,FIND("/",K62)+1,10),FIND("/",MID(K62,FIND("/",K62)+1,10))-1))&lt;=12,VALUE(LEFT(K62,FIND("/",K62)-1))&lt;=DAY(EOMONTH(DATE(VALUE(MID(MID(K62,FIND("/",K62)+1,10),FIND("/",MID(K62,FIND("/",K62)+1,10))+1,4)),VALUE(LEFT(MID(K62,FIND("/",K62)+1,10),FIND("/",MID(K62,FIND("/",K62)+1,10))-1)),1),0))),0,1),1)+IFERROR(IF(M62&gt;=0,0,1),1)+IFERROR(IF(ISNUMBER(MATCH(N62,Lists!$B$2:$B$7,0)),0,1),1))=0,"OK","ERROR"))</f>
        <v>OK</v>
      </c>
      <c r="Q62" s="3" t="str">
        <f aca="false">IF(D62="","",TRIM(IF(IFERROR(IF(AND(TRIM(D62)=D62,LEN(D62)&gt;0),0,1),1)=1,"Name; ","")&amp;IF(IFERROR(IF(AND(LEN(E62)=10,ISNUMBER(VALUE(E62))),0,1),1)=1,"Phone; ","")&amp;IF(IFERROR(IF(AND(ISNUMBER(SEARCH("@",F62)),ISNUMBER(SEARCH(".",F62))),0,1),1)=1,"Email; ","")&amp;IF(IFERROR(IF(AND(LEN(J62)=6,ISNUMBER(VALUE(J62))),0,1),1)=1,"Pincode; ","")&amp;IF(IFERROR(IF(ISNUMBER(MATCH(TRIM(I62),Lists!$A$2:$A$20,0)),0,1),1)=1,"State; ","")&amp;IF(IFERROR(IF(AND(LEN(K62)=10,VALUE(LEFT(K62,FIND("/",K62)-1))&gt;=1,VALUE(LEFT(K62,FIND("/",K62)-1))&lt;=31,VALUE(LEFT(MID(K62,FIND("/",K62)+1,10),FIND("/",MID(K62,FIND("/",K62)+1,10))-1))&gt;=1,VALUE(LEFT(MID(K62,FIND("/",K62)+1,10),FIND("/",MID(K62,FIND("/",K62)+1,10))-1))&lt;=12,VALUE(LEFT(K62,FIND("/",K62)-1))&lt;=DAY(EOMONTH(DATE(VALUE(MID(MID(K62,FIND("/",K62)+1,10),FIND("/",MID(K62,FIND("/",K62)+1,10))+1,4)),VALUE(LEFT(MID(K62,FIND("/",K62)+1,10),FIND("/",MID(K62,FIND("/",K62)+1,10))-1)),1),0))),0,1),1)=1,"Date; ","")&amp;IF(IFERROR(IF(M62&gt;=0,0,1),1)=1,"Amount; ","")&amp;IF(IFERROR(IF(ISNUMBER(MATCH(N62,Lists!$B$2:$B$7,0)),0,1),1)=1,"Payment; ","")))</f>
        <v/>
      </c>
      <c r="R62" s="3" t="str">
        <f aca="false">IF(D62="","",IF(COUNTIFS($D$2:$D$701,D62,$E$2:$E$701,E62)&gt;1,"DUPLICATE","Unique"))</f>
        <v>Unique</v>
      </c>
    </row>
    <row r="63" customFormat="false" ht="15" hidden="false" customHeight="false" outlineLevel="0" collapsed="false">
      <c r="A63" s="3" t="n">
        <v>62</v>
      </c>
      <c r="B63" s="3" t="n">
        <v>2</v>
      </c>
      <c r="C63" s="3" t="s">
        <v>558</v>
      </c>
      <c r="D63" s="3" t="s">
        <v>559</v>
      </c>
      <c r="E63" s="3" t="s">
        <v>560</v>
      </c>
      <c r="F63" s="3" t="s">
        <v>561</v>
      </c>
      <c r="G63" s="3" t="s">
        <v>562</v>
      </c>
      <c r="H63" s="3" t="s">
        <v>348</v>
      </c>
      <c r="I63" s="3" t="s">
        <v>39</v>
      </c>
      <c r="J63" s="3" t="s">
        <v>563</v>
      </c>
      <c r="K63" s="3" t="s">
        <v>564</v>
      </c>
      <c r="L63" s="3" t="s">
        <v>66</v>
      </c>
      <c r="M63" s="3" t="n">
        <v>1487.99</v>
      </c>
      <c r="N63" s="3" t="s">
        <v>49</v>
      </c>
      <c r="O63" s="3" t="n">
        <f aca="false">IFERROR(LEN(C63&amp;D63&amp;E63&amp;F63&amp;G63&amp;H63&amp;I63&amp;J63&amp;K63&amp;L63&amp;M63&amp;N63)/5,0)</f>
        <v>30.2</v>
      </c>
      <c r="P63" s="3" t="str">
        <f aca="false">IF(OR(D63="",C63=""),"",IF((IFERROR(IF(AND(TRIM(D63)=D63,LEN(D63)&gt;0),0,1),1)+IFERROR(IF(AND(LEN(E63)=10,ISNUMBER(VALUE(E63))),0,1),1)+IFERROR(IF(AND(ISNUMBER(SEARCH("@",F63)),ISNUMBER(SEARCH(".",F63))),0,1),1)+IFERROR(IF(AND(LEN(J63)=6,ISNUMBER(VALUE(J63))),0,1),1)+IFERROR(IF(ISNUMBER(MATCH(TRIM(I63),Lists!$A$2:$A$20,0)),0,1),1)+IFERROR(IF(AND(LEN(K63)=10,VALUE(LEFT(K63,FIND("/",K63)-1))&gt;=1,VALUE(LEFT(K63,FIND("/",K63)-1))&lt;=31,VALUE(LEFT(MID(K63,FIND("/",K63)+1,10),FIND("/",MID(K63,FIND("/",K63)+1,10))-1))&gt;=1,VALUE(LEFT(MID(K63,FIND("/",K63)+1,10),FIND("/",MID(K63,FIND("/",K63)+1,10))-1))&lt;=12,VALUE(LEFT(K63,FIND("/",K63)-1))&lt;=DAY(EOMONTH(DATE(VALUE(MID(MID(K63,FIND("/",K63)+1,10),FIND("/",MID(K63,FIND("/",K63)+1,10))+1,4)),VALUE(LEFT(MID(K63,FIND("/",K63)+1,10),FIND("/",MID(K63,FIND("/",K63)+1,10))-1)),1),0))),0,1),1)+IFERROR(IF(M63&gt;=0,0,1),1)+IFERROR(IF(ISNUMBER(MATCH(N63,Lists!$B$2:$B$7,0)),0,1),1))=0,"OK","ERROR"))</f>
        <v>OK</v>
      </c>
      <c r="Q63" s="3" t="str">
        <f aca="false">IF(D63="","",TRIM(IF(IFERROR(IF(AND(TRIM(D63)=D63,LEN(D63)&gt;0),0,1),1)=1,"Name; ","")&amp;IF(IFERROR(IF(AND(LEN(E63)=10,ISNUMBER(VALUE(E63))),0,1),1)=1,"Phone; ","")&amp;IF(IFERROR(IF(AND(ISNUMBER(SEARCH("@",F63)),ISNUMBER(SEARCH(".",F63))),0,1),1)=1,"Email; ","")&amp;IF(IFERROR(IF(AND(LEN(J63)=6,ISNUMBER(VALUE(J63))),0,1),1)=1,"Pincode; ","")&amp;IF(IFERROR(IF(ISNUMBER(MATCH(TRIM(I63),Lists!$A$2:$A$20,0)),0,1),1)=1,"State; ","")&amp;IF(IFERROR(IF(AND(LEN(K63)=10,VALUE(LEFT(K63,FIND("/",K63)-1))&gt;=1,VALUE(LEFT(K63,FIND("/",K63)-1))&lt;=31,VALUE(LEFT(MID(K63,FIND("/",K63)+1,10),FIND("/",MID(K63,FIND("/",K63)+1,10))-1))&gt;=1,VALUE(LEFT(MID(K63,FIND("/",K63)+1,10),FIND("/",MID(K63,FIND("/",K63)+1,10))-1))&lt;=12,VALUE(LEFT(K63,FIND("/",K63)-1))&lt;=DAY(EOMONTH(DATE(VALUE(MID(MID(K63,FIND("/",K63)+1,10),FIND("/",MID(K63,FIND("/",K63)+1,10))+1,4)),VALUE(LEFT(MID(K63,FIND("/",K63)+1,10),FIND("/",MID(K63,FIND("/",K63)+1,10))-1)),1),0))),0,1),1)=1,"Date; ","")&amp;IF(IFERROR(IF(M63&gt;=0,0,1),1)=1,"Amount; ","")&amp;IF(IFERROR(IF(ISNUMBER(MATCH(N63,Lists!$B$2:$B$7,0)),0,1),1)=1,"Payment; ","")))</f>
        <v/>
      </c>
      <c r="R63" s="3" t="str">
        <f aca="false">IF(D63="","",IF(COUNTIFS($D$2:$D$701,D63,$E$2:$E$701,E63)&gt;1,"DUPLICATE","Unique"))</f>
        <v>Unique</v>
      </c>
    </row>
    <row r="64" customFormat="false" ht="15" hidden="false" customHeight="false" outlineLevel="0" collapsed="false">
      <c r="A64" s="3" t="n">
        <v>63</v>
      </c>
      <c r="B64" s="3" t="n">
        <v>2</v>
      </c>
      <c r="C64" s="3" t="s">
        <v>565</v>
      </c>
      <c r="D64" s="3" t="s">
        <v>566</v>
      </c>
      <c r="E64" s="3" t="s">
        <v>567</v>
      </c>
      <c r="F64" s="3" t="s">
        <v>568</v>
      </c>
      <c r="G64" s="3" t="s">
        <v>569</v>
      </c>
      <c r="H64" s="3" t="s">
        <v>540</v>
      </c>
      <c r="I64" s="3" t="s">
        <v>71</v>
      </c>
      <c r="J64" s="3" t="s">
        <v>570</v>
      </c>
      <c r="K64" s="3" t="s">
        <v>571</v>
      </c>
      <c r="L64" s="3" t="s">
        <v>64</v>
      </c>
      <c r="M64" s="3" t="n">
        <v>1064.55</v>
      </c>
      <c r="N64" s="3" t="s">
        <v>43</v>
      </c>
      <c r="O64" s="3" t="n">
        <f aca="false">IFERROR(LEN(C64&amp;D64&amp;E64&amp;F64&amp;G64&amp;H64&amp;I64&amp;J64&amp;K64&amp;L64&amp;M64&amp;N64)/5,0)</f>
        <v>25.4</v>
      </c>
      <c r="P64" s="3" t="str">
        <f aca="false">IF(OR(D64="",C64=""),"",IF((IFERROR(IF(AND(TRIM(D64)=D64,LEN(D64)&gt;0),0,1),1)+IFERROR(IF(AND(LEN(E64)=10,ISNUMBER(VALUE(E64))),0,1),1)+IFERROR(IF(AND(ISNUMBER(SEARCH("@",F64)),ISNUMBER(SEARCH(".",F64))),0,1),1)+IFERROR(IF(AND(LEN(J64)=6,ISNUMBER(VALUE(J64))),0,1),1)+IFERROR(IF(ISNUMBER(MATCH(TRIM(I64),Lists!$A$2:$A$20,0)),0,1),1)+IFERROR(IF(AND(LEN(K64)=10,VALUE(LEFT(K64,FIND("/",K64)-1))&gt;=1,VALUE(LEFT(K64,FIND("/",K64)-1))&lt;=31,VALUE(LEFT(MID(K64,FIND("/",K64)+1,10),FIND("/",MID(K64,FIND("/",K64)+1,10))-1))&gt;=1,VALUE(LEFT(MID(K64,FIND("/",K64)+1,10),FIND("/",MID(K64,FIND("/",K64)+1,10))-1))&lt;=12,VALUE(LEFT(K64,FIND("/",K64)-1))&lt;=DAY(EOMONTH(DATE(VALUE(MID(MID(K64,FIND("/",K64)+1,10),FIND("/",MID(K64,FIND("/",K64)+1,10))+1,4)),VALUE(LEFT(MID(K64,FIND("/",K64)+1,10),FIND("/",MID(K64,FIND("/",K64)+1,10))-1)),1),0))),0,1),1)+IFERROR(IF(M64&gt;=0,0,1),1)+IFERROR(IF(ISNUMBER(MATCH(N64,Lists!$B$2:$B$7,0)),0,1),1))=0,"OK","ERROR"))</f>
        <v>OK</v>
      </c>
      <c r="Q64" s="3" t="str">
        <f aca="false">IF(D64="","",TRIM(IF(IFERROR(IF(AND(TRIM(D64)=D64,LEN(D64)&gt;0),0,1),1)=1,"Name; ","")&amp;IF(IFERROR(IF(AND(LEN(E64)=10,ISNUMBER(VALUE(E64))),0,1),1)=1,"Phone; ","")&amp;IF(IFERROR(IF(AND(ISNUMBER(SEARCH("@",F64)),ISNUMBER(SEARCH(".",F64))),0,1),1)=1,"Email; ","")&amp;IF(IFERROR(IF(AND(LEN(J64)=6,ISNUMBER(VALUE(J64))),0,1),1)=1,"Pincode; ","")&amp;IF(IFERROR(IF(ISNUMBER(MATCH(TRIM(I64),Lists!$A$2:$A$20,0)),0,1),1)=1,"State; ","")&amp;IF(IFERROR(IF(AND(LEN(K64)=10,VALUE(LEFT(K64,FIND("/",K64)-1))&gt;=1,VALUE(LEFT(K64,FIND("/",K64)-1))&lt;=31,VALUE(LEFT(MID(K64,FIND("/",K64)+1,10),FIND("/",MID(K64,FIND("/",K64)+1,10))-1))&gt;=1,VALUE(LEFT(MID(K64,FIND("/",K64)+1,10),FIND("/",MID(K64,FIND("/",K64)+1,10))-1))&lt;=12,VALUE(LEFT(K64,FIND("/",K64)-1))&lt;=DAY(EOMONTH(DATE(VALUE(MID(MID(K64,FIND("/",K64)+1,10),FIND("/",MID(K64,FIND("/",K64)+1,10))+1,4)),VALUE(LEFT(MID(K64,FIND("/",K64)+1,10),FIND("/",MID(K64,FIND("/",K64)+1,10))-1)),1),0))),0,1),1)=1,"Date; ","")&amp;IF(IFERROR(IF(M64&gt;=0,0,1),1)=1,"Amount; ","")&amp;IF(IFERROR(IF(ISNUMBER(MATCH(N64,Lists!$B$2:$B$7,0)),0,1),1)=1,"Payment; ","")))</f>
        <v/>
      </c>
      <c r="R64" s="3" t="str">
        <f aca="false">IF(D64="","",IF(COUNTIFS($D$2:$D$701,D64,$E$2:$E$701,E64)&gt;1,"DUPLICATE","Unique"))</f>
        <v>Unique</v>
      </c>
    </row>
    <row r="65" customFormat="false" ht="15" hidden="false" customHeight="false" outlineLevel="0" collapsed="false">
      <c r="A65" s="3" t="n">
        <v>64</v>
      </c>
      <c r="B65" s="3" t="n">
        <v>2</v>
      </c>
      <c r="C65" s="3" t="s">
        <v>572</v>
      </c>
      <c r="D65" s="3" t="s">
        <v>573</v>
      </c>
      <c r="E65" s="3" t="s">
        <v>574</v>
      </c>
      <c r="F65" s="3" t="s">
        <v>575</v>
      </c>
      <c r="G65" s="3" t="s">
        <v>576</v>
      </c>
      <c r="H65" s="3" t="s">
        <v>472</v>
      </c>
      <c r="I65" s="3" t="s">
        <v>63</v>
      </c>
      <c r="J65" s="3" t="s">
        <v>577</v>
      </c>
      <c r="K65" s="3" t="s">
        <v>578</v>
      </c>
      <c r="L65" s="3" t="s">
        <v>58</v>
      </c>
      <c r="M65" s="3" t="n">
        <v>495.12</v>
      </c>
      <c r="N65" s="3" t="s">
        <v>40</v>
      </c>
      <c r="O65" s="3" t="n">
        <f aca="false">IFERROR(LEN(C65&amp;D65&amp;E65&amp;F65&amp;G65&amp;H65&amp;I65&amp;J65&amp;K65&amp;L65&amp;M65&amp;N65)/5,0)</f>
        <v>27</v>
      </c>
      <c r="P65" s="3" t="str">
        <f aca="false">IF(OR(D65="",C65=""),"",IF((IFERROR(IF(AND(TRIM(D65)=D65,LEN(D65)&gt;0),0,1),1)+IFERROR(IF(AND(LEN(E65)=10,ISNUMBER(VALUE(E65))),0,1),1)+IFERROR(IF(AND(ISNUMBER(SEARCH("@",F65)),ISNUMBER(SEARCH(".",F65))),0,1),1)+IFERROR(IF(AND(LEN(J65)=6,ISNUMBER(VALUE(J65))),0,1),1)+IFERROR(IF(ISNUMBER(MATCH(TRIM(I65),Lists!$A$2:$A$20,0)),0,1),1)+IFERROR(IF(AND(LEN(K65)=10,VALUE(LEFT(K65,FIND("/",K65)-1))&gt;=1,VALUE(LEFT(K65,FIND("/",K65)-1))&lt;=31,VALUE(LEFT(MID(K65,FIND("/",K65)+1,10),FIND("/",MID(K65,FIND("/",K65)+1,10))-1))&gt;=1,VALUE(LEFT(MID(K65,FIND("/",K65)+1,10),FIND("/",MID(K65,FIND("/",K65)+1,10))-1))&lt;=12,VALUE(LEFT(K65,FIND("/",K65)-1))&lt;=DAY(EOMONTH(DATE(VALUE(MID(MID(K65,FIND("/",K65)+1,10),FIND("/",MID(K65,FIND("/",K65)+1,10))+1,4)),VALUE(LEFT(MID(K65,FIND("/",K65)+1,10),FIND("/",MID(K65,FIND("/",K65)+1,10))-1)),1),0))),0,1),1)+IFERROR(IF(M65&gt;=0,0,1),1)+IFERROR(IF(ISNUMBER(MATCH(N65,Lists!$B$2:$B$7,0)),0,1),1))=0,"OK","ERROR"))</f>
        <v>OK</v>
      </c>
      <c r="Q65" s="3" t="str">
        <f aca="false">IF(D65="","",TRIM(IF(IFERROR(IF(AND(TRIM(D65)=D65,LEN(D65)&gt;0),0,1),1)=1,"Name; ","")&amp;IF(IFERROR(IF(AND(LEN(E65)=10,ISNUMBER(VALUE(E65))),0,1),1)=1,"Phone; ","")&amp;IF(IFERROR(IF(AND(ISNUMBER(SEARCH("@",F65)),ISNUMBER(SEARCH(".",F65))),0,1),1)=1,"Email; ","")&amp;IF(IFERROR(IF(AND(LEN(J65)=6,ISNUMBER(VALUE(J65))),0,1),1)=1,"Pincode; ","")&amp;IF(IFERROR(IF(ISNUMBER(MATCH(TRIM(I65),Lists!$A$2:$A$20,0)),0,1),1)=1,"State; ","")&amp;IF(IFERROR(IF(AND(LEN(K65)=10,VALUE(LEFT(K65,FIND("/",K65)-1))&gt;=1,VALUE(LEFT(K65,FIND("/",K65)-1))&lt;=31,VALUE(LEFT(MID(K65,FIND("/",K65)+1,10),FIND("/",MID(K65,FIND("/",K65)+1,10))-1))&gt;=1,VALUE(LEFT(MID(K65,FIND("/",K65)+1,10),FIND("/",MID(K65,FIND("/",K65)+1,10))-1))&lt;=12,VALUE(LEFT(K65,FIND("/",K65)-1))&lt;=DAY(EOMONTH(DATE(VALUE(MID(MID(K65,FIND("/",K65)+1,10),FIND("/",MID(K65,FIND("/",K65)+1,10))+1,4)),VALUE(LEFT(MID(K65,FIND("/",K65)+1,10),FIND("/",MID(K65,FIND("/",K65)+1,10))-1)),1),0))),0,1),1)=1,"Date; ","")&amp;IF(IFERROR(IF(M65&gt;=0,0,1),1)=1,"Amount; ","")&amp;IF(IFERROR(IF(ISNUMBER(MATCH(N65,Lists!$B$2:$B$7,0)),0,1),1)=1,"Payment; ","")))</f>
        <v/>
      </c>
      <c r="R65" s="3" t="str">
        <f aca="false">IF(D65="","",IF(COUNTIFS($D$2:$D$701,D65,$E$2:$E$701,E65)&gt;1,"DUPLICATE","Unique"))</f>
        <v>Unique</v>
      </c>
    </row>
    <row r="66" customFormat="false" ht="15" hidden="false" customHeight="false" outlineLevel="0" collapsed="false">
      <c r="A66" s="3" t="n">
        <v>65</v>
      </c>
      <c r="B66" s="3" t="n">
        <v>2</v>
      </c>
      <c r="C66" s="3" t="s">
        <v>579</v>
      </c>
      <c r="D66" s="3" t="s">
        <v>580</v>
      </c>
      <c r="E66" s="3" t="s">
        <v>581</v>
      </c>
      <c r="F66" s="3" t="s">
        <v>582</v>
      </c>
      <c r="G66" s="3" t="s">
        <v>583</v>
      </c>
      <c r="H66" s="3" t="s">
        <v>428</v>
      </c>
      <c r="I66" s="3" t="s">
        <v>65</v>
      </c>
      <c r="J66" s="3" t="s">
        <v>584</v>
      </c>
      <c r="K66" s="3" t="s">
        <v>585</v>
      </c>
      <c r="L66" s="3" t="s">
        <v>58</v>
      </c>
      <c r="M66" s="3" t="n">
        <v>8477.61</v>
      </c>
      <c r="N66" s="3" t="s">
        <v>49</v>
      </c>
      <c r="O66" s="3" t="n">
        <f aca="false">IFERROR(LEN(C66&amp;D66&amp;E66&amp;F66&amp;G66&amp;H66&amp;I66&amp;J66&amp;K66&amp;L66&amp;M66&amp;N66)/5,0)</f>
        <v>28.4</v>
      </c>
      <c r="P66" s="3" t="str">
        <f aca="false">IF(OR(D66="",C66=""),"",IF((IFERROR(IF(AND(TRIM(D66)=D66,LEN(D66)&gt;0),0,1),1)+IFERROR(IF(AND(LEN(E66)=10,ISNUMBER(VALUE(E66))),0,1),1)+IFERROR(IF(AND(ISNUMBER(SEARCH("@",F66)),ISNUMBER(SEARCH(".",F66))),0,1),1)+IFERROR(IF(AND(LEN(J66)=6,ISNUMBER(VALUE(J66))),0,1),1)+IFERROR(IF(ISNUMBER(MATCH(TRIM(I66),Lists!$A$2:$A$20,0)),0,1),1)+IFERROR(IF(AND(LEN(K66)=10,VALUE(LEFT(K66,FIND("/",K66)-1))&gt;=1,VALUE(LEFT(K66,FIND("/",K66)-1))&lt;=31,VALUE(LEFT(MID(K66,FIND("/",K66)+1,10),FIND("/",MID(K66,FIND("/",K66)+1,10))-1))&gt;=1,VALUE(LEFT(MID(K66,FIND("/",K66)+1,10),FIND("/",MID(K66,FIND("/",K66)+1,10))-1))&lt;=12,VALUE(LEFT(K66,FIND("/",K66)-1))&lt;=DAY(EOMONTH(DATE(VALUE(MID(MID(K66,FIND("/",K66)+1,10),FIND("/",MID(K66,FIND("/",K66)+1,10))+1,4)),VALUE(LEFT(MID(K66,FIND("/",K66)+1,10),FIND("/",MID(K66,FIND("/",K66)+1,10))-1)),1),0))),0,1),1)+IFERROR(IF(M66&gt;=0,0,1),1)+IFERROR(IF(ISNUMBER(MATCH(N66,Lists!$B$2:$B$7,0)),0,1),1))=0,"OK","ERROR"))</f>
        <v>OK</v>
      </c>
      <c r="Q66" s="3" t="str">
        <f aca="false">IF(D66="","",TRIM(IF(IFERROR(IF(AND(TRIM(D66)=D66,LEN(D66)&gt;0),0,1),1)=1,"Name; ","")&amp;IF(IFERROR(IF(AND(LEN(E66)=10,ISNUMBER(VALUE(E66))),0,1),1)=1,"Phone; ","")&amp;IF(IFERROR(IF(AND(ISNUMBER(SEARCH("@",F66)),ISNUMBER(SEARCH(".",F66))),0,1),1)=1,"Email; ","")&amp;IF(IFERROR(IF(AND(LEN(J66)=6,ISNUMBER(VALUE(J66))),0,1),1)=1,"Pincode; ","")&amp;IF(IFERROR(IF(ISNUMBER(MATCH(TRIM(I66),Lists!$A$2:$A$20,0)),0,1),1)=1,"State; ","")&amp;IF(IFERROR(IF(AND(LEN(K66)=10,VALUE(LEFT(K66,FIND("/",K66)-1))&gt;=1,VALUE(LEFT(K66,FIND("/",K66)-1))&lt;=31,VALUE(LEFT(MID(K66,FIND("/",K66)+1,10),FIND("/",MID(K66,FIND("/",K66)+1,10))-1))&gt;=1,VALUE(LEFT(MID(K66,FIND("/",K66)+1,10),FIND("/",MID(K66,FIND("/",K66)+1,10))-1))&lt;=12,VALUE(LEFT(K66,FIND("/",K66)-1))&lt;=DAY(EOMONTH(DATE(VALUE(MID(MID(K66,FIND("/",K66)+1,10),FIND("/",MID(K66,FIND("/",K66)+1,10))+1,4)),VALUE(LEFT(MID(K66,FIND("/",K66)+1,10),FIND("/",MID(K66,FIND("/",K66)+1,10))-1)),1),0))),0,1),1)=1,"Date; ","")&amp;IF(IFERROR(IF(M66&gt;=0,0,1),1)=1,"Amount; ","")&amp;IF(IFERROR(IF(ISNUMBER(MATCH(N66,Lists!$B$2:$B$7,0)),0,1),1)=1,"Payment; ","")))</f>
        <v/>
      </c>
      <c r="R66" s="3" t="str">
        <f aca="false">IF(D66="","",IF(COUNTIFS($D$2:$D$701,D66,$E$2:$E$701,E66)&gt;1,"DUPLICATE","Unique"))</f>
        <v>Unique</v>
      </c>
    </row>
    <row r="67" customFormat="false" ht="15" hidden="false" customHeight="false" outlineLevel="0" collapsed="false">
      <c r="A67" s="3" t="n">
        <v>66</v>
      </c>
      <c r="B67" s="3" t="n">
        <v>2</v>
      </c>
      <c r="C67" s="3" t="s">
        <v>586</v>
      </c>
      <c r="D67" s="3" t="s">
        <v>587</v>
      </c>
      <c r="E67" s="3" t="s">
        <v>588</v>
      </c>
      <c r="F67" s="3" t="s">
        <v>589</v>
      </c>
      <c r="G67" s="3" t="s">
        <v>590</v>
      </c>
      <c r="H67" s="3" t="s">
        <v>258</v>
      </c>
      <c r="I67" s="3" t="s">
        <v>63</v>
      </c>
      <c r="J67" s="3" t="s">
        <v>591</v>
      </c>
      <c r="K67" s="3" t="s">
        <v>592</v>
      </c>
      <c r="L67" s="3" t="s">
        <v>64</v>
      </c>
      <c r="M67" s="3" t="n">
        <v>2614.34</v>
      </c>
      <c r="N67" s="3" t="s">
        <v>55</v>
      </c>
      <c r="O67" s="3" t="n">
        <f aca="false">IFERROR(LEN(C67&amp;D67&amp;E67&amp;F67&amp;G67&amp;H67&amp;I67&amp;J67&amp;K67&amp;L67&amp;M67&amp;N67)/5,0)</f>
        <v>28.2</v>
      </c>
      <c r="P67" s="3" t="str">
        <f aca="false">IF(OR(D67="",C67=""),"",IF((IFERROR(IF(AND(TRIM(D67)=D67,LEN(D67)&gt;0),0,1),1)+IFERROR(IF(AND(LEN(E67)=10,ISNUMBER(VALUE(E67))),0,1),1)+IFERROR(IF(AND(ISNUMBER(SEARCH("@",F67)),ISNUMBER(SEARCH(".",F67))),0,1),1)+IFERROR(IF(AND(LEN(J67)=6,ISNUMBER(VALUE(J67))),0,1),1)+IFERROR(IF(ISNUMBER(MATCH(TRIM(I67),Lists!$A$2:$A$20,0)),0,1),1)+IFERROR(IF(AND(LEN(K67)=10,VALUE(LEFT(K67,FIND("/",K67)-1))&gt;=1,VALUE(LEFT(K67,FIND("/",K67)-1))&lt;=31,VALUE(LEFT(MID(K67,FIND("/",K67)+1,10),FIND("/",MID(K67,FIND("/",K67)+1,10))-1))&gt;=1,VALUE(LEFT(MID(K67,FIND("/",K67)+1,10),FIND("/",MID(K67,FIND("/",K67)+1,10))-1))&lt;=12,VALUE(LEFT(K67,FIND("/",K67)-1))&lt;=DAY(EOMONTH(DATE(VALUE(MID(MID(K67,FIND("/",K67)+1,10),FIND("/",MID(K67,FIND("/",K67)+1,10))+1,4)),VALUE(LEFT(MID(K67,FIND("/",K67)+1,10),FIND("/",MID(K67,FIND("/",K67)+1,10))-1)),1),0))),0,1),1)+IFERROR(IF(M67&gt;=0,0,1),1)+IFERROR(IF(ISNUMBER(MATCH(N67,Lists!$B$2:$B$7,0)),0,1),1))=0,"OK","ERROR"))</f>
        <v>OK</v>
      </c>
      <c r="Q67" s="3" t="str">
        <f aca="false">IF(D67="","",TRIM(IF(IFERROR(IF(AND(TRIM(D67)=D67,LEN(D67)&gt;0),0,1),1)=1,"Name; ","")&amp;IF(IFERROR(IF(AND(LEN(E67)=10,ISNUMBER(VALUE(E67))),0,1),1)=1,"Phone; ","")&amp;IF(IFERROR(IF(AND(ISNUMBER(SEARCH("@",F67)),ISNUMBER(SEARCH(".",F67))),0,1),1)=1,"Email; ","")&amp;IF(IFERROR(IF(AND(LEN(J67)=6,ISNUMBER(VALUE(J67))),0,1),1)=1,"Pincode; ","")&amp;IF(IFERROR(IF(ISNUMBER(MATCH(TRIM(I67),Lists!$A$2:$A$20,0)),0,1),1)=1,"State; ","")&amp;IF(IFERROR(IF(AND(LEN(K67)=10,VALUE(LEFT(K67,FIND("/",K67)-1))&gt;=1,VALUE(LEFT(K67,FIND("/",K67)-1))&lt;=31,VALUE(LEFT(MID(K67,FIND("/",K67)+1,10),FIND("/",MID(K67,FIND("/",K67)+1,10))-1))&gt;=1,VALUE(LEFT(MID(K67,FIND("/",K67)+1,10),FIND("/",MID(K67,FIND("/",K67)+1,10))-1))&lt;=12,VALUE(LEFT(K67,FIND("/",K67)-1))&lt;=DAY(EOMONTH(DATE(VALUE(MID(MID(K67,FIND("/",K67)+1,10),FIND("/",MID(K67,FIND("/",K67)+1,10))+1,4)),VALUE(LEFT(MID(K67,FIND("/",K67)+1,10),FIND("/",MID(K67,FIND("/",K67)+1,10))-1)),1),0))),0,1),1)=1,"Date; ","")&amp;IF(IFERROR(IF(M67&gt;=0,0,1),1)=1,"Amount; ","")&amp;IF(IFERROR(IF(ISNUMBER(MATCH(N67,Lists!$B$2:$B$7,0)),0,1),1)=1,"Payment; ","")))</f>
        <v/>
      </c>
      <c r="R67" s="3" t="str">
        <f aca="false">IF(D67="","",IF(COUNTIFS($D$2:$D$701,D67,$E$2:$E$701,E67)&gt;1,"DUPLICATE","Unique"))</f>
        <v>Unique</v>
      </c>
    </row>
    <row r="68" customFormat="false" ht="15" hidden="false" customHeight="false" outlineLevel="0" collapsed="false">
      <c r="A68" s="3" t="n">
        <v>67</v>
      </c>
      <c r="B68" s="3" t="n">
        <v>2</v>
      </c>
      <c r="C68" s="3" t="s">
        <v>593</v>
      </c>
      <c r="D68" s="3" t="s">
        <v>594</v>
      </c>
      <c r="E68" s="3" t="s">
        <v>595</v>
      </c>
      <c r="F68" s="3" t="s">
        <v>596</v>
      </c>
      <c r="G68" s="3" t="s">
        <v>597</v>
      </c>
      <c r="H68" s="3" t="s">
        <v>189</v>
      </c>
      <c r="I68" s="3" t="s">
        <v>45</v>
      </c>
      <c r="J68" s="3" t="s">
        <v>598</v>
      </c>
      <c r="K68" s="3" t="s">
        <v>599</v>
      </c>
      <c r="L68" s="3" t="s">
        <v>56</v>
      </c>
      <c r="M68" s="3" t="n">
        <v>8214.92</v>
      </c>
      <c r="N68" s="3" t="s">
        <v>46</v>
      </c>
      <c r="O68" s="3" t="n">
        <f aca="false">IFERROR(LEN(C68&amp;D68&amp;E68&amp;F68&amp;G68&amp;H68&amp;I68&amp;J68&amp;K68&amp;L68&amp;M68&amp;N68)/5,0)</f>
        <v>26</v>
      </c>
      <c r="P68" s="3" t="str">
        <f aca="false">IF(OR(D68="",C68=""),"",IF((IFERROR(IF(AND(TRIM(D68)=D68,LEN(D68)&gt;0),0,1),1)+IFERROR(IF(AND(LEN(E68)=10,ISNUMBER(VALUE(E68))),0,1),1)+IFERROR(IF(AND(ISNUMBER(SEARCH("@",F68)),ISNUMBER(SEARCH(".",F68))),0,1),1)+IFERROR(IF(AND(LEN(J68)=6,ISNUMBER(VALUE(J68))),0,1),1)+IFERROR(IF(ISNUMBER(MATCH(TRIM(I68),Lists!$A$2:$A$20,0)),0,1),1)+IFERROR(IF(AND(LEN(K68)=10,VALUE(LEFT(K68,FIND("/",K68)-1))&gt;=1,VALUE(LEFT(K68,FIND("/",K68)-1))&lt;=31,VALUE(LEFT(MID(K68,FIND("/",K68)+1,10),FIND("/",MID(K68,FIND("/",K68)+1,10))-1))&gt;=1,VALUE(LEFT(MID(K68,FIND("/",K68)+1,10),FIND("/",MID(K68,FIND("/",K68)+1,10))-1))&lt;=12,VALUE(LEFT(K68,FIND("/",K68)-1))&lt;=DAY(EOMONTH(DATE(VALUE(MID(MID(K68,FIND("/",K68)+1,10),FIND("/",MID(K68,FIND("/",K68)+1,10))+1,4)),VALUE(LEFT(MID(K68,FIND("/",K68)+1,10),FIND("/",MID(K68,FIND("/",K68)+1,10))-1)),1),0))),0,1),1)+IFERROR(IF(M68&gt;=0,0,1),1)+IFERROR(IF(ISNUMBER(MATCH(N68,Lists!$B$2:$B$7,0)),0,1),1))=0,"OK","ERROR"))</f>
        <v>OK</v>
      </c>
      <c r="Q68" s="3" t="str">
        <f aca="false">IF(D68="","",TRIM(IF(IFERROR(IF(AND(TRIM(D68)=D68,LEN(D68)&gt;0),0,1),1)=1,"Name; ","")&amp;IF(IFERROR(IF(AND(LEN(E68)=10,ISNUMBER(VALUE(E68))),0,1),1)=1,"Phone; ","")&amp;IF(IFERROR(IF(AND(ISNUMBER(SEARCH("@",F68)),ISNUMBER(SEARCH(".",F68))),0,1),1)=1,"Email; ","")&amp;IF(IFERROR(IF(AND(LEN(J68)=6,ISNUMBER(VALUE(J68))),0,1),1)=1,"Pincode; ","")&amp;IF(IFERROR(IF(ISNUMBER(MATCH(TRIM(I68),Lists!$A$2:$A$20,0)),0,1),1)=1,"State; ","")&amp;IF(IFERROR(IF(AND(LEN(K68)=10,VALUE(LEFT(K68,FIND("/",K68)-1))&gt;=1,VALUE(LEFT(K68,FIND("/",K68)-1))&lt;=31,VALUE(LEFT(MID(K68,FIND("/",K68)+1,10),FIND("/",MID(K68,FIND("/",K68)+1,10))-1))&gt;=1,VALUE(LEFT(MID(K68,FIND("/",K68)+1,10),FIND("/",MID(K68,FIND("/",K68)+1,10))-1))&lt;=12,VALUE(LEFT(K68,FIND("/",K68)-1))&lt;=DAY(EOMONTH(DATE(VALUE(MID(MID(K68,FIND("/",K68)+1,10),FIND("/",MID(K68,FIND("/",K68)+1,10))+1,4)),VALUE(LEFT(MID(K68,FIND("/",K68)+1,10),FIND("/",MID(K68,FIND("/",K68)+1,10))-1)),1),0))),0,1),1)=1,"Date; ","")&amp;IF(IFERROR(IF(M68&gt;=0,0,1),1)=1,"Amount; ","")&amp;IF(IFERROR(IF(ISNUMBER(MATCH(N68,Lists!$B$2:$B$7,0)),0,1),1)=1,"Payment; ","")))</f>
        <v/>
      </c>
      <c r="R68" s="3" t="str">
        <f aca="false">IF(D68="","",IF(COUNTIFS($D$2:$D$701,D68,$E$2:$E$701,E68)&gt;1,"DUPLICATE","Unique"))</f>
        <v>Unique</v>
      </c>
    </row>
    <row r="69" customFormat="false" ht="15" hidden="false" customHeight="false" outlineLevel="0" collapsed="false">
      <c r="A69" s="3" t="n">
        <v>68</v>
      </c>
      <c r="B69" s="3" t="n">
        <v>2</v>
      </c>
      <c r="C69" s="3" t="s">
        <v>600</v>
      </c>
      <c r="D69" s="3" t="s">
        <v>601</v>
      </c>
      <c r="E69" s="3" t="s">
        <v>602</v>
      </c>
      <c r="F69" s="3" t="s">
        <v>603</v>
      </c>
      <c r="G69" s="3" t="s">
        <v>604</v>
      </c>
      <c r="H69" s="3" t="s">
        <v>502</v>
      </c>
      <c r="I69" s="3" t="s">
        <v>73</v>
      </c>
      <c r="J69" s="3" t="s">
        <v>605</v>
      </c>
      <c r="K69" s="3" t="s">
        <v>606</v>
      </c>
      <c r="L69" s="3" t="s">
        <v>62</v>
      </c>
      <c r="M69" s="3" t="n">
        <v>2582.61</v>
      </c>
      <c r="N69" s="3" t="s">
        <v>40</v>
      </c>
      <c r="O69" s="3" t="n">
        <f aca="false">IFERROR(LEN(C69&amp;D69&amp;E69&amp;F69&amp;G69&amp;H69&amp;I69&amp;J69&amp;K69&amp;L69&amp;M69&amp;N69)/5,0)</f>
        <v>25.4</v>
      </c>
      <c r="P69" s="3" t="str">
        <f aca="false">IF(OR(D69="",C69=""),"",IF((IFERROR(IF(AND(TRIM(D69)=D69,LEN(D69)&gt;0),0,1),1)+IFERROR(IF(AND(LEN(E69)=10,ISNUMBER(VALUE(E69))),0,1),1)+IFERROR(IF(AND(ISNUMBER(SEARCH("@",F69)),ISNUMBER(SEARCH(".",F69))),0,1),1)+IFERROR(IF(AND(LEN(J69)=6,ISNUMBER(VALUE(J69))),0,1),1)+IFERROR(IF(ISNUMBER(MATCH(TRIM(I69),Lists!$A$2:$A$20,0)),0,1),1)+IFERROR(IF(AND(LEN(K69)=10,VALUE(LEFT(K69,FIND("/",K69)-1))&gt;=1,VALUE(LEFT(K69,FIND("/",K69)-1))&lt;=31,VALUE(LEFT(MID(K69,FIND("/",K69)+1,10),FIND("/",MID(K69,FIND("/",K69)+1,10))-1))&gt;=1,VALUE(LEFT(MID(K69,FIND("/",K69)+1,10),FIND("/",MID(K69,FIND("/",K69)+1,10))-1))&lt;=12,VALUE(LEFT(K69,FIND("/",K69)-1))&lt;=DAY(EOMONTH(DATE(VALUE(MID(MID(K69,FIND("/",K69)+1,10),FIND("/",MID(K69,FIND("/",K69)+1,10))+1,4)),VALUE(LEFT(MID(K69,FIND("/",K69)+1,10),FIND("/",MID(K69,FIND("/",K69)+1,10))-1)),1),0))),0,1),1)+IFERROR(IF(M69&gt;=0,0,1),1)+IFERROR(IF(ISNUMBER(MATCH(N69,Lists!$B$2:$B$7,0)),0,1),1))=0,"OK","ERROR"))</f>
        <v>OK</v>
      </c>
      <c r="Q69" s="3" t="str">
        <f aca="false">IF(D69="","",TRIM(IF(IFERROR(IF(AND(TRIM(D69)=D69,LEN(D69)&gt;0),0,1),1)=1,"Name; ","")&amp;IF(IFERROR(IF(AND(LEN(E69)=10,ISNUMBER(VALUE(E69))),0,1),1)=1,"Phone; ","")&amp;IF(IFERROR(IF(AND(ISNUMBER(SEARCH("@",F69)),ISNUMBER(SEARCH(".",F69))),0,1),1)=1,"Email; ","")&amp;IF(IFERROR(IF(AND(LEN(J69)=6,ISNUMBER(VALUE(J69))),0,1),1)=1,"Pincode; ","")&amp;IF(IFERROR(IF(ISNUMBER(MATCH(TRIM(I69),Lists!$A$2:$A$20,0)),0,1),1)=1,"State; ","")&amp;IF(IFERROR(IF(AND(LEN(K69)=10,VALUE(LEFT(K69,FIND("/",K69)-1))&gt;=1,VALUE(LEFT(K69,FIND("/",K69)-1))&lt;=31,VALUE(LEFT(MID(K69,FIND("/",K69)+1,10),FIND("/",MID(K69,FIND("/",K69)+1,10))-1))&gt;=1,VALUE(LEFT(MID(K69,FIND("/",K69)+1,10),FIND("/",MID(K69,FIND("/",K69)+1,10))-1))&lt;=12,VALUE(LEFT(K69,FIND("/",K69)-1))&lt;=DAY(EOMONTH(DATE(VALUE(MID(MID(K69,FIND("/",K69)+1,10),FIND("/",MID(K69,FIND("/",K69)+1,10))+1,4)),VALUE(LEFT(MID(K69,FIND("/",K69)+1,10),FIND("/",MID(K69,FIND("/",K69)+1,10))-1)),1),0))),0,1),1)=1,"Date; ","")&amp;IF(IFERROR(IF(M69&gt;=0,0,1),1)=1,"Amount; ","")&amp;IF(IFERROR(IF(ISNUMBER(MATCH(N69,Lists!$B$2:$B$7,0)),0,1),1)=1,"Payment; ","")))</f>
        <v/>
      </c>
      <c r="R69" s="3" t="str">
        <f aca="false">IF(D69="","",IF(COUNTIFS($D$2:$D$701,D69,$E$2:$E$701,E69)&gt;1,"DUPLICATE","Unique"))</f>
        <v>Unique</v>
      </c>
    </row>
    <row r="70" customFormat="false" ht="15" hidden="false" customHeight="false" outlineLevel="0" collapsed="false">
      <c r="A70" s="3" t="n">
        <v>69</v>
      </c>
      <c r="B70" s="3" t="n">
        <v>2</v>
      </c>
      <c r="C70" s="3" t="s">
        <v>607</v>
      </c>
      <c r="D70" s="3" t="s">
        <v>608</v>
      </c>
      <c r="E70" s="3" t="s">
        <v>609</v>
      </c>
      <c r="F70" s="3" t="s">
        <v>610</v>
      </c>
      <c r="G70" s="3" t="s">
        <v>611</v>
      </c>
      <c r="H70" s="3" t="s">
        <v>385</v>
      </c>
      <c r="I70" s="3" t="s">
        <v>73</v>
      </c>
      <c r="J70" s="3" t="s">
        <v>612</v>
      </c>
      <c r="K70" s="3" t="s">
        <v>613</v>
      </c>
      <c r="L70" s="3" t="s">
        <v>66</v>
      </c>
      <c r="M70" s="3" t="n">
        <v>9645.6</v>
      </c>
      <c r="N70" s="3" t="s">
        <v>55</v>
      </c>
      <c r="O70" s="3" t="n">
        <f aca="false">IFERROR(LEN(C70&amp;D70&amp;E70&amp;F70&amp;G70&amp;H70&amp;I70&amp;J70&amp;K70&amp;L70&amp;M70&amp;N70)/5,0)</f>
        <v>27.8</v>
      </c>
      <c r="P70" s="3" t="str">
        <f aca="false">IF(OR(D70="",C70=""),"",IF((IFERROR(IF(AND(TRIM(D70)=D70,LEN(D70)&gt;0),0,1),1)+IFERROR(IF(AND(LEN(E70)=10,ISNUMBER(VALUE(E70))),0,1),1)+IFERROR(IF(AND(ISNUMBER(SEARCH("@",F70)),ISNUMBER(SEARCH(".",F70))),0,1),1)+IFERROR(IF(AND(LEN(J70)=6,ISNUMBER(VALUE(J70))),0,1),1)+IFERROR(IF(ISNUMBER(MATCH(TRIM(I70),Lists!$A$2:$A$20,0)),0,1),1)+IFERROR(IF(AND(LEN(K70)=10,VALUE(LEFT(K70,FIND("/",K70)-1))&gt;=1,VALUE(LEFT(K70,FIND("/",K70)-1))&lt;=31,VALUE(LEFT(MID(K70,FIND("/",K70)+1,10),FIND("/",MID(K70,FIND("/",K70)+1,10))-1))&gt;=1,VALUE(LEFT(MID(K70,FIND("/",K70)+1,10),FIND("/",MID(K70,FIND("/",K70)+1,10))-1))&lt;=12,VALUE(LEFT(K70,FIND("/",K70)-1))&lt;=DAY(EOMONTH(DATE(VALUE(MID(MID(K70,FIND("/",K70)+1,10),FIND("/",MID(K70,FIND("/",K70)+1,10))+1,4)),VALUE(LEFT(MID(K70,FIND("/",K70)+1,10),FIND("/",MID(K70,FIND("/",K70)+1,10))-1)),1),0))),0,1),1)+IFERROR(IF(M70&gt;=0,0,1),1)+IFERROR(IF(ISNUMBER(MATCH(N70,Lists!$B$2:$B$7,0)),0,1),1))=0,"OK","ERROR"))</f>
        <v>OK</v>
      </c>
      <c r="Q70" s="3" t="str">
        <f aca="false">IF(D70="","",TRIM(IF(IFERROR(IF(AND(TRIM(D70)=D70,LEN(D70)&gt;0),0,1),1)=1,"Name; ","")&amp;IF(IFERROR(IF(AND(LEN(E70)=10,ISNUMBER(VALUE(E70))),0,1),1)=1,"Phone; ","")&amp;IF(IFERROR(IF(AND(ISNUMBER(SEARCH("@",F70)),ISNUMBER(SEARCH(".",F70))),0,1),1)=1,"Email; ","")&amp;IF(IFERROR(IF(AND(LEN(J70)=6,ISNUMBER(VALUE(J70))),0,1),1)=1,"Pincode; ","")&amp;IF(IFERROR(IF(ISNUMBER(MATCH(TRIM(I70),Lists!$A$2:$A$20,0)),0,1),1)=1,"State; ","")&amp;IF(IFERROR(IF(AND(LEN(K70)=10,VALUE(LEFT(K70,FIND("/",K70)-1))&gt;=1,VALUE(LEFT(K70,FIND("/",K70)-1))&lt;=31,VALUE(LEFT(MID(K70,FIND("/",K70)+1,10),FIND("/",MID(K70,FIND("/",K70)+1,10))-1))&gt;=1,VALUE(LEFT(MID(K70,FIND("/",K70)+1,10),FIND("/",MID(K70,FIND("/",K70)+1,10))-1))&lt;=12,VALUE(LEFT(K70,FIND("/",K70)-1))&lt;=DAY(EOMONTH(DATE(VALUE(MID(MID(K70,FIND("/",K70)+1,10),FIND("/",MID(K70,FIND("/",K70)+1,10))+1,4)),VALUE(LEFT(MID(K70,FIND("/",K70)+1,10),FIND("/",MID(K70,FIND("/",K70)+1,10))-1)),1),0))),0,1),1)=1,"Date; ","")&amp;IF(IFERROR(IF(M70&gt;=0,0,1),1)=1,"Amount; ","")&amp;IF(IFERROR(IF(ISNUMBER(MATCH(N70,Lists!$B$2:$B$7,0)),0,1),1)=1,"Payment; ","")))</f>
        <v/>
      </c>
      <c r="R70" s="3" t="str">
        <f aca="false">IF(D70="","",IF(COUNTIFS($D$2:$D$701,D70,$E$2:$E$701,E70)&gt;1,"DUPLICATE","Unique"))</f>
        <v>Unique</v>
      </c>
    </row>
    <row r="71" customFormat="false" ht="15" hidden="false" customHeight="false" outlineLevel="0" collapsed="false">
      <c r="A71" s="3" t="n">
        <v>70</v>
      </c>
      <c r="B71" s="3" t="n">
        <v>2</v>
      </c>
      <c r="C71" s="3" t="s">
        <v>614</v>
      </c>
      <c r="D71" s="3" t="s">
        <v>615</v>
      </c>
      <c r="E71" s="3" t="s">
        <v>616</v>
      </c>
      <c r="F71" s="3" t="s">
        <v>617</v>
      </c>
      <c r="G71" s="3" t="s">
        <v>618</v>
      </c>
      <c r="H71" s="3" t="s">
        <v>134</v>
      </c>
      <c r="I71" s="3" t="s">
        <v>65</v>
      </c>
      <c r="J71" s="3" t="s">
        <v>619</v>
      </c>
      <c r="K71" s="3" t="s">
        <v>620</v>
      </c>
      <c r="L71" s="3" t="s">
        <v>62</v>
      </c>
      <c r="M71" s="3" t="n">
        <v>6150.53</v>
      </c>
      <c r="N71" s="3" t="s">
        <v>46</v>
      </c>
      <c r="O71" s="3" t="n">
        <f aca="false">IFERROR(LEN(C71&amp;D71&amp;E71&amp;F71&amp;G71&amp;H71&amp;I71&amp;J71&amp;K71&amp;L71&amp;M71&amp;N71)/5,0)</f>
        <v>25.8</v>
      </c>
      <c r="P71" s="3" t="str">
        <f aca="false">IF(OR(D71="",C71=""),"",IF((IFERROR(IF(AND(TRIM(D71)=D71,LEN(D71)&gt;0),0,1),1)+IFERROR(IF(AND(LEN(E71)=10,ISNUMBER(VALUE(E71))),0,1),1)+IFERROR(IF(AND(ISNUMBER(SEARCH("@",F71)),ISNUMBER(SEARCH(".",F71))),0,1),1)+IFERROR(IF(AND(LEN(J71)=6,ISNUMBER(VALUE(J71))),0,1),1)+IFERROR(IF(ISNUMBER(MATCH(TRIM(I71),Lists!$A$2:$A$20,0)),0,1),1)+IFERROR(IF(AND(LEN(K71)=10,VALUE(LEFT(K71,FIND("/",K71)-1))&gt;=1,VALUE(LEFT(K71,FIND("/",K71)-1))&lt;=31,VALUE(LEFT(MID(K71,FIND("/",K71)+1,10),FIND("/",MID(K71,FIND("/",K71)+1,10))-1))&gt;=1,VALUE(LEFT(MID(K71,FIND("/",K71)+1,10),FIND("/",MID(K71,FIND("/",K71)+1,10))-1))&lt;=12,VALUE(LEFT(K71,FIND("/",K71)-1))&lt;=DAY(EOMONTH(DATE(VALUE(MID(MID(K71,FIND("/",K71)+1,10),FIND("/",MID(K71,FIND("/",K71)+1,10))+1,4)),VALUE(LEFT(MID(K71,FIND("/",K71)+1,10),FIND("/",MID(K71,FIND("/",K71)+1,10))-1)),1),0))),0,1),1)+IFERROR(IF(M71&gt;=0,0,1),1)+IFERROR(IF(ISNUMBER(MATCH(N71,Lists!$B$2:$B$7,0)),0,1),1))=0,"OK","ERROR"))</f>
        <v>OK</v>
      </c>
      <c r="Q71" s="3" t="str">
        <f aca="false">IF(D71="","",TRIM(IF(IFERROR(IF(AND(TRIM(D71)=D71,LEN(D71)&gt;0),0,1),1)=1,"Name; ","")&amp;IF(IFERROR(IF(AND(LEN(E71)=10,ISNUMBER(VALUE(E71))),0,1),1)=1,"Phone; ","")&amp;IF(IFERROR(IF(AND(ISNUMBER(SEARCH("@",F71)),ISNUMBER(SEARCH(".",F71))),0,1),1)=1,"Email; ","")&amp;IF(IFERROR(IF(AND(LEN(J71)=6,ISNUMBER(VALUE(J71))),0,1),1)=1,"Pincode; ","")&amp;IF(IFERROR(IF(ISNUMBER(MATCH(TRIM(I71),Lists!$A$2:$A$20,0)),0,1),1)=1,"State; ","")&amp;IF(IFERROR(IF(AND(LEN(K71)=10,VALUE(LEFT(K71,FIND("/",K71)-1))&gt;=1,VALUE(LEFT(K71,FIND("/",K71)-1))&lt;=31,VALUE(LEFT(MID(K71,FIND("/",K71)+1,10),FIND("/",MID(K71,FIND("/",K71)+1,10))-1))&gt;=1,VALUE(LEFT(MID(K71,FIND("/",K71)+1,10),FIND("/",MID(K71,FIND("/",K71)+1,10))-1))&lt;=12,VALUE(LEFT(K71,FIND("/",K71)-1))&lt;=DAY(EOMONTH(DATE(VALUE(MID(MID(K71,FIND("/",K71)+1,10),FIND("/",MID(K71,FIND("/",K71)+1,10))+1,4)),VALUE(LEFT(MID(K71,FIND("/",K71)+1,10),FIND("/",MID(K71,FIND("/",K71)+1,10))-1)),1),0))),0,1),1)=1,"Date; ","")&amp;IF(IFERROR(IF(M71&gt;=0,0,1),1)=1,"Amount; ","")&amp;IF(IFERROR(IF(ISNUMBER(MATCH(N71,Lists!$B$2:$B$7,0)),0,1),1)=1,"Payment; ","")))</f>
        <v/>
      </c>
      <c r="R71" s="3" t="str">
        <f aca="false">IF(D71="","",IF(COUNTIFS($D$2:$D$701,D71,$E$2:$E$701,E71)&gt;1,"DUPLICATE","Unique"))</f>
        <v>Unique</v>
      </c>
    </row>
    <row r="72" customFormat="false" ht="15" hidden="false" customHeight="false" outlineLevel="0" collapsed="false">
      <c r="A72" s="3" t="n">
        <v>71</v>
      </c>
      <c r="B72" s="3" t="n">
        <v>2</v>
      </c>
      <c r="C72" s="3" t="s">
        <v>621</v>
      </c>
      <c r="D72" s="3" t="s">
        <v>622</v>
      </c>
      <c r="E72" s="3" t="s">
        <v>623</v>
      </c>
      <c r="F72" s="3" t="s">
        <v>624</v>
      </c>
      <c r="G72" s="3" t="s">
        <v>625</v>
      </c>
      <c r="H72" s="3" t="s">
        <v>480</v>
      </c>
      <c r="I72" s="3" t="s">
        <v>51</v>
      </c>
      <c r="J72" s="3" t="s">
        <v>626</v>
      </c>
      <c r="K72" s="3" t="s">
        <v>627</v>
      </c>
      <c r="L72" s="3" t="s">
        <v>53</v>
      </c>
      <c r="M72" s="3" t="n">
        <v>13540.97</v>
      </c>
      <c r="N72" s="3" t="s">
        <v>40</v>
      </c>
      <c r="O72" s="3" t="n">
        <f aca="false">IFERROR(LEN(C72&amp;D72&amp;E72&amp;F72&amp;G72&amp;H72&amp;I72&amp;J72&amp;K72&amp;L72&amp;M72&amp;N72)/5,0)</f>
        <v>31.2</v>
      </c>
      <c r="P72" s="3" t="str">
        <f aca="false">IF(OR(D72="",C72=""),"",IF((IFERROR(IF(AND(TRIM(D72)=D72,LEN(D72)&gt;0),0,1),1)+IFERROR(IF(AND(LEN(E72)=10,ISNUMBER(VALUE(E72))),0,1),1)+IFERROR(IF(AND(ISNUMBER(SEARCH("@",F72)),ISNUMBER(SEARCH(".",F72))),0,1),1)+IFERROR(IF(AND(LEN(J72)=6,ISNUMBER(VALUE(J72))),0,1),1)+IFERROR(IF(ISNUMBER(MATCH(TRIM(I72),Lists!$A$2:$A$20,0)),0,1),1)+IFERROR(IF(AND(LEN(K72)=10,VALUE(LEFT(K72,FIND("/",K72)-1))&gt;=1,VALUE(LEFT(K72,FIND("/",K72)-1))&lt;=31,VALUE(LEFT(MID(K72,FIND("/",K72)+1,10),FIND("/",MID(K72,FIND("/",K72)+1,10))-1))&gt;=1,VALUE(LEFT(MID(K72,FIND("/",K72)+1,10),FIND("/",MID(K72,FIND("/",K72)+1,10))-1))&lt;=12,VALUE(LEFT(K72,FIND("/",K72)-1))&lt;=DAY(EOMONTH(DATE(VALUE(MID(MID(K72,FIND("/",K72)+1,10),FIND("/",MID(K72,FIND("/",K72)+1,10))+1,4)),VALUE(LEFT(MID(K72,FIND("/",K72)+1,10),FIND("/",MID(K72,FIND("/",K72)+1,10))-1)),1),0))),0,1),1)+IFERROR(IF(M72&gt;=0,0,1),1)+IFERROR(IF(ISNUMBER(MATCH(N72,Lists!$B$2:$B$7,0)),0,1),1))=0,"OK","ERROR"))</f>
        <v>OK</v>
      </c>
      <c r="Q72" s="3" t="str">
        <f aca="false">IF(D72="","",TRIM(IF(IFERROR(IF(AND(TRIM(D72)=D72,LEN(D72)&gt;0),0,1),1)=1,"Name; ","")&amp;IF(IFERROR(IF(AND(LEN(E72)=10,ISNUMBER(VALUE(E72))),0,1),1)=1,"Phone; ","")&amp;IF(IFERROR(IF(AND(ISNUMBER(SEARCH("@",F72)),ISNUMBER(SEARCH(".",F72))),0,1),1)=1,"Email; ","")&amp;IF(IFERROR(IF(AND(LEN(J72)=6,ISNUMBER(VALUE(J72))),0,1),1)=1,"Pincode; ","")&amp;IF(IFERROR(IF(ISNUMBER(MATCH(TRIM(I72),Lists!$A$2:$A$20,0)),0,1),1)=1,"State; ","")&amp;IF(IFERROR(IF(AND(LEN(K72)=10,VALUE(LEFT(K72,FIND("/",K72)-1))&gt;=1,VALUE(LEFT(K72,FIND("/",K72)-1))&lt;=31,VALUE(LEFT(MID(K72,FIND("/",K72)+1,10),FIND("/",MID(K72,FIND("/",K72)+1,10))-1))&gt;=1,VALUE(LEFT(MID(K72,FIND("/",K72)+1,10),FIND("/",MID(K72,FIND("/",K72)+1,10))-1))&lt;=12,VALUE(LEFT(K72,FIND("/",K72)-1))&lt;=DAY(EOMONTH(DATE(VALUE(MID(MID(K72,FIND("/",K72)+1,10),FIND("/",MID(K72,FIND("/",K72)+1,10))+1,4)),VALUE(LEFT(MID(K72,FIND("/",K72)+1,10),FIND("/",MID(K72,FIND("/",K72)+1,10))-1)),1),0))),0,1),1)=1,"Date; ","")&amp;IF(IFERROR(IF(M72&gt;=0,0,1),1)=1,"Amount; ","")&amp;IF(IFERROR(IF(ISNUMBER(MATCH(N72,Lists!$B$2:$B$7,0)),0,1),1)=1,"Payment; ","")))</f>
        <v/>
      </c>
      <c r="R72" s="3" t="str">
        <f aca="false">IF(D72="","",IF(COUNTIFS($D$2:$D$701,D72,$E$2:$E$701,E72)&gt;1,"DUPLICATE","Unique"))</f>
        <v>Unique</v>
      </c>
    </row>
    <row r="73" customFormat="false" ht="15" hidden="false" customHeight="false" outlineLevel="0" collapsed="false">
      <c r="A73" s="3" t="n">
        <v>72</v>
      </c>
      <c r="B73" s="3" t="n">
        <v>2</v>
      </c>
      <c r="C73" s="3" t="s">
        <v>628</v>
      </c>
      <c r="D73" s="3" t="s">
        <v>629</v>
      </c>
      <c r="E73" s="3" t="s">
        <v>630</v>
      </c>
      <c r="F73" s="3" t="s">
        <v>631</v>
      </c>
      <c r="G73" s="3" t="s">
        <v>632</v>
      </c>
      <c r="H73" s="3" t="s">
        <v>633</v>
      </c>
      <c r="I73" s="3" t="s">
        <v>76</v>
      </c>
      <c r="J73" s="3" t="s">
        <v>634</v>
      </c>
      <c r="K73" s="3" t="s">
        <v>635</v>
      </c>
      <c r="L73" s="3" t="s">
        <v>70</v>
      </c>
      <c r="M73" s="3" t="n">
        <v>12025.88</v>
      </c>
      <c r="N73" s="3" t="s">
        <v>49</v>
      </c>
      <c r="O73" s="3" t="n">
        <f aca="false">IFERROR(LEN(C73&amp;D73&amp;E73&amp;F73&amp;G73&amp;H73&amp;I73&amp;J73&amp;K73&amp;L73&amp;M73&amp;N73)/5,0)</f>
        <v>25.2</v>
      </c>
      <c r="P73" s="3" t="str">
        <f aca="false">IF(OR(D73="",C73=""),"",IF((IFERROR(IF(AND(TRIM(D73)=D73,LEN(D73)&gt;0),0,1),1)+IFERROR(IF(AND(LEN(E73)=10,ISNUMBER(VALUE(E73))),0,1),1)+IFERROR(IF(AND(ISNUMBER(SEARCH("@",F73)),ISNUMBER(SEARCH(".",F73))),0,1),1)+IFERROR(IF(AND(LEN(J73)=6,ISNUMBER(VALUE(J73))),0,1),1)+IFERROR(IF(ISNUMBER(MATCH(TRIM(I73),Lists!$A$2:$A$20,0)),0,1),1)+IFERROR(IF(AND(LEN(K73)=10,VALUE(LEFT(K73,FIND("/",K73)-1))&gt;=1,VALUE(LEFT(K73,FIND("/",K73)-1))&lt;=31,VALUE(LEFT(MID(K73,FIND("/",K73)+1,10),FIND("/",MID(K73,FIND("/",K73)+1,10))-1))&gt;=1,VALUE(LEFT(MID(K73,FIND("/",K73)+1,10),FIND("/",MID(K73,FIND("/",K73)+1,10))-1))&lt;=12,VALUE(LEFT(K73,FIND("/",K73)-1))&lt;=DAY(EOMONTH(DATE(VALUE(MID(MID(K73,FIND("/",K73)+1,10),FIND("/",MID(K73,FIND("/",K73)+1,10))+1,4)),VALUE(LEFT(MID(K73,FIND("/",K73)+1,10),FIND("/",MID(K73,FIND("/",K73)+1,10))-1)),1),0))),0,1),1)+IFERROR(IF(M73&gt;=0,0,1),1)+IFERROR(IF(ISNUMBER(MATCH(N73,Lists!$B$2:$B$7,0)),0,1),1))=0,"OK","ERROR"))</f>
        <v>OK</v>
      </c>
      <c r="Q73" s="3" t="str">
        <f aca="false">IF(D73="","",TRIM(IF(IFERROR(IF(AND(TRIM(D73)=D73,LEN(D73)&gt;0),0,1),1)=1,"Name; ","")&amp;IF(IFERROR(IF(AND(LEN(E73)=10,ISNUMBER(VALUE(E73))),0,1),1)=1,"Phone; ","")&amp;IF(IFERROR(IF(AND(ISNUMBER(SEARCH("@",F73)),ISNUMBER(SEARCH(".",F73))),0,1),1)=1,"Email; ","")&amp;IF(IFERROR(IF(AND(LEN(J73)=6,ISNUMBER(VALUE(J73))),0,1),1)=1,"Pincode; ","")&amp;IF(IFERROR(IF(ISNUMBER(MATCH(TRIM(I73),Lists!$A$2:$A$20,0)),0,1),1)=1,"State; ","")&amp;IF(IFERROR(IF(AND(LEN(K73)=10,VALUE(LEFT(K73,FIND("/",K73)-1))&gt;=1,VALUE(LEFT(K73,FIND("/",K73)-1))&lt;=31,VALUE(LEFT(MID(K73,FIND("/",K73)+1,10),FIND("/",MID(K73,FIND("/",K73)+1,10))-1))&gt;=1,VALUE(LEFT(MID(K73,FIND("/",K73)+1,10),FIND("/",MID(K73,FIND("/",K73)+1,10))-1))&lt;=12,VALUE(LEFT(K73,FIND("/",K73)-1))&lt;=DAY(EOMONTH(DATE(VALUE(MID(MID(K73,FIND("/",K73)+1,10),FIND("/",MID(K73,FIND("/",K73)+1,10))+1,4)),VALUE(LEFT(MID(K73,FIND("/",K73)+1,10),FIND("/",MID(K73,FIND("/",K73)+1,10))-1)),1),0))),0,1),1)=1,"Date; ","")&amp;IF(IFERROR(IF(M73&gt;=0,0,1),1)=1,"Amount; ","")&amp;IF(IFERROR(IF(ISNUMBER(MATCH(N73,Lists!$B$2:$B$7,0)),0,1),1)=1,"Payment; ","")))</f>
        <v/>
      </c>
      <c r="R73" s="3" t="str">
        <f aca="false">IF(D73="","",IF(COUNTIFS($D$2:$D$701,D73,$E$2:$E$701,E73)&gt;1,"DUPLICATE","Unique"))</f>
        <v>Unique</v>
      </c>
    </row>
    <row r="74" customFormat="false" ht="15" hidden="false" customHeight="false" outlineLevel="0" collapsed="false">
      <c r="A74" s="3" t="n">
        <v>73</v>
      </c>
      <c r="B74" s="3" t="n">
        <v>2</v>
      </c>
      <c r="C74" s="3" t="s">
        <v>636</v>
      </c>
      <c r="D74" s="3" t="s">
        <v>637</v>
      </c>
      <c r="E74" s="3" t="s">
        <v>638</v>
      </c>
      <c r="F74" s="3" t="s">
        <v>639</v>
      </c>
      <c r="G74" s="3" t="s">
        <v>640</v>
      </c>
      <c r="H74" s="3" t="s">
        <v>641</v>
      </c>
      <c r="I74" s="3" t="s">
        <v>59</v>
      </c>
      <c r="J74" s="3" t="s">
        <v>642</v>
      </c>
      <c r="K74" s="3" t="s">
        <v>643</v>
      </c>
      <c r="L74" s="3" t="s">
        <v>72</v>
      </c>
      <c r="M74" s="3" t="n">
        <v>6064.15</v>
      </c>
      <c r="N74" s="3" t="s">
        <v>40</v>
      </c>
      <c r="O74" s="3" t="n">
        <f aca="false">IFERROR(LEN(C74&amp;D74&amp;E74&amp;F74&amp;G74&amp;H74&amp;I74&amp;J74&amp;K74&amp;L74&amp;M74&amp;N74)/5,0)</f>
        <v>26</v>
      </c>
      <c r="P74" s="3" t="str">
        <f aca="false">IF(OR(D74="",C74=""),"",IF((IFERROR(IF(AND(TRIM(D74)=D74,LEN(D74)&gt;0),0,1),1)+IFERROR(IF(AND(LEN(E74)=10,ISNUMBER(VALUE(E74))),0,1),1)+IFERROR(IF(AND(ISNUMBER(SEARCH("@",F74)),ISNUMBER(SEARCH(".",F74))),0,1),1)+IFERROR(IF(AND(LEN(J74)=6,ISNUMBER(VALUE(J74))),0,1),1)+IFERROR(IF(ISNUMBER(MATCH(TRIM(I74),Lists!$A$2:$A$20,0)),0,1),1)+IFERROR(IF(AND(LEN(K74)=10,VALUE(LEFT(K74,FIND("/",K74)-1))&gt;=1,VALUE(LEFT(K74,FIND("/",K74)-1))&lt;=31,VALUE(LEFT(MID(K74,FIND("/",K74)+1,10),FIND("/",MID(K74,FIND("/",K74)+1,10))-1))&gt;=1,VALUE(LEFT(MID(K74,FIND("/",K74)+1,10),FIND("/",MID(K74,FIND("/",K74)+1,10))-1))&lt;=12,VALUE(LEFT(K74,FIND("/",K74)-1))&lt;=DAY(EOMONTH(DATE(VALUE(MID(MID(K74,FIND("/",K74)+1,10),FIND("/",MID(K74,FIND("/",K74)+1,10))+1,4)),VALUE(LEFT(MID(K74,FIND("/",K74)+1,10),FIND("/",MID(K74,FIND("/",K74)+1,10))-1)),1),0))),0,1),1)+IFERROR(IF(M74&gt;=0,0,1),1)+IFERROR(IF(ISNUMBER(MATCH(N74,Lists!$B$2:$B$7,0)),0,1),1))=0,"OK","ERROR"))</f>
        <v>OK</v>
      </c>
      <c r="Q74" s="3" t="str">
        <f aca="false">IF(D74="","",TRIM(IF(IFERROR(IF(AND(TRIM(D74)=D74,LEN(D74)&gt;0),0,1),1)=1,"Name; ","")&amp;IF(IFERROR(IF(AND(LEN(E74)=10,ISNUMBER(VALUE(E74))),0,1),1)=1,"Phone; ","")&amp;IF(IFERROR(IF(AND(ISNUMBER(SEARCH("@",F74)),ISNUMBER(SEARCH(".",F74))),0,1),1)=1,"Email; ","")&amp;IF(IFERROR(IF(AND(LEN(J74)=6,ISNUMBER(VALUE(J74))),0,1),1)=1,"Pincode; ","")&amp;IF(IFERROR(IF(ISNUMBER(MATCH(TRIM(I74),Lists!$A$2:$A$20,0)),0,1),1)=1,"State; ","")&amp;IF(IFERROR(IF(AND(LEN(K74)=10,VALUE(LEFT(K74,FIND("/",K74)-1))&gt;=1,VALUE(LEFT(K74,FIND("/",K74)-1))&lt;=31,VALUE(LEFT(MID(K74,FIND("/",K74)+1,10),FIND("/",MID(K74,FIND("/",K74)+1,10))-1))&gt;=1,VALUE(LEFT(MID(K74,FIND("/",K74)+1,10),FIND("/",MID(K74,FIND("/",K74)+1,10))-1))&lt;=12,VALUE(LEFT(K74,FIND("/",K74)-1))&lt;=DAY(EOMONTH(DATE(VALUE(MID(MID(K74,FIND("/",K74)+1,10),FIND("/",MID(K74,FIND("/",K74)+1,10))+1,4)),VALUE(LEFT(MID(K74,FIND("/",K74)+1,10),FIND("/",MID(K74,FIND("/",K74)+1,10))-1)),1),0))),0,1),1)=1,"Date; ","")&amp;IF(IFERROR(IF(M74&gt;=0,0,1),1)=1,"Amount; ","")&amp;IF(IFERROR(IF(ISNUMBER(MATCH(N74,Lists!$B$2:$B$7,0)),0,1),1)=1,"Payment; ","")))</f>
        <v/>
      </c>
      <c r="R74" s="3" t="str">
        <f aca="false">IF(D74="","",IF(COUNTIFS($D$2:$D$701,D74,$E$2:$E$701,E74)&gt;1,"DUPLICATE","Unique"))</f>
        <v>Unique</v>
      </c>
    </row>
    <row r="75" customFormat="false" ht="15" hidden="false" customHeight="false" outlineLevel="0" collapsed="false">
      <c r="A75" s="3" t="n">
        <v>74</v>
      </c>
      <c r="B75" s="3" t="n">
        <v>2</v>
      </c>
      <c r="C75" s="3" t="s">
        <v>644</v>
      </c>
      <c r="D75" s="3" t="s">
        <v>645</v>
      </c>
      <c r="E75" s="3" t="s">
        <v>646</v>
      </c>
      <c r="F75" s="3" t="s">
        <v>647</v>
      </c>
      <c r="G75" s="3" t="s">
        <v>648</v>
      </c>
      <c r="H75" s="3" t="s">
        <v>633</v>
      </c>
      <c r="I75" s="3" t="s">
        <v>76</v>
      </c>
      <c r="J75" s="3" t="s">
        <v>649</v>
      </c>
      <c r="K75" s="3" t="s">
        <v>650</v>
      </c>
      <c r="L75" s="3" t="s">
        <v>58</v>
      </c>
      <c r="M75" s="3" t="n">
        <v>15912.5</v>
      </c>
      <c r="N75" s="3" t="s">
        <v>46</v>
      </c>
      <c r="O75" s="3" t="n">
        <f aca="false">IFERROR(LEN(C75&amp;D75&amp;E75&amp;F75&amp;G75&amp;H75&amp;I75&amp;J75&amp;K75&amp;L75&amp;M75&amp;N75)/5,0)</f>
        <v>30.6</v>
      </c>
      <c r="P75" s="3" t="str">
        <f aca="false">IF(OR(D75="",C75=""),"",IF((IFERROR(IF(AND(TRIM(D75)=D75,LEN(D75)&gt;0),0,1),1)+IFERROR(IF(AND(LEN(E75)=10,ISNUMBER(VALUE(E75))),0,1),1)+IFERROR(IF(AND(ISNUMBER(SEARCH("@",F75)),ISNUMBER(SEARCH(".",F75))),0,1),1)+IFERROR(IF(AND(LEN(J75)=6,ISNUMBER(VALUE(J75))),0,1),1)+IFERROR(IF(ISNUMBER(MATCH(TRIM(I75),Lists!$A$2:$A$20,0)),0,1),1)+IFERROR(IF(AND(LEN(K75)=10,VALUE(LEFT(K75,FIND("/",K75)-1))&gt;=1,VALUE(LEFT(K75,FIND("/",K75)-1))&lt;=31,VALUE(LEFT(MID(K75,FIND("/",K75)+1,10),FIND("/",MID(K75,FIND("/",K75)+1,10))-1))&gt;=1,VALUE(LEFT(MID(K75,FIND("/",K75)+1,10),FIND("/",MID(K75,FIND("/",K75)+1,10))-1))&lt;=12,VALUE(LEFT(K75,FIND("/",K75)-1))&lt;=DAY(EOMONTH(DATE(VALUE(MID(MID(K75,FIND("/",K75)+1,10),FIND("/",MID(K75,FIND("/",K75)+1,10))+1,4)),VALUE(LEFT(MID(K75,FIND("/",K75)+1,10),FIND("/",MID(K75,FIND("/",K75)+1,10))-1)),1),0))),0,1),1)+IFERROR(IF(M75&gt;=0,0,1),1)+IFERROR(IF(ISNUMBER(MATCH(N75,Lists!$B$2:$B$7,0)),0,1),1))=0,"OK","ERROR"))</f>
        <v>OK</v>
      </c>
      <c r="Q75" s="3" t="str">
        <f aca="false">IF(D75="","",TRIM(IF(IFERROR(IF(AND(TRIM(D75)=D75,LEN(D75)&gt;0),0,1),1)=1,"Name; ","")&amp;IF(IFERROR(IF(AND(LEN(E75)=10,ISNUMBER(VALUE(E75))),0,1),1)=1,"Phone; ","")&amp;IF(IFERROR(IF(AND(ISNUMBER(SEARCH("@",F75)),ISNUMBER(SEARCH(".",F75))),0,1),1)=1,"Email; ","")&amp;IF(IFERROR(IF(AND(LEN(J75)=6,ISNUMBER(VALUE(J75))),0,1),1)=1,"Pincode; ","")&amp;IF(IFERROR(IF(ISNUMBER(MATCH(TRIM(I75),Lists!$A$2:$A$20,0)),0,1),1)=1,"State; ","")&amp;IF(IFERROR(IF(AND(LEN(K75)=10,VALUE(LEFT(K75,FIND("/",K75)-1))&gt;=1,VALUE(LEFT(K75,FIND("/",K75)-1))&lt;=31,VALUE(LEFT(MID(K75,FIND("/",K75)+1,10),FIND("/",MID(K75,FIND("/",K75)+1,10))-1))&gt;=1,VALUE(LEFT(MID(K75,FIND("/",K75)+1,10),FIND("/",MID(K75,FIND("/",K75)+1,10))-1))&lt;=12,VALUE(LEFT(K75,FIND("/",K75)-1))&lt;=DAY(EOMONTH(DATE(VALUE(MID(MID(K75,FIND("/",K75)+1,10),FIND("/",MID(K75,FIND("/",K75)+1,10))+1,4)),VALUE(LEFT(MID(K75,FIND("/",K75)+1,10),FIND("/",MID(K75,FIND("/",K75)+1,10))-1)),1),0))),0,1),1)=1,"Date; ","")&amp;IF(IFERROR(IF(M75&gt;=0,0,1),1)=1,"Amount; ","")&amp;IF(IFERROR(IF(ISNUMBER(MATCH(N75,Lists!$B$2:$B$7,0)),0,1),1)=1,"Payment; ","")))</f>
        <v/>
      </c>
      <c r="R75" s="3" t="str">
        <f aca="false">IF(D75="","",IF(COUNTIFS($D$2:$D$701,D75,$E$2:$E$701,E75)&gt;1,"DUPLICATE","Unique"))</f>
        <v>Unique</v>
      </c>
    </row>
    <row r="76" customFormat="false" ht="15" hidden="false" customHeight="false" outlineLevel="0" collapsed="false">
      <c r="A76" s="3" t="n">
        <v>75</v>
      </c>
      <c r="B76" s="3" t="n">
        <v>2</v>
      </c>
      <c r="C76" s="3" t="s">
        <v>651</v>
      </c>
      <c r="D76" s="3" t="s">
        <v>652</v>
      </c>
      <c r="E76" s="3" t="s">
        <v>653</v>
      </c>
      <c r="F76" s="3" t="s">
        <v>654</v>
      </c>
      <c r="G76" s="3" t="s">
        <v>655</v>
      </c>
      <c r="H76" s="3" t="s">
        <v>157</v>
      </c>
      <c r="I76" s="3" t="s">
        <v>59</v>
      </c>
      <c r="J76" s="3" t="s">
        <v>656</v>
      </c>
      <c r="K76" s="3" t="s">
        <v>657</v>
      </c>
      <c r="L76" s="3" t="s">
        <v>68</v>
      </c>
      <c r="M76" s="3" t="n">
        <v>9819.31</v>
      </c>
      <c r="N76" s="3" t="s">
        <v>49</v>
      </c>
      <c r="O76" s="3" t="n">
        <f aca="false">IFERROR(LEN(C76&amp;D76&amp;E76&amp;F76&amp;G76&amp;H76&amp;I76&amp;J76&amp;K76&amp;L76&amp;M76&amp;N76)/5,0)</f>
        <v>27</v>
      </c>
      <c r="P76" s="3" t="str">
        <f aca="false">IF(OR(D76="",C76=""),"",IF((IFERROR(IF(AND(TRIM(D76)=D76,LEN(D76)&gt;0),0,1),1)+IFERROR(IF(AND(LEN(E76)=10,ISNUMBER(VALUE(E76))),0,1),1)+IFERROR(IF(AND(ISNUMBER(SEARCH("@",F76)),ISNUMBER(SEARCH(".",F76))),0,1),1)+IFERROR(IF(AND(LEN(J76)=6,ISNUMBER(VALUE(J76))),0,1),1)+IFERROR(IF(ISNUMBER(MATCH(TRIM(I76),Lists!$A$2:$A$20,0)),0,1),1)+IFERROR(IF(AND(LEN(K76)=10,VALUE(LEFT(K76,FIND("/",K76)-1))&gt;=1,VALUE(LEFT(K76,FIND("/",K76)-1))&lt;=31,VALUE(LEFT(MID(K76,FIND("/",K76)+1,10),FIND("/",MID(K76,FIND("/",K76)+1,10))-1))&gt;=1,VALUE(LEFT(MID(K76,FIND("/",K76)+1,10),FIND("/",MID(K76,FIND("/",K76)+1,10))-1))&lt;=12,VALUE(LEFT(K76,FIND("/",K76)-1))&lt;=DAY(EOMONTH(DATE(VALUE(MID(MID(K76,FIND("/",K76)+1,10),FIND("/",MID(K76,FIND("/",K76)+1,10))+1,4)),VALUE(LEFT(MID(K76,FIND("/",K76)+1,10),FIND("/",MID(K76,FIND("/",K76)+1,10))-1)),1),0))),0,1),1)+IFERROR(IF(M76&gt;=0,0,1),1)+IFERROR(IF(ISNUMBER(MATCH(N76,Lists!$B$2:$B$7,0)),0,1),1))=0,"OK","ERROR"))</f>
        <v>OK</v>
      </c>
      <c r="Q76" s="3" t="str">
        <f aca="false">IF(D76="","",TRIM(IF(IFERROR(IF(AND(TRIM(D76)=D76,LEN(D76)&gt;0),0,1),1)=1,"Name; ","")&amp;IF(IFERROR(IF(AND(LEN(E76)=10,ISNUMBER(VALUE(E76))),0,1),1)=1,"Phone; ","")&amp;IF(IFERROR(IF(AND(ISNUMBER(SEARCH("@",F76)),ISNUMBER(SEARCH(".",F76))),0,1),1)=1,"Email; ","")&amp;IF(IFERROR(IF(AND(LEN(J76)=6,ISNUMBER(VALUE(J76))),0,1),1)=1,"Pincode; ","")&amp;IF(IFERROR(IF(ISNUMBER(MATCH(TRIM(I76),Lists!$A$2:$A$20,0)),0,1),1)=1,"State; ","")&amp;IF(IFERROR(IF(AND(LEN(K76)=10,VALUE(LEFT(K76,FIND("/",K76)-1))&gt;=1,VALUE(LEFT(K76,FIND("/",K76)-1))&lt;=31,VALUE(LEFT(MID(K76,FIND("/",K76)+1,10),FIND("/",MID(K76,FIND("/",K76)+1,10))-1))&gt;=1,VALUE(LEFT(MID(K76,FIND("/",K76)+1,10),FIND("/",MID(K76,FIND("/",K76)+1,10))-1))&lt;=12,VALUE(LEFT(K76,FIND("/",K76)-1))&lt;=DAY(EOMONTH(DATE(VALUE(MID(MID(K76,FIND("/",K76)+1,10),FIND("/",MID(K76,FIND("/",K76)+1,10))+1,4)),VALUE(LEFT(MID(K76,FIND("/",K76)+1,10),FIND("/",MID(K76,FIND("/",K76)+1,10))-1)),1),0))),0,1),1)=1,"Date; ","")&amp;IF(IFERROR(IF(M76&gt;=0,0,1),1)=1,"Amount; ","")&amp;IF(IFERROR(IF(ISNUMBER(MATCH(N76,Lists!$B$2:$B$7,0)),0,1),1)=1,"Payment; ","")))</f>
        <v/>
      </c>
      <c r="R76" s="3" t="str">
        <f aca="false">IF(D76="","",IF(COUNTIFS($D$2:$D$701,D76,$E$2:$E$701,E76)&gt;1,"DUPLICATE","Unique"))</f>
        <v>Unique</v>
      </c>
    </row>
    <row r="77" customFormat="false" ht="15" hidden="false" customHeight="false" outlineLevel="0" collapsed="false">
      <c r="A77" s="3" t="n">
        <v>76</v>
      </c>
      <c r="B77" s="3" t="n">
        <v>2</v>
      </c>
      <c r="C77" s="3" t="s">
        <v>658</v>
      </c>
      <c r="D77" s="3" t="s">
        <v>659</v>
      </c>
      <c r="E77" s="3" t="s">
        <v>660</v>
      </c>
      <c r="F77" s="3" t="s">
        <v>661</v>
      </c>
      <c r="G77" s="3" t="s">
        <v>662</v>
      </c>
      <c r="H77" s="3" t="s">
        <v>663</v>
      </c>
      <c r="I77" s="3" t="s">
        <v>48</v>
      </c>
      <c r="J77" s="3" t="s">
        <v>664</v>
      </c>
      <c r="K77" s="3" t="s">
        <v>665</v>
      </c>
      <c r="L77" s="3" t="s">
        <v>41</v>
      </c>
      <c r="M77" s="3" t="n">
        <v>9912.99</v>
      </c>
      <c r="N77" s="3" t="s">
        <v>43</v>
      </c>
      <c r="O77" s="3" t="n">
        <f aca="false">IFERROR(LEN(C77&amp;D77&amp;E77&amp;F77&amp;G77&amp;H77&amp;I77&amp;J77&amp;K77&amp;L77&amp;M77&amp;N77)/5,0)</f>
        <v>28.8</v>
      </c>
      <c r="P77" s="3" t="str">
        <f aca="false">IF(OR(D77="",C77=""),"",IF((IFERROR(IF(AND(TRIM(D77)=D77,LEN(D77)&gt;0),0,1),1)+IFERROR(IF(AND(LEN(E77)=10,ISNUMBER(VALUE(E77))),0,1),1)+IFERROR(IF(AND(ISNUMBER(SEARCH("@",F77)),ISNUMBER(SEARCH(".",F77))),0,1),1)+IFERROR(IF(AND(LEN(J77)=6,ISNUMBER(VALUE(J77))),0,1),1)+IFERROR(IF(ISNUMBER(MATCH(TRIM(I77),Lists!$A$2:$A$20,0)),0,1),1)+IFERROR(IF(AND(LEN(K77)=10,VALUE(LEFT(K77,FIND("/",K77)-1))&gt;=1,VALUE(LEFT(K77,FIND("/",K77)-1))&lt;=31,VALUE(LEFT(MID(K77,FIND("/",K77)+1,10),FIND("/",MID(K77,FIND("/",K77)+1,10))-1))&gt;=1,VALUE(LEFT(MID(K77,FIND("/",K77)+1,10),FIND("/",MID(K77,FIND("/",K77)+1,10))-1))&lt;=12,VALUE(LEFT(K77,FIND("/",K77)-1))&lt;=DAY(EOMONTH(DATE(VALUE(MID(MID(K77,FIND("/",K77)+1,10),FIND("/",MID(K77,FIND("/",K77)+1,10))+1,4)),VALUE(LEFT(MID(K77,FIND("/",K77)+1,10),FIND("/",MID(K77,FIND("/",K77)+1,10))-1)),1),0))),0,1),1)+IFERROR(IF(M77&gt;=0,0,1),1)+IFERROR(IF(ISNUMBER(MATCH(N77,Lists!$B$2:$B$7,0)),0,1),1))=0,"OK","ERROR"))</f>
        <v>ERROR</v>
      </c>
      <c r="Q77" s="3" t="str">
        <f aca="false">IF(D77="","",TRIM(IF(IFERROR(IF(AND(TRIM(D77)=D77,LEN(D77)&gt;0),0,1),1)=1,"Name; ","")&amp;IF(IFERROR(IF(AND(LEN(E77)=10,ISNUMBER(VALUE(E77))),0,1),1)=1,"Phone; ","")&amp;IF(IFERROR(IF(AND(ISNUMBER(SEARCH("@",F77)),ISNUMBER(SEARCH(".",F77))),0,1),1)=1,"Email; ","")&amp;IF(IFERROR(IF(AND(LEN(J77)=6,ISNUMBER(VALUE(J77))),0,1),1)=1,"Pincode; ","")&amp;IF(IFERROR(IF(ISNUMBER(MATCH(TRIM(I77),Lists!$A$2:$A$20,0)),0,1),1)=1,"State; ","")&amp;IF(IFERROR(IF(AND(LEN(K77)=10,VALUE(LEFT(K77,FIND("/",K77)-1))&gt;=1,VALUE(LEFT(K77,FIND("/",K77)-1))&lt;=31,VALUE(LEFT(MID(K77,FIND("/",K77)+1,10),FIND("/",MID(K77,FIND("/",K77)+1,10))-1))&gt;=1,VALUE(LEFT(MID(K77,FIND("/",K77)+1,10),FIND("/",MID(K77,FIND("/",K77)+1,10))-1))&lt;=12,VALUE(LEFT(K77,FIND("/",K77)-1))&lt;=DAY(EOMONTH(DATE(VALUE(MID(MID(K77,FIND("/",K77)+1,10),FIND("/",MID(K77,FIND("/",K77)+1,10))+1,4)),VALUE(LEFT(MID(K77,FIND("/",K77)+1,10),FIND("/",MID(K77,FIND("/",K77)+1,10))-1)),1),0))),0,1),1)=1,"Date; ","")&amp;IF(IFERROR(IF(M77&gt;=0,0,1),1)=1,"Amount; ","")&amp;IF(IFERROR(IF(ISNUMBER(MATCH(N77,Lists!$B$2:$B$7,0)),0,1),1)=1,"Payment; ","")))</f>
        <v>Name;</v>
      </c>
      <c r="R77" s="3" t="str">
        <f aca="false">IF(D77="","",IF(COUNTIFS($D$2:$D$701,D77,$E$2:$E$701,E77)&gt;1,"DUPLICATE","Unique"))</f>
        <v>Unique</v>
      </c>
    </row>
    <row r="78" customFormat="false" ht="15" hidden="false" customHeight="false" outlineLevel="0" collapsed="false">
      <c r="A78" s="3" t="n">
        <v>77</v>
      </c>
      <c r="B78" s="3" t="n">
        <v>2</v>
      </c>
      <c r="C78" s="3" t="s">
        <v>666</v>
      </c>
      <c r="D78" s="3" t="s">
        <v>667</v>
      </c>
      <c r="E78" s="3" t="s">
        <v>668</v>
      </c>
      <c r="F78" s="3" t="s">
        <v>669</v>
      </c>
      <c r="G78" s="3" t="s">
        <v>670</v>
      </c>
      <c r="H78" s="3" t="s">
        <v>266</v>
      </c>
      <c r="I78" s="3" t="s">
        <v>78</v>
      </c>
      <c r="J78" s="3" t="s">
        <v>671</v>
      </c>
      <c r="K78" s="3" t="s">
        <v>672</v>
      </c>
      <c r="L78" s="3" t="s">
        <v>70</v>
      </c>
      <c r="M78" s="3" t="n">
        <v>1266.44</v>
      </c>
      <c r="N78" s="3" t="s">
        <v>43</v>
      </c>
      <c r="O78" s="3" t="n">
        <f aca="false">IFERROR(LEN(C78&amp;D78&amp;E78&amp;F78&amp;G78&amp;H78&amp;I78&amp;J78&amp;K78&amp;L78&amp;M78&amp;N78)/5,0)</f>
        <v>26.8</v>
      </c>
      <c r="P78" s="3" t="str">
        <f aca="false">IF(OR(D78="",C78=""),"",IF((IFERROR(IF(AND(TRIM(D78)=D78,LEN(D78)&gt;0),0,1),1)+IFERROR(IF(AND(LEN(E78)=10,ISNUMBER(VALUE(E78))),0,1),1)+IFERROR(IF(AND(ISNUMBER(SEARCH("@",F78)),ISNUMBER(SEARCH(".",F78))),0,1),1)+IFERROR(IF(AND(LEN(J78)=6,ISNUMBER(VALUE(J78))),0,1),1)+IFERROR(IF(ISNUMBER(MATCH(TRIM(I78),Lists!$A$2:$A$20,0)),0,1),1)+IFERROR(IF(AND(LEN(K78)=10,VALUE(LEFT(K78,FIND("/",K78)-1))&gt;=1,VALUE(LEFT(K78,FIND("/",K78)-1))&lt;=31,VALUE(LEFT(MID(K78,FIND("/",K78)+1,10),FIND("/",MID(K78,FIND("/",K78)+1,10))-1))&gt;=1,VALUE(LEFT(MID(K78,FIND("/",K78)+1,10),FIND("/",MID(K78,FIND("/",K78)+1,10))-1))&lt;=12,VALUE(LEFT(K78,FIND("/",K78)-1))&lt;=DAY(EOMONTH(DATE(VALUE(MID(MID(K78,FIND("/",K78)+1,10),FIND("/",MID(K78,FIND("/",K78)+1,10))+1,4)),VALUE(LEFT(MID(K78,FIND("/",K78)+1,10),FIND("/",MID(K78,FIND("/",K78)+1,10))-1)),1),0))),0,1),1)+IFERROR(IF(M78&gt;=0,0,1),1)+IFERROR(IF(ISNUMBER(MATCH(N78,Lists!$B$2:$B$7,0)),0,1),1))=0,"OK","ERROR"))</f>
        <v>OK</v>
      </c>
      <c r="Q78" s="3" t="str">
        <f aca="false">IF(D78="","",TRIM(IF(IFERROR(IF(AND(TRIM(D78)=D78,LEN(D78)&gt;0),0,1),1)=1,"Name; ","")&amp;IF(IFERROR(IF(AND(LEN(E78)=10,ISNUMBER(VALUE(E78))),0,1),1)=1,"Phone; ","")&amp;IF(IFERROR(IF(AND(ISNUMBER(SEARCH("@",F78)),ISNUMBER(SEARCH(".",F78))),0,1),1)=1,"Email; ","")&amp;IF(IFERROR(IF(AND(LEN(J78)=6,ISNUMBER(VALUE(J78))),0,1),1)=1,"Pincode; ","")&amp;IF(IFERROR(IF(ISNUMBER(MATCH(TRIM(I78),Lists!$A$2:$A$20,0)),0,1),1)=1,"State; ","")&amp;IF(IFERROR(IF(AND(LEN(K78)=10,VALUE(LEFT(K78,FIND("/",K78)-1))&gt;=1,VALUE(LEFT(K78,FIND("/",K78)-1))&lt;=31,VALUE(LEFT(MID(K78,FIND("/",K78)+1,10),FIND("/",MID(K78,FIND("/",K78)+1,10))-1))&gt;=1,VALUE(LEFT(MID(K78,FIND("/",K78)+1,10),FIND("/",MID(K78,FIND("/",K78)+1,10))-1))&lt;=12,VALUE(LEFT(K78,FIND("/",K78)-1))&lt;=DAY(EOMONTH(DATE(VALUE(MID(MID(K78,FIND("/",K78)+1,10),FIND("/",MID(K78,FIND("/",K78)+1,10))+1,4)),VALUE(LEFT(MID(K78,FIND("/",K78)+1,10),FIND("/",MID(K78,FIND("/",K78)+1,10))-1)),1),0))),0,1),1)=1,"Date; ","")&amp;IF(IFERROR(IF(M78&gt;=0,0,1),1)=1,"Amount; ","")&amp;IF(IFERROR(IF(ISNUMBER(MATCH(N78,Lists!$B$2:$B$7,0)),0,1),1)=1,"Payment; ","")))</f>
        <v/>
      </c>
      <c r="R78" s="3" t="str">
        <f aca="false">IF(D78="","",IF(COUNTIFS($D$2:$D$701,D78,$E$2:$E$701,E78)&gt;1,"DUPLICATE","Unique"))</f>
        <v>Unique</v>
      </c>
    </row>
    <row r="79" customFormat="false" ht="15" hidden="false" customHeight="false" outlineLevel="0" collapsed="false">
      <c r="A79" s="3" t="n">
        <v>78</v>
      </c>
      <c r="B79" s="3" t="n">
        <v>2</v>
      </c>
      <c r="C79" s="3" t="s">
        <v>673</v>
      </c>
      <c r="D79" s="3" t="s">
        <v>674</v>
      </c>
      <c r="E79" s="3" t="s">
        <v>675</v>
      </c>
      <c r="F79" s="3" t="s">
        <v>676</v>
      </c>
      <c r="G79" s="3" t="s">
        <v>677</v>
      </c>
      <c r="H79" s="3" t="s">
        <v>318</v>
      </c>
      <c r="I79" s="3" t="s">
        <v>48</v>
      </c>
      <c r="J79" s="3" t="s">
        <v>678</v>
      </c>
      <c r="K79" s="3" t="s">
        <v>679</v>
      </c>
      <c r="L79" s="3" t="s">
        <v>70</v>
      </c>
      <c r="M79" s="3" t="n">
        <v>3350.62</v>
      </c>
      <c r="N79" s="3" t="s">
        <v>40</v>
      </c>
      <c r="O79" s="3" t="n">
        <f aca="false">IFERROR(LEN(C79&amp;D79&amp;E79&amp;F79&amp;G79&amp;H79&amp;I79&amp;J79&amp;K79&amp;L79&amp;M79&amp;N79)/5,0)</f>
        <v>25.8</v>
      </c>
      <c r="P79" s="3" t="str">
        <f aca="false">IF(OR(D79="",C79=""),"",IF((IFERROR(IF(AND(TRIM(D79)=D79,LEN(D79)&gt;0),0,1),1)+IFERROR(IF(AND(LEN(E79)=10,ISNUMBER(VALUE(E79))),0,1),1)+IFERROR(IF(AND(ISNUMBER(SEARCH("@",F79)),ISNUMBER(SEARCH(".",F79))),0,1),1)+IFERROR(IF(AND(LEN(J79)=6,ISNUMBER(VALUE(J79))),0,1),1)+IFERROR(IF(ISNUMBER(MATCH(TRIM(I79),Lists!$A$2:$A$20,0)),0,1),1)+IFERROR(IF(AND(LEN(K79)=10,VALUE(LEFT(K79,FIND("/",K79)-1))&gt;=1,VALUE(LEFT(K79,FIND("/",K79)-1))&lt;=31,VALUE(LEFT(MID(K79,FIND("/",K79)+1,10),FIND("/",MID(K79,FIND("/",K79)+1,10))-1))&gt;=1,VALUE(LEFT(MID(K79,FIND("/",K79)+1,10),FIND("/",MID(K79,FIND("/",K79)+1,10))-1))&lt;=12,VALUE(LEFT(K79,FIND("/",K79)-1))&lt;=DAY(EOMONTH(DATE(VALUE(MID(MID(K79,FIND("/",K79)+1,10),FIND("/",MID(K79,FIND("/",K79)+1,10))+1,4)),VALUE(LEFT(MID(K79,FIND("/",K79)+1,10),FIND("/",MID(K79,FIND("/",K79)+1,10))-1)),1),0))),0,1),1)+IFERROR(IF(M79&gt;=0,0,1),1)+IFERROR(IF(ISNUMBER(MATCH(N79,Lists!$B$2:$B$7,0)),0,1),1))=0,"OK","ERROR"))</f>
        <v>OK</v>
      </c>
      <c r="Q79" s="3" t="str">
        <f aca="false">IF(D79="","",TRIM(IF(IFERROR(IF(AND(TRIM(D79)=D79,LEN(D79)&gt;0),0,1),1)=1,"Name; ","")&amp;IF(IFERROR(IF(AND(LEN(E79)=10,ISNUMBER(VALUE(E79))),0,1),1)=1,"Phone; ","")&amp;IF(IFERROR(IF(AND(ISNUMBER(SEARCH("@",F79)),ISNUMBER(SEARCH(".",F79))),0,1),1)=1,"Email; ","")&amp;IF(IFERROR(IF(AND(LEN(J79)=6,ISNUMBER(VALUE(J79))),0,1),1)=1,"Pincode; ","")&amp;IF(IFERROR(IF(ISNUMBER(MATCH(TRIM(I79),Lists!$A$2:$A$20,0)),0,1),1)=1,"State; ","")&amp;IF(IFERROR(IF(AND(LEN(K79)=10,VALUE(LEFT(K79,FIND("/",K79)-1))&gt;=1,VALUE(LEFT(K79,FIND("/",K79)-1))&lt;=31,VALUE(LEFT(MID(K79,FIND("/",K79)+1,10),FIND("/",MID(K79,FIND("/",K79)+1,10))-1))&gt;=1,VALUE(LEFT(MID(K79,FIND("/",K79)+1,10),FIND("/",MID(K79,FIND("/",K79)+1,10))-1))&lt;=12,VALUE(LEFT(K79,FIND("/",K79)-1))&lt;=DAY(EOMONTH(DATE(VALUE(MID(MID(K79,FIND("/",K79)+1,10),FIND("/",MID(K79,FIND("/",K79)+1,10))+1,4)),VALUE(LEFT(MID(K79,FIND("/",K79)+1,10),FIND("/",MID(K79,FIND("/",K79)+1,10))-1)),1),0))),0,1),1)=1,"Date; ","")&amp;IF(IFERROR(IF(M79&gt;=0,0,1),1)=1,"Amount; ","")&amp;IF(IFERROR(IF(ISNUMBER(MATCH(N79,Lists!$B$2:$B$7,0)),0,1),1)=1,"Payment; ","")))</f>
        <v/>
      </c>
      <c r="R79" s="3" t="str">
        <f aca="false">IF(D79="","",IF(COUNTIFS($D$2:$D$701,D79,$E$2:$E$701,E79)&gt;1,"DUPLICATE","Unique"))</f>
        <v>Unique</v>
      </c>
    </row>
    <row r="80" customFormat="false" ht="15" hidden="false" customHeight="false" outlineLevel="0" collapsed="false">
      <c r="A80" s="3" t="n">
        <v>79</v>
      </c>
      <c r="B80" s="3" t="n">
        <v>2</v>
      </c>
      <c r="C80" s="3" t="s">
        <v>680</v>
      </c>
      <c r="D80" s="3" t="s">
        <v>681</v>
      </c>
      <c r="E80" s="3" t="s">
        <v>682</v>
      </c>
      <c r="F80" s="3" t="s">
        <v>683</v>
      </c>
      <c r="G80" s="3" t="s">
        <v>684</v>
      </c>
      <c r="H80" s="3" t="s">
        <v>250</v>
      </c>
      <c r="I80" s="3" t="s">
        <v>65</v>
      </c>
      <c r="J80" s="3" t="s">
        <v>685</v>
      </c>
      <c r="K80" s="3" t="s">
        <v>686</v>
      </c>
      <c r="L80" s="3" t="s">
        <v>60</v>
      </c>
      <c r="M80" s="3" t="n">
        <v>11133.68</v>
      </c>
      <c r="N80" s="3" t="s">
        <v>46</v>
      </c>
      <c r="O80" s="3" t="n">
        <f aca="false">IFERROR(LEN(C80&amp;D80&amp;E80&amp;F80&amp;G80&amp;H80&amp;I80&amp;J80&amp;K80&amp;L80&amp;M80&amp;N80)/5,0)</f>
        <v>30.4</v>
      </c>
      <c r="P80" s="3" t="str">
        <f aca="false">IF(OR(D80="",C80=""),"",IF((IFERROR(IF(AND(TRIM(D80)=D80,LEN(D80)&gt;0),0,1),1)+IFERROR(IF(AND(LEN(E80)=10,ISNUMBER(VALUE(E80))),0,1),1)+IFERROR(IF(AND(ISNUMBER(SEARCH("@",F80)),ISNUMBER(SEARCH(".",F80))),0,1),1)+IFERROR(IF(AND(LEN(J80)=6,ISNUMBER(VALUE(J80))),0,1),1)+IFERROR(IF(ISNUMBER(MATCH(TRIM(I80),Lists!$A$2:$A$20,0)),0,1),1)+IFERROR(IF(AND(LEN(K80)=10,VALUE(LEFT(K80,FIND("/",K80)-1))&gt;=1,VALUE(LEFT(K80,FIND("/",K80)-1))&lt;=31,VALUE(LEFT(MID(K80,FIND("/",K80)+1,10),FIND("/",MID(K80,FIND("/",K80)+1,10))-1))&gt;=1,VALUE(LEFT(MID(K80,FIND("/",K80)+1,10),FIND("/",MID(K80,FIND("/",K80)+1,10))-1))&lt;=12,VALUE(LEFT(K80,FIND("/",K80)-1))&lt;=DAY(EOMONTH(DATE(VALUE(MID(MID(K80,FIND("/",K80)+1,10),FIND("/",MID(K80,FIND("/",K80)+1,10))+1,4)),VALUE(LEFT(MID(K80,FIND("/",K80)+1,10),FIND("/",MID(K80,FIND("/",K80)+1,10))-1)),1),0))),0,1),1)+IFERROR(IF(M80&gt;=0,0,1),1)+IFERROR(IF(ISNUMBER(MATCH(N80,Lists!$B$2:$B$7,0)),0,1),1))=0,"OK","ERROR"))</f>
        <v>OK</v>
      </c>
      <c r="Q80" s="3" t="str">
        <f aca="false">IF(D80="","",TRIM(IF(IFERROR(IF(AND(TRIM(D80)=D80,LEN(D80)&gt;0),0,1),1)=1,"Name; ","")&amp;IF(IFERROR(IF(AND(LEN(E80)=10,ISNUMBER(VALUE(E80))),0,1),1)=1,"Phone; ","")&amp;IF(IFERROR(IF(AND(ISNUMBER(SEARCH("@",F80)),ISNUMBER(SEARCH(".",F80))),0,1),1)=1,"Email; ","")&amp;IF(IFERROR(IF(AND(LEN(J80)=6,ISNUMBER(VALUE(J80))),0,1),1)=1,"Pincode; ","")&amp;IF(IFERROR(IF(ISNUMBER(MATCH(TRIM(I80),Lists!$A$2:$A$20,0)),0,1),1)=1,"State; ","")&amp;IF(IFERROR(IF(AND(LEN(K80)=10,VALUE(LEFT(K80,FIND("/",K80)-1))&gt;=1,VALUE(LEFT(K80,FIND("/",K80)-1))&lt;=31,VALUE(LEFT(MID(K80,FIND("/",K80)+1,10),FIND("/",MID(K80,FIND("/",K80)+1,10))-1))&gt;=1,VALUE(LEFT(MID(K80,FIND("/",K80)+1,10),FIND("/",MID(K80,FIND("/",K80)+1,10))-1))&lt;=12,VALUE(LEFT(K80,FIND("/",K80)-1))&lt;=DAY(EOMONTH(DATE(VALUE(MID(MID(K80,FIND("/",K80)+1,10),FIND("/",MID(K80,FIND("/",K80)+1,10))+1,4)),VALUE(LEFT(MID(K80,FIND("/",K80)+1,10),FIND("/",MID(K80,FIND("/",K80)+1,10))-1)),1),0))),0,1),1)=1,"Date; ","")&amp;IF(IFERROR(IF(M80&gt;=0,0,1),1)=1,"Amount; ","")&amp;IF(IFERROR(IF(ISNUMBER(MATCH(N80,Lists!$B$2:$B$7,0)),0,1),1)=1,"Payment; ","")))</f>
        <v/>
      </c>
      <c r="R80" s="3" t="str">
        <f aca="false">IF(D80="","",IF(COUNTIFS($D$2:$D$701,D80,$E$2:$E$701,E80)&gt;1,"DUPLICATE","Unique"))</f>
        <v>Unique</v>
      </c>
    </row>
    <row r="81" customFormat="false" ht="15" hidden="false" customHeight="false" outlineLevel="0" collapsed="false">
      <c r="A81" s="3" t="n">
        <v>80</v>
      </c>
      <c r="B81" s="3" t="n">
        <v>2</v>
      </c>
      <c r="C81" s="3" t="s">
        <v>687</v>
      </c>
      <c r="D81" s="3" t="s">
        <v>688</v>
      </c>
      <c r="E81" s="3" t="s">
        <v>689</v>
      </c>
      <c r="F81" s="3" t="s">
        <v>690</v>
      </c>
      <c r="G81" s="3" t="s">
        <v>691</v>
      </c>
      <c r="H81" s="3" t="s">
        <v>525</v>
      </c>
      <c r="I81" s="3" t="s">
        <v>76</v>
      </c>
      <c r="J81" s="3" t="s">
        <v>692</v>
      </c>
      <c r="K81" s="3" t="s">
        <v>693</v>
      </c>
      <c r="L81" s="3" t="s">
        <v>56</v>
      </c>
      <c r="M81" s="3" t="n">
        <v>7263.65</v>
      </c>
      <c r="N81" s="3" t="s">
        <v>55</v>
      </c>
      <c r="O81" s="3" t="n">
        <f aca="false">IFERROR(LEN(C81&amp;D81&amp;E81&amp;F81&amp;G81&amp;H81&amp;I81&amp;J81&amp;K81&amp;L81&amp;M81&amp;N81)/5,0)</f>
        <v>28.2</v>
      </c>
      <c r="P81" s="3" t="str">
        <f aca="false">IF(OR(D81="",C81=""),"",IF((IFERROR(IF(AND(TRIM(D81)=D81,LEN(D81)&gt;0),0,1),1)+IFERROR(IF(AND(LEN(E81)=10,ISNUMBER(VALUE(E81))),0,1),1)+IFERROR(IF(AND(ISNUMBER(SEARCH("@",F81)),ISNUMBER(SEARCH(".",F81))),0,1),1)+IFERROR(IF(AND(LEN(J81)=6,ISNUMBER(VALUE(J81))),0,1),1)+IFERROR(IF(ISNUMBER(MATCH(TRIM(I81),Lists!$A$2:$A$20,0)),0,1),1)+IFERROR(IF(AND(LEN(K81)=10,VALUE(LEFT(K81,FIND("/",K81)-1))&gt;=1,VALUE(LEFT(K81,FIND("/",K81)-1))&lt;=31,VALUE(LEFT(MID(K81,FIND("/",K81)+1,10),FIND("/",MID(K81,FIND("/",K81)+1,10))-1))&gt;=1,VALUE(LEFT(MID(K81,FIND("/",K81)+1,10),FIND("/",MID(K81,FIND("/",K81)+1,10))-1))&lt;=12,VALUE(LEFT(K81,FIND("/",K81)-1))&lt;=DAY(EOMONTH(DATE(VALUE(MID(MID(K81,FIND("/",K81)+1,10),FIND("/",MID(K81,FIND("/",K81)+1,10))+1,4)),VALUE(LEFT(MID(K81,FIND("/",K81)+1,10),FIND("/",MID(K81,FIND("/",K81)+1,10))-1)),1),0))),0,1),1)+IFERROR(IF(M81&gt;=0,0,1),1)+IFERROR(IF(ISNUMBER(MATCH(N81,Lists!$B$2:$B$7,0)),0,1),1))=0,"OK","ERROR"))</f>
        <v>OK</v>
      </c>
      <c r="Q81" s="3" t="str">
        <f aca="false">IF(D81="","",TRIM(IF(IFERROR(IF(AND(TRIM(D81)=D81,LEN(D81)&gt;0),0,1),1)=1,"Name; ","")&amp;IF(IFERROR(IF(AND(LEN(E81)=10,ISNUMBER(VALUE(E81))),0,1),1)=1,"Phone; ","")&amp;IF(IFERROR(IF(AND(ISNUMBER(SEARCH("@",F81)),ISNUMBER(SEARCH(".",F81))),0,1),1)=1,"Email; ","")&amp;IF(IFERROR(IF(AND(LEN(J81)=6,ISNUMBER(VALUE(J81))),0,1),1)=1,"Pincode; ","")&amp;IF(IFERROR(IF(ISNUMBER(MATCH(TRIM(I81),Lists!$A$2:$A$20,0)),0,1),1)=1,"State; ","")&amp;IF(IFERROR(IF(AND(LEN(K81)=10,VALUE(LEFT(K81,FIND("/",K81)-1))&gt;=1,VALUE(LEFT(K81,FIND("/",K81)-1))&lt;=31,VALUE(LEFT(MID(K81,FIND("/",K81)+1,10),FIND("/",MID(K81,FIND("/",K81)+1,10))-1))&gt;=1,VALUE(LEFT(MID(K81,FIND("/",K81)+1,10),FIND("/",MID(K81,FIND("/",K81)+1,10))-1))&lt;=12,VALUE(LEFT(K81,FIND("/",K81)-1))&lt;=DAY(EOMONTH(DATE(VALUE(MID(MID(K81,FIND("/",K81)+1,10),FIND("/",MID(K81,FIND("/",K81)+1,10))+1,4)),VALUE(LEFT(MID(K81,FIND("/",K81)+1,10),FIND("/",MID(K81,FIND("/",K81)+1,10))-1)),1),0))),0,1),1)=1,"Date; ","")&amp;IF(IFERROR(IF(M81&gt;=0,0,1),1)=1,"Amount; ","")&amp;IF(IFERROR(IF(ISNUMBER(MATCH(N81,Lists!$B$2:$B$7,0)),0,1),1)=1,"Payment; ","")))</f>
        <v/>
      </c>
      <c r="R81" s="3" t="str">
        <f aca="false">IF(D81="","",IF(COUNTIFS($D$2:$D$701,D81,$E$2:$E$701,E81)&gt;1,"DUPLICATE","Unique"))</f>
        <v>Unique</v>
      </c>
    </row>
    <row r="82" customFormat="false" ht="15" hidden="false" customHeight="false" outlineLevel="0" collapsed="false">
      <c r="A82" s="3" t="n">
        <v>81</v>
      </c>
      <c r="B82" s="3" t="n">
        <v>2</v>
      </c>
      <c r="C82" s="3" t="s">
        <v>694</v>
      </c>
      <c r="D82" s="3" t="s">
        <v>695</v>
      </c>
      <c r="E82" s="3" t="s">
        <v>696</v>
      </c>
      <c r="F82" s="3" t="s">
        <v>697</v>
      </c>
      <c r="G82" s="3" t="s">
        <v>698</v>
      </c>
      <c r="H82" s="3" t="s">
        <v>548</v>
      </c>
      <c r="I82" s="3" t="s">
        <v>67</v>
      </c>
      <c r="J82" s="3" t="s">
        <v>699</v>
      </c>
      <c r="K82" s="3" t="s">
        <v>700</v>
      </c>
      <c r="L82" s="3" t="s">
        <v>64</v>
      </c>
      <c r="M82" s="3" t="n">
        <v>710.69</v>
      </c>
      <c r="N82" s="3" t="s">
        <v>43</v>
      </c>
      <c r="O82" s="3" t="n">
        <f aca="false">IFERROR(LEN(C82&amp;D82&amp;E82&amp;F82&amp;G82&amp;H82&amp;I82&amp;J82&amp;K82&amp;L82&amp;M82&amp;N82)/5,0)</f>
        <v>24</v>
      </c>
      <c r="P82" s="3" t="str">
        <f aca="false">IF(OR(D82="",C82=""),"",IF((IFERROR(IF(AND(TRIM(D82)=D82,LEN(D82)&gt;0),0,1),1)+IFERROR(IF(AND(LEN(E82)=10,ISNUMBER(VALUE(E82))),0,1),1)+IFERROR(IF(AND(ISNUMBER(SEARCH("@",F82)),ISNUMBER(SEARCH(".",F82))),0,1),1)+IFERROR(IF(AND(LEN(J82)=6,ISNUMBER(VALUE(J82))),0,1),1)+IFERROR(IF(ISNUMBER(MATCH(TRIM(I82),Lists!$A$2:$A$20,0)),0,1),1)+IFERROR(IF(AND(LEN(K82)=10,VALUE(LEFT(K82,FIND("/",K82)-1))&gt;=1,VALUE(LEFT(K82,FIND("/",K82)-1))&lt;=31,VALUE(LEFT(MID(K82,FIND("/",K82)+1,10),FIND("/",MID(K82,FIND("/",K82)+1,10))-1))&gt;=1,VALUE(LEFT(MID(K82,FIND("/",K82)+1,10),FIND("/",MID(K82,FIND("/",K82)+1,10))-1))&lt;=12,VALUE(LEFT(K82,FIND("/",K82)-1))&lt;=DAY(EOMONTH(DATE(VALUE(MID(MID(K82,FIND("/",K82)+1,10),FIND("/",MID(K82,FIND("/",K82)+1,10))+1,4)),VALUE(LEFT(MID(K82,FIND("/",K82)+1,10),FIND("/",MID(K82,FIND("/",K82)+1,10))-1)),1),0))),0,1),1)+IFERROR(IF(M82&gt;=0,0,1),1)+IFERROR(IF(ISNUMBER(MATCH(N82,Lists!$B$2:$B$7,0)),0,1),1))=0,"OK","ERROR"))</f>
        <v>ERROR</v>
      </c>
      <c r="Q82" s="3" t="str">
        <f aca="false">IF(D82="","",TRIM(IF(IFERROR(IF(AND(TRIM(D82)=D82,LEN(D82)&gt;0),0,1),1)=1,"Name; ","")&amp;IF(IFERROR(IF(AND(LEN(E82)=10,ISNUMBER(VALUE(E82))),0,1),1)=1,"Phone; ","")&amp;IF(IFERROR(IF(AND(ISNUMBER(SEARCH("@",F82)),ISNUMBER(SEARCH(".",F82))),0,1),1)=1,"Email; ","")&amp;IF(IFERROR(IF(AND(LEN(J82)=6,ISNUMBER(VALUE(J82))),0,1),1)=1,"Pincode; ","")&amp;IF(IFERROR(IF(ISNUMBER(MATCH(TRIM(I82),Lists!$A$2:$A$20,0)),0,1),1)=1,"State; ","")&amp;IF(IFERROR(IF(AND(LEN(K82)=10,VALUE(LEFT(K82,FIND("/",K82)-1))&gt;=1,VALUE(LEFT(K82,FIND("/",K82)-1))&lt;=31,VALUE(LEFT(MID(K82,FIND("/",K82)+1,10),FIND("/",MID(K82,FIND("/",K82)+1,10))-1))&gt;=1,VALUE(LEFT(MID(K82,FIND("/",K82)+1,10),FIND("/",MID(K82,FIND("/",K82)+1,10))-1))&lt;=12,VALUE(LEFT(K82,FIND("/",K82)-1))&lt;=DAY(EOMONTH(DATE(VALUE(MID(MID(K82,FIND("/",K82)+1,10),FIND("/",MID(K82,FIND("/",K82)+1,10))+1,4)),VALUE(LEFT(MID(K82,FIND("/",K82)+1,10),FIND("/",MID(K82,FIND("/",K82)+1,10))-1)),1),0))),0,1),1)=1,"Date; ","")&amp;IF(IFERROR(IF(M82&gt;=0,0,1),1)=1,"Amount; ","")&amp;IF(IFERROR(IF(ISNUMBER(MATCH(N82,Lists!$B$2:$B$7,0)),0,1),1)=1,"Payment; ","")))</f>
        <v>Name;</v>
      </c>
      <c r="R82" s="3" t="str">
        <f aca="false">IF(D82="","",IF(COUNTIFS($D$2:$D$701,D82,$E$2:$E$701,E82)&gt;1,"DUPLICATE","Unique"))</f>
        <v>Unique</v>
      </c>
    </row>
    <row r="83" customFormat="false" ht="15" hidden="false" customHeight="false" outlineLevel="0" collapsed="false">
      <c r="A83" s="3" t="n">
        <v>82</v>
      </c>
      <c r="B83" s="3" t="n">
        <v>2</v>
      </c>
      <c r="C83" s="3" t="s">
        <v>701</v>
      </c>
      <c r="D83" s="3" t="s">
        <v>702</v>
      </c>
      <c r="E83" s="3" t="s">
        <v>703</v>
      </c>
      <c r="F83" s="3" t="s">
        <v>704</v>
      </c>
      <c r="G83" s="3" t="s">
        <v>705</v>
      </c>
      <c r="H83" s="3" t="s">
        <v>502</v>
      </c>
      <c r="I83" s="3" t="s">
        <v>73</v>
      </c>
      <c r="J83" s="3" t="s">
        <v>706</v>
      </c>
      <c r="K83" s="3" t="s">
        <v>707</v>
      </c>
      <c r="L83" s="3" t="s">
        <v>53</v>
      </c>
      <c r="M83" s="3" t="n">
        <v>12443.44</v>
      </c>
      <c r="N83" s="3" t="s">
        <v>55</v>
      </c>
      <c r="O83" s="3" t="n">
        <f aca="false">IFERROR(LEN(C83&amp;D83&amp;E83&amp;F83&amp;G83&amp;H83&amp;I83&amp;J83&amp;K83&amp;L83&amp;M83&amp;N83)/5,0)</f>
        <v>28.8</v>
      </c>
      <c r="P83" s="3" t="str">
        <f aca="false">IF(OR(D83="",C83=""),"",IF((IFERROR(IF(AND(TRIM(D83)=D83,LEN(D83)&gt;0),0,1),1)+IFERROR(IF(AND(LEN(E83)=10,ISNUMBER(VALUE(E83))),0,1),1)+IFERROR(IF(AND(ISNUMBER(SEARCH("@",F83)),ISNUMBER(SEARCH(".",F83))),0,1),1)+IFERROR(IF(AND(LEN(J83)=6,ISNUMBER(VALUE(J83))),0,1),1)+IFERROR(IF(ISNUMBER(MATCH(TRIM(I83),Lists!$A$2:$A$20,0)),0,1),1)+IFERROR(IF(AND(LEN(K83)=10,VALUE(LEFT(K83,FIND("/",K83)-1))&gt;=1,VALUE(LEFT(K83,FIND("/",K83)-1))&lt;=31,VALUE(LEFT(MID(K83,FIND("/",K83)+1,10),FIND("/",MID(K83,FIND("/",K83)+1,10))-1))&gt;=1,VALUE(LEFT(MID(K83,FIND("/",K83)+1,10),FIND("/",MID(K83,FIND("/",K83)+1,10))-1))&lt;=12,VALUE(LEFT(K83,FIND("/",K83)-1))&lt;=DAY(EOMONTH(DATE(VALUE(MID(MID(K83,FIND("/",K83)+1,10),FIND("/",MID(K83,FIND("/",K83)+1,10))+1,4)),VALUE(LEFT(MID(K83,FIND("/",K83)+1,10),FIND("/",MID(K83,FIND("/",K83)+1,10))-1)),1),0))),0,1),1)+IFERROR(IF(M83&gt;=0,0,1),1)+IFERROR(IF(ISNUMBER(MATCH(N83,Lists!$B$2:$B$7,0)),0,1),1))=0,"OK","ERROR"))</f>
        <v>OK</v>
      </c>
      <c r="Q83" s="3" t="str">
        <f aca="false">IF(D83="","",TRIM(IF(IFERROR(IF(AND(TRIM(D83)=D83,LEN(D83)&gt;0),0,1),1)=1,"Name; ","")&amp;IF(IFERROR(IF(AND(LEN(E83)=10,ISNUMBER(VALUE(E83))),0,1),1)=1,"Phone; ","")&amp;IF(IFERROR(IF(AND(ISNUMBER(SEARCH("@",F83)),ISNUMBER(SEARCH(".",F83))),0,1),1)=1,"Email; ","")&amp;IF(IFERROR(IF(AND(LEN(J83)=6,ISNUMBER(VALUE(J83))),0,1),1)=1,"Pincode; ","")&amp;IF(IFERROR(IF(ISNUMBER(MATCH(TRIM(I83),Lists!$A$2:$A$20,0)),0,1),1)=1,"State; ","")&amp;IF(IFERROR(IF(AND(LEN(K83)=10,VALUE(LEFT(K83,FIND("/",K83)-1))&gt;=1,VALUE(LEFT(K83,FIND("/",K83)-1))&lt;=31,VALUE(LEFT(MID(K83,FIND("/",K83)+1,10),FIND("/",MID(K83,FIND("/",K83)+1,10))-1))&gt;=1,VALUE(LEFT(MID(K83,FIND("/",K83)+1,10),FIND("/",MID(K83,FIND("/",K83)+1,10))-1))&lt;=12,VALUE(LEFT(K83,FIND("/",K83)-1))&lt;=DAY(EOMONTH(DATE(VALUE(MID(MID(K83,FIND("/",K83)+1,10),FIND("/",MID(K83,FIND("/",K83)+1,10))+1,4)),VALUE(LEFT(MID(K83,FIND("/",K83)+1,10),FIND("/",MID(K83,FIND("/",K83)+1,10))-1)),1),0))),0,1),1)=1,"Date; ","")&amp;IF(IFERROR(IF(M83&gt;=0,0,1),1)=1,"Amount; ","")&amp;IF(IFERROR(IF(ISNUMBER(MATCH(N83,Lists!$B$2:$B$7,0)),0,1),1)=1,"Payment; ","")))</f>
        <v/>
      </c>
      <c r="R83" s="3" t="str">
        <f aca="false">IF(D83="","",IF(COUNTIFS($D$2:$D$701,D83,$E$2:$E$701,E83)&gt;1,"DUPLICATE","Unique"))</f>
        <v>Unique</v>
      </c>
    </row>
    <row r="84" customFormat="false" ht="15" hidden="false" customHeight="false" outlineLevel="0" collapsed="false">
      <c r="A84" s="3" t="n">
        <v>83</v>
      </c>
      <c r="B84" s="3" t="n">
        <v>2</v>
      </c>
      <c r="C84" s="3" t="s">
        <v>708</v>
      </c>
      <c r="D84" s="3" t="s">
        <v>709</v>
      </c>
      <c r="E84" s="3" t="s">
        <v>710</v>
      </c>
      <c r="F84" s="3" t="s">
        <v>711</v>
      </c>
      <c r="G84" s="3" t="s">
        <v>712</v>
      </c>
      <c r="H84" s="3" t="s">
        <v>385</v>
      </c>
      <c r="I84" s="3" t="s">
        <v>73</v>
      </c>
      <c r="J84" s="3" t="s">
        <v>713</v>
      </c>
      <c r="K84" s="3" t="s">
        <v>714</v>
      </c>
      <c r="L84" s="3" t="s">
        <v>72</v>
      </c>
      <c r="M84" s="3" t="n">
        <v>2687.58</v>
      </c>
      <c r="N84" s="3" t="s">
        <v>55</v>
      </c>
      <c r="O84" s="3" t="n">
        <f aca="false">IFERROR(LEN(C84&amp;D84&amp;E84&amp;F84&amp;G84&amp;H84&amp;I84&amp;J84&amp;K84&amp;L84&amp;M84&amp;N84)/5,0)</f>
        <v>26</v>
      </c>
      <c r="P84" s="3" t="str">
        <f aca="false">IF(OR(D84="",C84=""),"",IF((IFERROR(IF(AND(TRIM(D84)=D84,LEN(D84)&gt;0),0,1),1)+IFERROR(IF(AND(LEN(E84)=10,ISNUMBER(VALUE(E84))),0,1),1)+IFERROR(IF(AND(ISNUMBER(SEARCH("@",F84)),ISNUMBER(SEARCH(".",F84))),0,1),1)+IFERROR(IF(AND(LEN(J84)=6,ISNUMBER(VALUE(J84))),0,1),1)+IFERROR(IF(ISNUMBER(MATCH(TRIM(I84),Lists!$A$2:$A$20,0)),0,1),1)+IFERROR(IF(AND(LEN(K84)=10,VALUE(LEFT(K84,FIND("/",K84)-1))&gt;=1,VALUE(LEFT(K84,FIND("/",K84)-1))&lt;=31,VALUE(LEFT(MID(K84,FIND("/",K84)+1,10),FIND("/",MID(K84,FIND("/",K84)+1,10))-1))&gt;=1,VALUE(LEFT(MID(K84,FIND("/",K84)+1,10),FIND("/",MID(K84,FIND("/",K84)+1,10))-1))&lt;=12,VALUE(LEFT(K84,FIND("/",K84)-1))&lt;=DAY(EOMONTH(DATE(VALUE(MID(MID(K84,FIND("/",K84)+1,10),FIND("/",MID(K84,FIND("/",K84)+1,10))+1,4)),VALUE(LEFT(MID(K84,FIND("/",K84)+1,10),FIND("/",MID(K84,FIND("/",K84)+1,10))-1)),1),0))),0,1),1)+IFERROR(IF(M84&gt;=0,0,1),1)+IFERROR(IF(ISNUMBER(MATCH(N84,Lists!$B$2:$B$7,0)),0,1),1))=0,"OK","ERROR"))</f>
        <v>OK</v>
      </c>
      <c r="Q84" s="3" t="str">
        <f aca="false">IF(D84="","",TRIM(IF(IFERROR(IF(AND(TRIM(D84)=D84,LEN(D84)&gt;0),0,1),1)=1,"Name; ","")&amp;IF(IFERROR(IF(AND(LEN(E84)=10,ISNUMBER(VALUE(E84))),0,1),1)=1,"Phone; ","")&amp;IF(IFERROR(IF(AND(ISNUMBER(SEARCH("@",F84)),ISNUMBER(SEARCH(".",F84))),0,1),1)=1,"Email; ","")&amp;IF(IFERROR(IF(AND(LEN(J84)=6,ISNUMBER(VALUE(J84))),0,1),1)=1,"Pincode; ","")&amp;IF(IFERROR(IF(ISNUMBER(MATCH(TRIM(I84),Lists!$A$2:$A$20,0)),0,1),1)=1,"State; ","")&amp;IF(IFERROR(IF(AND(LEN(K84)=10,VALUE(LEFT(K84,FIND("/",K84)-1))&gt;=1,VALUE(LEFT(K84,FIND("/",K84)-1))&lt;=31,VALUE(LEFT(MID(K84,FIND("/",K84)+1,10),FIND("/",MID(K84,FIND("/",K84)+1,10))-1))&gt;=1,VALUE(LEFT(MID(K84,FIND("/",K84)+1,10),FIND("/",MID(K84,FIND("/",K84)+1,10))-1))&lt;=12,VALUE(LEFT(K84,FIND("/",K84)-1))&lt;=DAY(EOMONTH(DATE(VALUE(MID(MID(K84,FIND("/",K84)+1,10),FIND("/",MID(K84,FIND("/",K84)+1,10))+1,4)),VALUE(LEFT(MID(K84,FIND("/",K84)+1,10),FIND("/",MID(K84,FIND("/",K84)+1,10))-1)),1),0))),0,1),1)=1,"Date; ","")&amp;IF(IFERROR(IF(M84&gt;=0,0,1),1)=1,"Amount; ","")&amp;IF(IFERROR(IF(ISNUMBER(MATCH(N84,Lists!$B$2:$B$7,0)),0,1),1)=1,"Payment; ","")))</f>
        <v/>
      </c>
      <c r="R84" s="3" t="str">
        <f aca="false">IF(D84="","",IF(COUNTIFS($D$2:$D$701,D84,$E$2:$E$701,E84)&gt;1,"DUPLICATE","Unique"))</f>
        <v>Unique</v>
      </c>
    </row>
    <row r="85" customFormat="false" ht="15" hidden="false" customHeight="false" outlineLevel="0" collapsed="false">
      <c r="A85" s="3" t="n">
        <v>84</v>
      </c>
      <c r="B85" s="3" t="n">
        <v>2</v>
      </c>
      <c r="C85" s="3" t="s">
        <v>715</v>
      </c>
      <c r="D85" s="3" t="s">
        <v>716</v>
      </c>
      <c r="E85" s="3" t="s">
        <v>717</v>
      </c>
      <c r="F85" s="3" t="s">
        <v>718</v>
      </c>
      <c r="G85" s="3" t="s">
        <v>719</v>
      </c>
      <c r="H85" s="3" t="s">
        <v>720</v>
      </c>
      <c r="I85" s="3" t="s">
        <v>54</v>
      </c>
      <c r="J85" s="3" t="s">
        <v>721</v>
      </c>
      <c r="K85" s="3" t="s">
        <v>722</v>
      </c>
      <c r="L85" s="3" t="s">
        <v>68</v>
      </c>
      <c r="M85" s="3" t="n">
        <v>11557.14</v>
      </c>
      <c r="N85" s="3" t="s">
        <v>52</v>
      </c>
      <c r="O85" s="3" t="n">
        <f aca="false">IFERROR(LEN(C85&amp;D85&amp;E85&amp;F85&amp;G85&amp;H85&amp;I85&amp;J85&amp;K85&amp;L85&amp;M85&amp;N85)/5,0)</f>
        <v>27.4</v>
      </c>
      <c r="P85" s="3" t="str">
        <f aca="false">IF(OR(D85="",C85=""),"",IF((IFERROR(IF(AND(TRIM(D85)=D85,LEN(D85)&gt;0),0,1),1)+IFERROR(IF(AND(LEN(E85)=10,ISNUMBER(VALUE(E85))),0,1),1)+IFERROR(IF(AND(ISNUMBER(SEARCH("@",F85)),ISNUMBER(SEARCH(".",F85))),0,1),1)+IFERROR(IF(AND(LEN(J85)=6,ISNUMBER(VALUE(J85))),0,1),1)+IFERROR(IF(ISNUMBER(MATCH(TRIM(I85),Lists!$A$2:$A$20,0)),0,1),1)+IFERROR(IF(AND(LEN(K85)=10,VALUE(LEFT(K85,FIND("/",K85)-1))&gt;=1,VALUE(LEFT(K85,FIND("/",K85)-1))&lt;=31,VALUE(LEFT(MID(K85,FIND("/",K85)+1,10),FIND("/",MID(K85,FIND("/",K85)+1,10))-1))&gt;=1,VALUE(LEFT(MID(K85,FIND("/",K85)+1,10),FIND("/",MID(K85,FIND("/",K85)+1,10))-1))&lt;=12,VALUE(LEFT(K85,FIND("/",K85)-1))&lt;=DAY(EOMONTH(DATE(VALUE(MID(MID(K85,FIND("/",K85)+1,10),FIND("/",MID(K85,FIND("/",K85)+1,10))+1,4)),VALUE(LEFT(MID(K85,FIND("/",K85)+1,10),FIND("/",MID(K85,FIND("/",K85)+1,10))-1)),1),0))),0,1),1)+IFERROR(IF(M85&gt;=0,0,1),1)+IFERROR(IF(ISNUMBER(MATCH(N85,Lists!$B$2:$B$7,0)),0,1),1))=0,"OK","ERROR"))</f>
        <v>OK</v>
      </c>
      <c r="Q85" s="3" t="str">
        <f aca="false">IF(D85="","",TRIM(IF(IFERROR(IF(AND(TRIM(D85)=D85,LEN(D85)&gt;0),0,1),1)=1,"Name; ","")&amp;IF(IFERROR(IF(AND(LEN(E85)=10,ISNUMBER(VALUE(E85))),0,1),1)=1,"Phone; ","")&amp;IF(IFERROR(IF(AND(ISNUMBER(SEARCH("@",F85)),ISNUMBER(SEARCH(".",F85))),0,1),1)=1,"Email; ","")&amp;IF(IFERROR(IF(AND(LEN(J85)=6,ISNUMBER(VALUE(J85))),0,1),1)=1,"Pincode; ","")&amp;IF(IFERROR(IF(ISNUMBER(MATCH(TRIM(I85),Lists!$A$2:$A$20,0)),0,1),1)=1,"State; ","")&amp;IF(IFERROR(IF(AND(LEN(K85)=10,VALUE(LEFT(K85,FIND("/",K85)-1))&gt;=1,VALUE(LEFT(K85,FIND("/",K85)-1))&lt;=31,VALUE(LEFT(MID(K85,FIND("/",K85)+1,10),FIND("/",MID(K85,FIND("/",K85)+1,10))-1))&gt;=1,VALUE(LEFT(MID(K85,FIND("/",K85)+1,10),FIND("/",MID(K85,FIND("/",K85)+1,10))-1))&lt;=12,VALUE(LEFT(K85,FIND("/",K85)-1))&lt;=DAY(EOMONTH(DATE(VALUE(MID(MID(K85,FIND("/",K85)+1,10),FIND("/",MID(K85,FIND("/",K85)+1,10))+1,4)),VALUE(LEFT(MID(K85,FIND("/",K85)+1,10),FIND("/",MID(K85,FIND("/",K85)+1,10))-1)),1),0))),0,1),1)=1,"Date; ","")&amp;IF(IFERROR(IF(M85&gt;=0,0,1),1)=1,"Amount; ","")&amp;IF(IFERROR(IF(ISNUMBER(MATCH(N85,Lists!$B$2:$B$7,0)),0,1),1)=1,"Payment; ","")))</f>
        <v/>
      </c>
      <c r="R85" s="3" t="str">
        <f aca="false">IF(D85="","",IF(COUNTIFS($D$2:$D$701,D85,$E$2:$E$701,E85)&gt;1,"DUPLICATE","Unique"))</f>
        <v>Unique</v>
      </c>
    </row>
    <row r="86" customFormat="false" ht="15" hidden="false" customHeight="false" outlineLevel="0" collapsed="false">
      <c r="A86" s="3" t="n">
        <v>85</v>
      </c>
      <c r="B86" s="3" t="n">
        <v>2</v>
      </c>
      <c r="C86" s="3" t="s">
        <v>723</v>
      </c>
      <c r="D86" s="3" t="s">
        <v>724</v>
      </c>
      <c r="E86" s="3" t="s">
        <v>725</v>
      </c>
      <c r="F86" s="3" t="s">
        <v>726</v>
      </c>
      <c r="G86" s="3" t="s">
        <v>727</v>
      </c>
      <c r="H86" s="3" t="s">
        <v>540</v>
      </c>
      <c r="I86" s="3" t="s">
        <v>71</v>
      </c>
      <c r="J86" s="3" t="s">
        <v>728</v>
      </c>
      <c r="K86" s="3" t="s">
        <v>729</v>
      </c>
      <c r="L86" s="3" t="s">
        <v>62</v>
      </c>
      <c r="M86" s="3" t="n">
        <v>2616.64</v>
      </c>
      <c r="N86" s="3" t="s">
        <v>43</v>
      </c>
      <c r="O86" s="3" t="n">
        <f aca="false">IFERROR(LEN(C86&amp;D86&amp;E86&amp;F86&amp;G86&amp;H86&amp;I86&amp;J86&amp;K86&amp;L86&amp;M86&amp;N86)/5,0)</f>
        <v>24.4</v>
      </c>
      <c r="P86" s="3" t="str">
        <f aca="false">IF(OR(D86="",C86=""),"",IF((IFERROR(IF(AND(TRIM(D86)=D86,LEN(D86)&gt;0),0,1),1)+IFERROR(IF(AND(LEN(E86)=10,ISNUMBER(VALUE(E86))),0,1),1)+IFERROR(IF(AND(ISNUMBER(SEARCH("@",F86)),ISNUMBER(SEARCH(".",F86))),0,1),1)+IFERROR(IF(AND(LEN(J86)=6,ISNUMBER(VALUE(J86))),0,1),1)+IFERROR(IF(ISNUMBER(MATCH(TRIM(I86),Lists!$A$2:$A$20,0)),0,1),1)+IFERROR(IF(AND(LEN(K86)=10,VALUE(LEFT(K86,FIND("/",K86)-1))&gt;=1,VALUE(LEFT(K86,FIND("/",K86)-1))&lt;=31,VALUE(LEFT(MID(K86,FIND("/",K86)+1,10),FIND("/",MID(K86,FIND("/",K86)+1,10))-1))&gt;=1,VALUE(LEFT(MID(K86,FIND("/",K86)+1,10),FIND("/",MID(K86,FIND("/",K86)+1,10))-1))&lt;=12,VALUE(LEFT(K86,FIND("/",K86)-1))&lt;=DAY(EOMONTH(DATE(VALUE(MID(MID(K86,FIND("/",K86)+1,10),FIND("/",MID(K86,FIND("/",K86)+1,10))+1,4)),VALUE(LEFT(MID(K86,FIND("/",K86)+1,10),FIND("/",MID(K86,FIND("/",K86)+1,10))-1)),1),0))),0,1),1)+IFERROR(IF(M86&gt;=0,0,1),1)+IFERROR(IF(ISNUMBER(MATCH(N86,Lists!$B$2:$B$7,0)),0,1),1))=0,"OK","ERROR"))</f>
        <v>OK</v>
      </c>
      <c r="Q86" s="3" t="str">
        <f aca="false">IF(D86="","",TRIM(IF(IFERROR(IF(AND(TRIM(D86)=D86,LEN(D86)&gt;0),0,1),1)=1,"Name; ","")&amp;IF(IFERROR(IF(AND(LEN(E86)=10,ISNUMBER(VALUE(E86))),0,1),1)=1,"Phone; ","")&amp;IF(IFERROR(IF(AND(ISNUMBER(SEARCH("@",F86)),ISNUMBER(SEARCH(".",F86))),0,1),1)=1,"Email; ","")&amp;IF(IFERROR(IF(AND(LEN(J86)=6,ISNUMBER(VALUE(J86))),0,1),1)=1,"Pincode; ","")&amp;IF(IFERROR(IF(ISNUMBER(MATCH(TRIM(I86),Lists!$A$2:$A$20,0)),0,1),1)=1,"State; ","")&amp;IF(IFERROR(IF(AND(LEN(K86)=10,VALUE(LEFT(K86,FIND("/",K86)-1))&gt;=1,VALUE(LEFT(K86,FIND("/",K86)-1))&lt;=31,VALUE(LEFT(MID(K86,FIND("/",K86)+1,10),FIND("/",MID(K86,FIND("/",K86)+1,10))-1))&gt;=1,VALUE(LEFT(MID(K86,FIND("/",K86)+1,10),FIND("/",MID(K86,FIND("/",K86)+1,10))-1))&lt;=12,VALUE(LEFT(K86,FIND("/",K86)-1))&lt;=DAY(EOMONTH(DATE(VALUE(MID(MID(K86,FIND("/",K86)+1,10),FIND("/",MID(K86,FIND("/",K86)+1,10))+1,4)),VALUE(LEFT(MID(K86,FIND("/",K86)+1,10),FIND("/",MID(K86,FIND("/",K86)+1,10))-1)),1),0))),0,1),1)=1,"Date; ","")&amp;IF(IFERROR(IF(M86&gt;=0,0,1),1)=1,"Amount; ","")&amp;IF(IFERROR(IF(ISNUMBER(MATCH(N86,Lists!$B$2:$B$7,0)),0,1),1)=1,"Payment; ","")))</f>
        <v/>
      </c>
      <c r="R86" s="3" t="str">
        <f aca="false">IF(D86="","",IF(COUNTIFS($D$2:$D$701,D86,$E$2:$E$701,E86)&gt;1,"DUPLICATE","Unique"))</f>
        <v>Unique</v>
      </c>
    </row>
    <row r="87" customFormat="false" ht="15" hidden="false" customHeight="false" outlineLevel="0" collapsed="false">
      <c r="A87" s="3" t="n">
        <v>86</v>
      </c>
      <c r="B87" s="3" t="n">
        <v>2</v>
      </c>
      <c r="C87" s="3" t="s">
        <v>730</v>
      </c>
      <c r="D87" s="3" t="s">
        <v>731</v>
      </c>
      <c r="E87" s="3" t="s">
        <v>732</v>
      </c>
      <c r="F87" s="3" t="s">
        <v>733</v>
      </c>
      <c r="G87" s="3" t="s">
        <v>734</v>
      </c>
      <c r="H87" s="3" t="s">
        <v>720</v>
      </c>
      <c r="I87" s="3" t="s">
        <v>54</v>
      </c>
      <c r="J87" s="3" t="s">
        <v>735</v>
      </c>
      <c r="K87" s="3" t="s">
        <v>736</v>
      </c>
      <c r="L87" s="3" t="s">
        <v>64</v>
      </c>
      <c r="M87" s="3" t="n">
        <v>2635.27</v>
      </c>
      <c r="N87" s="3" t="s">
        <v>55</v>
      </c>
      <c r="O87" s="3" t="n">
        <f aca="false">IFERROR(LEN(C87&amp;D87&amp;E87&amp;F87&amp;G87&amp;H87&amp;I87&amp;J87&amp;K87&amp;L87&amp;M87&amp;N87)/5,0)</f>
        <v>24</v>
      </c>
      <c r="P87" s="3" t="str">
        <f aca="false">IF(OR(D87="",C87=""),"",IF((IFERROR(IF(AND(TRIM(D87)=D87,LEN(D87)&gt;0),0,1),1)+IFERROR(IF(AND(LEN(E87)=10,ISNUMBER(VALUE(E87))),0,1),1)+IFERROR(IF(AND(ISNUMBER(SEARCH("@",F87)),ISNUMBER(SEARCH(".",F87))),0,1),1)+IFERROR(IF(AND(LEN(J87)=6,ISNUMBER(VALUE(J87))),0,1),1)+IFERROR(IF(ISNUMBER(MATCH(TRIM(I87),Lists!$A$2:$A$20,0)),0,1),1)+IFERROR(IF(AND(LEN(K87)=10,VALUE(LEFT(K87,FIND("/",K87)-1))&gt;=1,VALUE(LEFT(K87,FIND("/",K87)-1))&lt;=31,VALUE(LEFT(MID(K87,FIND("/",K87)+1,10),FIND("/",MID(K87,FIND("/",K87)+1,10))-1))&gt;=1,VALUE(LEFT(MID(K87,FIND("/",K87)+1,10),FIND("/",MID(K87,FIND("/",K87)+1,10))-1))&lt;=12,VALUE(LEFT(K87,FIND("/",K87)-1))&lt;=DAY(EOMONTH(DATE(VALUE(MID(MID(K87,FIND("/",K87)+1,10),FIND("/",MID(K87,FIND("/",K87)+1,10))+1,4)),VALUE(LEFT(MID(K87,FIND("/",K87)+1,10),FIND("/",MID(K87,FIND("/",K87)+1,10))-1)),1),0))),0,1),1)+IFERROR(IF(M87&gt;=0,0,1),1)+IFERROR(IF(ISNUMBER(MATCH(N87,Lists!$B$2:$B$7,0)),0,1),1))=0,"OK","ERROR"))</f>
        <v>OK</v>
      </c>
      <c r="Q87" s="3" t="str">
        <f aca="false">IF(D87="","",TRIM(IF(IFERROR(IF(AND(TRIM(D87)=D87,LEN(D87)&gt;0),0,1),1)=1,"Name; ","")&amp;IF(IFERROR(IF(AND(LEN(E87)=10,ISNUMBER(VALUE(E87))),0,1),1)=1,"Phone; ","")&amp;IF(IFERROR(IF(AND(ISNUMBER(SEARCH("@",F87)),ISNUMBER(SEARCH(".",F87))),0,1),1)=1,"Email; ","")&amp;IF(IFERROR(IF(AND(LEN(J87)=6,ISNUMBER(VALUE(J87))),0,1),1)=1,"Pincode; ","")&amp;IF(IFERROR(IF(ISNUMBER(MATCH(TRIM(I87),Lists!$A$2:$A$20,0)),0,1),1)=1,"State; ","")&amp;IF(IFERROR(IF(AND(LEN(K87)=10,VALUE(LEFT(K87,FIND("/",K87)-1))&gt;=1,VALUE(LEFT(K87,FIND("/",K87)-1))&lt;=31,VALUE(LEFT(MID(K87,FIND("/",K87)+1,10),FIND("/",MID(K87,FIND("/",K87)+1,10))-1))&gt;=1,VALUE(LEFT(MID(K87,FIND("/",K87)+1,10),FIND("/",MID(K87,FIND("/",K87)+1,10))-1))&lt;=12,VALUE(LEFT(K87,FIND("/",K87)-1))&lt;=DAY(EOMONTH(DATE(VALUE(MID(MID(K87,FIND("/",K87)+1,10),FIND("/",MID(K87,FIND("/",K87)+1,10))+1,4)),VALUE(LEFT(MID(K87,FIND("/",K87)+1,10),FIND("/",MID(K87,FIND("/",K87)+1,10))-1)),1),0))),0,1),1)=1,"Date; ","")&amp;IF(IFERROR(IF(M87&gt;=0,0,1),1)=1,"Amount; ","")&amp;IF(IFERROR(IF(ISNUMBER(MATCH(N87,Lists!$B$2:$B$7,0)),0,1),1)=1,"Payment; ","")))</f>
        <v/>
      </c>
      <c r="R87" s="3" t="str">
        <f aca="false">IF(D87="","",IF(COUNTIFS($D$2:$D$701,D87,$E$2:$E$701,E87)&gt;1,"DUPLICATE","Unique"))</f>
        <v>Unique</v>
      </c>
    </row>
    <row r="88" customFormat="false" ht="15" hidden="false" customHeight="false" outlineLevel="0" collapsed="false">
      <c r="A88" s="3" t="n">
        <v>87</v>
      </c>
      <c r="B88" s="3" t="n">
        <v>2</v>
      </c>
      <c r="C88" s="3" t="s">
        <v>737</v>
      </c>
      <c r="D88" s="3" t="s">
        <v>738</v>
      </c>
      <c r="E88" s="3" t="s">
        <v>739</v>
      </c>
      <c r="F88" s="3" t="s">
        <v>740</v>
      </c>
      <c r="G88" s="3" t="s">
        <v>741</v>
      </c>
      <c r="H88" s="3" t="s">
        <v>428</v>
      </c>
      <c r="I88" s="3" t="s">
        <v>65</v>
      </c>
      <c r="J88" s="3" t="s">
        <v>742</v>
      </c>
      <c r="K88" s="3" t="s">
        <v>743</v>
      </c>
      <c r="L88" s="3" t="s">
        <v>53</v>
      </c>
      <c r="M88" s="3" t="n">
        <v>7365</v>
      </c>
      <c r="N88" s="3" t="s">
        <v>55</v>
      </c>
      <c r="O88" s="3" t="n">
        <f aca="false">IFERROR(LEN(C88&amp;D88&amp;E88&amp;F88&amp;G88&amp;H88&amp;I88&amp;J88&amp;K88&amp;L88&amp;M88&amp;N88)/5,0)</f>
        <v>27.4</v>
      </c>
      <c r="P88" s="3" t="str">
        <f aca="false">IF(OR(D88="",C88=""),"",IF((IFERROR(IF(AND(TRIM(D88)=D88,LEN(D88)&gt;0),0,1),1)+IFERROR(IF(AND(LEN(E88)=10,ISNUMBER(VALUE(E88))),0,1),1)+IFERROR(IF(AND(ISNUMBER(SEARCH("@",F88)),ISNUMBER(SEARCH(".",F88))),0,1),1)+IFERROR(IF(AND(LEN(J88)=6,ISNUMBER(VALUE(J88))),0,1),1)+IFERROR(IF(ISNUMBER(MATCH(TRIM(I88),Lists!$A$2:$A$20,0)),0,1),1)+IFERROR(IF(AND(LEN(K88)=10,VALUE(LEFT(K88,FIND("/",K88)-1))&gt;=1,VALUE(LEFT(K88,FIND("/",K88)-1))&lt;=31,VALUE(LEFT(MID(K88,FIND("/",K88)+1,10),FIND("/",MID(K88,FIND("/",K88)+1,10))-1))&gt;=1,VALUE(LEFT(MID(K88,FIND("/",K88)+1,10),FIND("/",MID(K88,FIND("/",K88)+1,10))-1))&lt;=12,VALUE(LEFT(K88,FIND("/",K88)-1))&lt;=DAY(EOMONTH(DATE(VALUE(MID(MID(K88,FIND("/",K88)+1,10),FIND("/",MID(K88,FIND("/",K88)+1,10))+1,4)),VALUE(LEFT(MID(K88,FIND("/",K88)+1,10),FIND("/",MID(K88,FIND("/",K88)+1,10))-1)),1),0))),0,1),1)+IFERROR(IF(M88&gt;=0,0,1),1)+IFERROR(IF(ISNUMBER(MATCH(N88,Lists!$B$2:$B$7,0)),0,1),1))=0,"OK","ERROR"))</f>
        <v>OK</v>
      </c>
      <c r="Q88" s="3" t="str">
        <f aca="false">IF(D88="","",TRIM(IF(IFERROR(IF(AND(TRIM(D88)=D88,LEN(D88)&gt;0),0,1),1)=1,"Name; ","")&amp;IF(IFERROR(IF(AND(LEN(E88)=10,ISNUMBER(VALUE(E88))),0,1),1)=1,"Phone; ","")&amp;IF(IFERROR(IF(AND(ISNUMBER(SEARCH("@",F88)),ISNUMBER(SEARCH(".",F88))),0,1),1)=1,"Email; ","")&amp;IF(IFERROR(IF(AND(LEN(J88)=6,ISNUMBER(VALUE(J88))),0,1),1)=1,"Pincode; ","")&amp;IF(IFERROR(IF(ISNUMBER(MATCH(TRIM(I88),Lists!$A$2:$A$20,0)),0,1),1)=1,"State; ","")&amp;IF(IFERROR(IF(AND(LEN(K88)=10,VALUE(LEFT(K88,FIND("/",K88)-1))&gt;=1,VALUE(LEFT(K88,FIND("/",K88)-1))&lt;=31,VALUE(LEFT(MID(K88,FIND("/",K88)+1,10),FIND("/",MID(K88,FIND("/",K88)+1,10))-1))&gt;=1,VALUE(LEFT(MID(K88,FIND("/",K88)+1,10),FIND("/",MID(K88,FIND("/",K88)+1,10))-1))&lt;=12,VALUE(LEFT(K88,FIND("/",K88)-1))&lt;=DAY(EOMONTH(DATE(VALUE(MID(MID(K88,FIND("/",K88)+1,10),FIND("/",MID(K88,FIND("/",K88)+1,10))+1,4)),VALUE(LEFT(MID(K88,FIND("/",K88)+1,10),FIND("/",MID(K88,FIND("/",K88)+1,10))-1)),1),0))),0,1),1)=1,"Date; ","")&amp;IF(IFERROR(IF(M88&gt;=0,0,1),1)=1,"Amount; ","")&amp;IF(IFERROR(IF(ISNUMBER(MATCH(N88,Lists!$B$2:$B$7,0)),0,1),1)=1,"Payment; ","")))</f>
        <v/>
      </c>
      <c r="R88" s="3" t="str">
        <f aca="false">IF(D88="","",IF(COUNTIFS($D$2:$D$701,D88,$E$2:$E$701,E88)&gt;1,"DUPLICATE","Unique"))</f>
        <v>Unique</v>
      </c>
    </row>
    <row r="89" customFormat="false" ht="15" hidden="false" customHeight="false" outlineLevel="0" collapsed="false">
      <c r="A89" s="3" t="n">
        <v>88</v>
      </c>
      <c r="B89" s="3" t="n">
        <v>2</v>
      </c>
      <c r="C89" s="3" t="s">
        <v>744</v>
      </c>
      <c r="D89" s="3" t="s">
        <v>745</v>
      </c>
      <c r="E89" s="3" t="s">
        <v>746</v>
      </c>
      <c r="F89" s="3" t="s">
        <v>747</v>
      </c>
      <c r="G89" s="3" t="s">
        <v>748</v>
      </c>
      <c r="H89" s="3" t="s">
        <v>370</v>
      </c>
      <c r="I89" s="3" t="s">
        <v>42</v>
      </c>
      <c r="J89" s="3" t="s">
        <v>749</v>
      </c>
      <c r="K89" s="3" t="s">
        <v>750</v>
      </c>
      <c r="L89" s="3" t="s">
        <v>60</v>
      </c>
      <c r="M89" s="3" t="n">
        <v>2134.85</v>
      </c>
      <c r="N89" s="3" t="s">
        <v>49</v>
      </c>
      <c r="O89" s="3" t="n">
        <f aca="false">IFERROR(LEN(C89&amp;D89&amp;E89&amp;F89&amp;G89&amp;H89&amp;I89&amp;J89&amp;K89&amp;L89&amp;M89&amp;N89)/5,0)</f>
        <v>26.8</v>
      </c>
      <c r="P89" s="3" t="str">
        <f aca="false">IF(OR(D89="",C89=""),"",IF((IFERROR(IF(AND(TRIM(D89)=D89,LEN(D89)&gt;0),0,1),1)+IFERROR(IF(AND(LEN(E89)=10,ISNUMBER(VALUE(E89))),0,1),1)+IFERROR(IF(AND(ISNUMBER(SEARCH("@",F89)),ISNUMBER(SEARCH(".",F89))),0,1),1)+IFERROR(IF(AND(LEN(J89)=6,ISNUMBER(VALUE(J89))),0,1),1)+IFERROR(IF(ISNUMBER(MATCH(TRIM(I89),Lists!$A$2:$A$20,0)),0,1),1)+IFERROR(IF(AND(LEN(K89)=10,VALUE(LEFT(K89,FIND("/",K89)-1))&gt;=1,VALUE(LEFT(K89,FIND("/",K89)-1))&lt;=31,VALUE(LEFT(MID(K89,FIND("/",K89)+1,10),FIND("/",MID(K89,FIND("/",K89)+1,10))-1))&gt;=1,VALUE(LEFT(MID(K89,FIND("/",K89)+1,10),FIND("/",MID(K89,FIND("/",K89)+1,10))-1))&lt;=12,VALUE(LEFT(K89,FIND("/",K89)-1))&lt;=DAY(EOMONTH(DATE(VALUE(MID(MID(K89,FIND("/",K89)+1,10),FIND("/",MID(K89,FIND("/",K89)+1,10))+1,4)),VALUE(LEFT(MID(K89,FIND("/",K89)+1,10),FIND("/",MID(K89,FIND("/",K89)+1,10))-1)),1),0))),0,1),1)+IFERROR(IF(M89&gt;=0,0,1),1)+IFERROR(IF(ISNUMBER(MATCH(N89,Lists!$B$2:$B$7,0)),0,1),1))=0,"OK","ERROR"))</f>
        <v>OK</v>
      </c>
      <c r="Q89" s="3" t="str">
        <f aca="false">IF(D89="","",TRIM(IF(IFERROR(IF(AND(TRIM(D89)=D89,LEN(D89)&gt;0),0,1),1)=1,"Name; ","")&amp;IF(IFERROR(IF(AND(LEN(E89)=10,ISNUMBER(VALUE(E89))),0,1),1)=1,"Phone; ","")&amp;IF(IFERROR(IF(AND(ISNUMBER(SEARCH("@",F89)),ISNUMBER(SEARCH(".",F89))),0,1),1)=1,"Email; ","")&amp;IF(IFERROR(IF(AND(LEN(J89)=6,ISNUMBER(VALUE(J89))),0,1),1)=1,"Pincode; ","")&amp;IF(IFERROR(IF(ISNUMBER(MATCH(TRIM(I89),Lists!$A$2:$A$20,0)),0,1),1)=1,"State; ","")&amp;IF(IFERROR(IF(AND(LEN(K89)=10,VALUE(LEFT(K89,FIND("/",K89)-1))&gt;=1,VALUE(LEFT(K89,FIND("/",K89)-1))&lt;=31,VALUE(LEFT(MID(K89,FIND("/",K89)+1,10),FIND("/",MID(K89,FIND("/",K89)+1,10))-1))&gt;=1,VALUE(LEFT(MID(K89,FIND("/",K89)+1,10),FIND("/",MID(K89,FIND("/",K89)+1,10))-1))&lt;=12,VALUE(LEFT(K89,FIND("/",K89)-1))&lt;=DAY(EOMONTH(DATE(VALUE(MID(MID(K89,FIND("/",K89)+1,10),FIND("/",MID(K89,FIND("/",K89)+1,10))+1,4)),VALUE(LEFT(MID(K89,FIND("/",K89)+1,10),FIND("/",MID(K89,FIND("/",K89)+1,10))-1)),1),0))),0,1),1)=1,"Date; ","")&amp;IF(IFERROR(IF(M89&gt;=0,0,1),1)=1,"Amount; ","")&amp;IF(IFERROR(IF(ISNUMBER(MATCH(N89,Lists!$B$2:$B$7,0)),0,1),1)=1,"Payment; ","")))</f>
        <v/>
      </c>
      <c r="R89" s="3" t="str">
        <f aca="false">IF(D89="","",IF(COUNTIFS($D$2:$D$701,D89,$E$2:$E$701,E89)&gt;1,"DUPLICATE","Unique"))</f>
        <v>Unique</v>
      </c>
    </row>
    <row r="90" customFormat="false" ht="15" hidden="false" customHeight="false" outlineLevel="0" collapsed="false">
      <c r="A90" s="3" t="n">
        <v>89</v>
      </c>
      <c r="B90" s="3" t="n">
        <v>2</v>
      </c>
      <c r="C90" s="3" t="s">
        <v>751</v>
      </c>
      <c r="D90" s="3" t="s">
        <v>752</v>
      </c>
      <c r="E90" s="3" t="s">
        <v>753</v>
      </c>
      <c r="F90" s="3" t="s">
        <v>754</v>
      </c>
      <c r="G90" s="3" t="s">
        <v>755</v>
      </c>
      <c r="H90" s="3" t="s">
        <v>157</v>
      </c>
      <c r="I90" s="3" t="s">
        <v>59</v>
      </c>
      <c r="J90" s="3" t="s">
        <v>756</v>
      </c>
      <c r="K90" s="3" t="s">
        <v>757</v>
      </c>
      <c r="L90" s="3" t="s">
        <v>44</v>
      </c>
      <c r="M90" s="3" t="n">
        <v>15133.68</v>
      </c>
      <c r="N90" s="3" t="s">
        <v>52</v>
      </c>
      <c r="O90" s="3" t="n">
        <f aca="false">IFERROR(LEN(C90&amp;D90&amp;E90&amp;F90&amp;G90&amp;H90&amp;I90&amp;J90&amp;K90&amp;L90&amp;M90&amp;N90)/5,0)</f>
        <v>31.4</v>
      </c>
      <c r="P90" s="3" t="str">
        <f aca="false">IF(OR(D90="",C90=""),"",IF((IFERROR(IF(AND(TRIM(D90)=D90,LEN(D90)&gt;0),0,1),1)+IFERROR(IF(AND(LEN(E90)=10,ISNUMBER(VALUE(E90))),0,1),1)+IFERROR(IF(AND(ISNUMBER(SEARCH("@",F90)),ISNUMBER(SEARCH(".",F90))),0,1),1)+IFERROR(IF(AND(LEN(J90)=6,ISNUMBER(VALUE(J90))),0,1),1)+IFERROR(IF(ISNUMBER(MATCH(TRIM(I90),Lists!$A$2:$A$20,0)),0,1),1)+IFERROR(IF(AND(LEN(K90)=10,VALUE(LEFT(K90,FIND("/",K90)-1))&gt;=1,VALUE(LEFT(K90,FIND("/",K90)-1))&lt;=31,VALUE(LEFT(MID(K90,FIND("/",K90)+1,10),FIND("/",MID(K90,FIND("/",K90)+1,10))-1))&gt;=1,VALUE(LEFT(MID(K90,FIND("/",K90)+1,10),FIND("/",MID(K90,FIND("/",K90)+1,10))-1))&lt;=12,VALUE(LEFT(K90,FIND("/",K90)-1))&lt;=DAY(EOMONTH(DATE(VALUE(MID(MID(K90,FIND("/",K90)+1,10),FIND("/",MID(K90,FIND("/",K90)+1,10))+1,4)),VALUE(LEFT(MID(K90,FIND("/",K90)+1,10),FIND("/",MID(K90,FIND("/",K90)+1,10))-1)),1),0))),0,1),1)+IFERROR(IF(M90&gt;=0,0,1),1)+IFERROR(IF(ISNUMBER(MATCH(N90,Lists!$B$2:$B$7,0)),0,1),1))=0,"OK","ERROR"))</f>
        <v>OK</v>
      </c>
      <c r="Q90" s="3" t="str">
        <f aca="false">IF(D90="","",TRIM(IF(IFERROR(IF(AND(TRIM(D90)=D90,LEN(D90)&gt;0),0,1),1)=1,"Name; ","")&amp;IF(IFERROR(IF(AND(LEN(E90)=10,ISNUMBER(VALUE(E90))),0,1),1)=1,"Phone; ","")&amp;IF(IFERROR(IF(AND(ISNUMBER(SEARCH("@",F90)),ISNUMBER(SEARCH(".",F90))),0,1),1)=1,"Email; ","")&amp;IF(IFERROR(IF(AND(LEN(J90)=6,ISNUMBER(VALUE(J90))),0,1),1)=1,"Pincode; ","")&amp;IF(IFERROR(IF(ISNUMBER(MATCH(TRIM(I90),Lists!$A$2:$A$20,0)),0,1),1)=1,"State; ","")&amp;IF(IFERROR(IF(AND(LEN(K90)=10,VALUE(LEFT(K90,FIND("/",K90)-1))&gt;=1,VALUE(LEFT(K90,FIND("/",K90)-1))&lt;=31,VALUE(LEFT(MID(K90,FIND("/",K90)+1,10),FIND("/",MID(K90,FIND("/",K90)+1,10))-1))&gt;=1,VALUE(LEFT(MID(K90,FIND("/",K90)+1,10),FIND("/",MID(K90,FIND("/",K90)+1,10))-1))&lt;=12,VALUE(LEFT(K90,FIND("/",K90)-1))&lt;=DAY(EOMONTH(DATE(VALUE(MID(MID(K90,FIND("/",K90)+1,10),FIND("/",MID(K90,FIND("/",K90)+1,10))+1,4)),VALUE(LEFT(MID(K90,FIND("/",K90)+1,10),FIND("/",MID(K90,FIND("/",K90)+1,10))-1)),1),0))),0,1),1)=1,"Date; ","")&amp;IF(IFERROR(IF(M90&gt;=0,0,1),1)=1,"Amount; ","")&amp;IF(IFERROR(IF(ISNUMBER(MATCH(N90,Lists!$B$2:$B$7,0)),0,1),1)=1,"Payment; ","")))</f>
        <v/>
      </c>
      <c r="R90" s="3" t="str">
        <f aca="false">IF(D90="","",IF(COUNTIFS($D$2:$D$701,D90,$E$2:$E$701,E90)&gt;1,"DUPLICATE","Unique"))</f>
        <v>Unique</v>
      </c>
    </row>
    <row r="91" customFormat="false" ht="15" hidden="false" customHeight="false" outlineLevel="0" collapsed="false">
      <c r="A91" s="3" t="n">
        <v>90</v>
      </c>
      <c r="B91" s="3" t="n">
        <v>2</v>
      </c>
      <c r="C91" s="3" t="s">
        <v>758</v>
      </c>
      <c r="D91" s="3" t="s">
        <v>759</v>
      </c>
      <c r="E91" s="3" t="s">
        <v>760</v>
      </c>
      <c r="F91" s="3" t="s">
        <v>761</v>
      </c>
      <c r="G91" s="3" t="s">
        <v>762</v>
      </c>
      <c r="H91" s="3" t="s">
        <v>385</v>
      </c>
      <c r="I91" s="3" t="s">
        <v>73</v>
      </c>
      <c r="J91" s="3" t="s">
        <v>763</v>
      </c>
      <c r="K91" s="3" t="s">
        <v>764</v>
      </c>
      <c r="L91" s="3" t="s">
        <v>58</v>
      </c>
      <c r="M91" s="3" t="n">
        <v>1007.29</v>
      </c>
      <c r="N91" s="3" t="s">
        <v>52</v>
      </c>
      <c r="O91" s="3" t="n">
        <f aca="false">IFERROR(LEN(C91&amp;D91&amp;E91&amp;F91&amp;G91&amp;H91&amp;I91&amp;J91&amp;K91&amp;L91&amp;M91&amp;N91)/5,0)</f>
        <v>28.4</v>
      </c>
      <c r="P91" s="3" t="str">
        <f aca="false">IF(OR(D91="",C91=""),"",IF((IFERROR(IF(AND(TRIM(D91)=D91,LEN(D91)&gt;0),0,1),1)+IFERROR(IF(AND(LEN(E91)=10,ISNUMBER(VALUE(E91))),0,1),1)+IFERROR(IF(AND(ISNUMBER(SEARCH("@",F91)),ISNUMBER(SEARCH(".",F91))),0,1),1)+IFERROR(IF(AND(LEN(J91)=6,ISNUMBER(VALUE(J91))),0,1),1)+IFERROR(IF(ISNUMBER(MATCH(TRIM(I91),Lists!$A$2:$A$20,0)),0,1),1)+IFERROR(IF(AND(LEN(K91)=10,VALUE(LEFT(K91,FIND("/",K91)-1))&gt;=1,VALUE(LEFT(K91,FIND("/",K91)-1))&lt;=31,VALUE(LEFT(MID(K91,FIND("/",K91)+1,10),FIND("/",MID(K91,FIND("/",K91)+1,10))-1))&gt;=1,VALUE(LEFT(MID(K91,FIND("/",K91)+1,10),FIND("/",MID(K91,FIND("/",K91)+1,10))-1))&lt;=12,VALUE(LEFT(K91,FIND("/",K91)-1))&lt;=DAY(EOMONTH(DATE(VALUE(MID(MID(K91,FIND("/",K91)+1,10),FIND("/",MID(K91,FIND("/",K91)+1,10))+1,4)),VALUE(LEFT(MID(K91,FIND("/",K91)+1,10),FIND("/",MID(K91,FIND("/",K91)+1,10))-1)),1),0))),0,1),1)+IFERROR(IF(M91&gt;=0,0,1),1)+IFERROR(IF(ISNUMBER(MATCH(N91,Lists!$B$2:$B$7,0)),0,1),1))=0,"OK","ERROR"))</f>
        <v>OK</v>
      </c>
      <c r="Q91" s="3" t="str">
        <f aca="false">IF(D91="","",TRIM(IF(IFERROR(IF(AND(TRIM(D91)=D91,LEN(D91)&gt;0),0,1),1)=1,"Name; ","")&amp;IF(IFERROR(IF(AND(LEN(E91)=10,ISNUMBER(VALUE(E91))),0,1),1)=1,"Phone; ","")&amp;IF(IFERROR(IF(AND(ISNUMBER(SEARCH("@",F91)),ISNUMBER(SEARCH(".",F91))),0,1),1)=1,"Email; ","")&amp;IF(IFERROR(IF(AND(LEN(J91)=6,ISNUMBER(VALUE(J91))),0,1),1)=1,"Pincode; ","")&amp;IF(IFERROR(IF(ISNUMBER(MATCH(TRIM(I91),Lists!$A$2:$A$20,0)),0,1),1)=1,"State; ","")&amp;IF(IFERROR(IF(AND(LEN(K91)=10,VALUE(LEFT(K91,FIND("/",K91)-1))&gt;=1,VALUE(LEFT(K91,FIND("/",K91)-1))&lt;=31,VALUE(LEFT(MID(K91,FIND("/",K91)+1,10),FIND("/",MID(K91,FIND("/",K91)+1,10))-1))&gt;=1,VALUE(LEFT(MID(K91,FIND("/",K91)+1,10),FIND("/",MID(K91,FIND("/",K91)+1,10))-1))&lt;=12,VALUE(LEFT(K91,FIND("/",K91)-1))&lt;=DAY(EOMONTH(DATE(VALUE(MID(MID(K91,FIND("/",K91)+1,10),FIND("/",MID(K91,FIND("/",K91)+1,10))+1,4)),VALUE(LEFT(MID(K91,FIND("/",K91)+1,10),FIND("/",MID(K91,FIND("/",K91)+1,10))-1)),1),0))),0,1),1)=1,"Date; ","")&amp;IF(IFERROR(IF(M91&gt;=0,0,1),1)=1,"Amount; ","")&amp;IF(IFERROR(IF(ISNUMBER(MATCH(N91,Lists!$B$2:$B$7,0)),0,1),1)=1,"Payment; ","")))</f>
        <v/>
      </c>
      <c r="R91" s="3" t="str">
        <f aca="false">IF(D91="","",IF(COUNTIFS($D$2:$D$701,D91,$E$2:$E$701,E91)&gt;1,"DUPLICATE","Unique"))</f>
        <v>Unique</v>
      </c>
    </row>
    <row r="92" customFormat="false" ht="15" hidden="false" customHeight="false" outlineLevel="0" collapsed="false">
      <c r="A92" s="3" t="n">
        <v>91</v>
      </c>
      <c r="B92" s="3" t="n">
        <v>2</v>
      </c>
      <c r="C92" s="3" t="s">
        <v>765</v>
      </c>
      <c r="D92" s="3" t="s">
        <v>766</v>
      </c>
      <c r="E92" s="3" t="s">
        <v>767</v>
      </c>
      <c r="F92" s="3" t="s">
        <v>768</v>
      </c>
      <c r="G92" s="3" t="s">
        <v>769</v>
      </c>
      <c r="H92" s="3" t="s">
        <v>770</v>
      </c>
      <c r="I92" s="3" t="s">
        <v>57</v>
      </c>
      <c r="J92" s="3" t="s">
        <v>771</v>
      </c>
      <c r="K92" s="3" t="s">
        <v>104</v>
      </c>
      <c r="L92" s="3" t="s">
        <v>64</v>
      </c>
      <c r="M92" s="3" t="n">
        <v>8243.14</v>
      </c>
      <c r="N92" s="3" t="s">
        <v>52</v>
      </c>
      <c r="O92" s="3" t="n">
        <f aca="false">IFERROR(LEN(C92&amp;D92&amp;E92&amp;F92&amp;G92&amp;H92&amp;I92&amp;J92&amp;K92&amp;L92&amp;M92&amp;N92)/5,0)</f>
        <v>25.4</v>
      </c>
      <c r="P92" s="3" t="str">
        <f aca="false">IF(OR(D92="",C92=""),"",IF((IFERROR(IF(AND(TRIM(D92)=D92,LEN(D92)&gt;0),0,1),1)+IFERROR(IF(AND(LEN(E92)=10,ISNUMBER(VALUE(E92))),0,1),1)+IFERROR(IF(AND(ISNUMBER(SEARCH("@",F92)),ISNUMBER(SEARCH(".",F92))),0,1),1)+IFERROR(IF(AND(LEN(J92)=6,ISNUMBER(VALUE(J92))),0,1),1)+IFERROR(IF(ISNUMBER(MATCH(TRIM(I92),Lists!$A$2:$A$20,0)),0,1),1)+IFERROR(IF(AND(LEN(K92)=10,VALUE(LEFT(K92,FIND("/",K92)-1))&gt;=1,VALUE(LEFT(K92,FIND("/",K92)-1))&lt;=31,VALUE(LEFT(MID(K92,FIND("/",K92)+1,10),FIND("/",MID(K92,FIND("/",K92)+1,10))-1))&gt;=1,VALUE(LEFT(MID(K92,FIND("/",K92)+1,10),FIND("/",MID(K92,FIND("/",K92)+1,10))-1))&lt;=12,VALUE(LEFT(K92,FIND("/",K92)-1))&lt;=DAY(EOMONTH(DATE(VALUE(MID(MID(K92,FIND("/",K92)+1,10),FIND("/",MID(K92,FIND("/",K92)+1,10))+1,4)),VALUE(LEFT(MID(K92,FIND("/",K92)+1,10),FIND("/",MID(K92,FIND("/",K92)+1,10))-1)),1),0))),0,1),1)+IFERROR(IF(M92&gt;=0,0,1),1)+IFERROR(IF(ISNUMBER(MATCH(N92,Lists!$B$2:$B$7,0)),0,1),1))=0,"OK","ERROR"))</f>
        <v>OK</v>
      </c>
      <c r="Q92" s="3" t="str">
        <f aca="false">IF(D92="","",TRIM(IF(IFERROR(IF(AND(TRIM(D92)=D92,LEN(D92)&gt;0),0,1),1)=1,"Name; ","")&amp;IF(IFERROR(IF(AND(LEN(E92)=10,ISNUMBER(VALUE(E92))),0,1),1)=1,"Phone; ","")&amp;IF(IFERROR(IF(AND(ISNUMBER(SEARCH("@",F92)),ISNUMBER(SEARCH(".",F92))),0,1),1)=1,"Email; ","")&amp;IF(IFERROR(IF(AND(LEN(J92)=6,ISNUMBER(VALUE(J92))),0,1),1)=1,"Pincode; ","")&amp;IF(IFERROR(IF(ISNUMBER(MATCH(TRIM(I92),Lists!$A$2:$A$20,0)),0,1),1)=1,"State; ","")&amp;IF(IFERROR(IF(AND(LEN(K92)=10,VALUE(LEFT(K92,FIND("/",K92)-1))&gt;=1,VALUE(LEFT(K92,FIND("/",K92)-1))&lt;=31,VALUE(LEFT(MID(K92,FIND("/",K92)+1,10),FIND("/",MID(K92,FIND("/",K92)+1,10))-1))&gt;=1,VALUE(LEFT(MID(K92,FIND("/",K92)+1,10),FIND("/",MID(K92,FIND("/",K92)+1,10))-1))&lt;=12,VALUE(LEFT(K92,FIND("/",K92)-1))&lt;=DAY(EOMONTH(DATE(VALUE(MID(MID(K92,FIND("/",K92)+1,10),FIND("/",MID(K92,FIND("/",K92)+1,10))+1,4)),VALUE(LEFT(MID(K92,FIND("/",K92)+1,10),FIND("/",MID(K92,FIND("/",K92)+1,10))-1)),1),0))),0,1),1)=1,"Date; ","")&amp;IF(IFERROR(IF(M92&gt;=0,0,1),1)=1,"Amount; ","")&amp;IF(IFERROR(IF(ISNUMBER(MATCH(N92,Lists!$B$2:$B$7,0)),0,1),1)=1,"Payment; ","")))</f>
        <v/>
      </c>
      <c r="R92" s="3" t="str">
        <f aca="false">IF(D92="","",IF(COUNTIFS($D$2:$D$701,D92,$E$2:$E$701,E92)&gt;1,"DUPLICATE","Unique"))</f>
        <v>Unique</v>
      </c>
    </row>
    <row r="93" customFormat="false" ht="15" hidden="false" customHeight="false" outlineLevel="0" collapsed="false">
      <c r="A93" s="3" t="n">
        <v>92</v>
      </c>
      <c r="B93" s="3" t="n">
        <v>2</v>
      </c>
      <c r="C93" s="3" t="s">
        <v>772</v>
      </c>
      <c r="D93" s="3" t="s">
        <v>773</v>
      </c>
      <c r="E93" s="3" t="s">
        <v>774</v>
      </c>
      <c r="F93" s="3" t="s">
        <v>775</v>
      </c>
      <c r="G93" s="3" t="s">
        <v>776</v>
      </c>
      <c r="H93" s="3" t="s">
        <v>180</v>
      </c>
      <c r="I93" s="3" t="s">
        <v>42</v>
      </c>
      <c r="J93" s="3" t="s">
        <v>777</v>
      </c>
      <c r="K93" s="3" t="s">
        <v>778</v>
      </c>
      <c r="L93" s="3" t="s">
        <v>62</v>
      </c>
      <c r="M93" s="3" t="n">
        <v>13285.97</v>
      </c>
      <c r="N93" s="3" t="s">
        <v>52</v>
      </c>
      <c r="O93" s="3" t="n">
        <f aca="false">IFERROR(LEN(C93&amp;D93&amp;E93&amp;F93&amp;G93&amp;H93&amp;I93&amp;J93&amp;K93&amp;L93&amp;M93&amp;N93)/5,0)</f>
        <v>26.4</v>
      </c>
      <c r="P93" s="3" t="str">
        <f aca="false">IF(OR(D93="",C93=""),"",IF((IFERROR(IF(AND(TRIM(D93)=D93,LEN(D93)&gt;0),0,1),1)+IFERROR(IF(AND(LEN(E93)=10,ISNUMBER(VALUE(E93))),0,1),1)+IFERROR(IF(AND(ISNUMBER(SEARCH("@",F93)),ISNUMBER(SEARCH(".",F93))),0,1),1)+IFERROR(IF(AND(LEN(J93)=6,ISNUMBER(VALUE(J93))),0,1),1)+IFERROR(IF(ISNUMBER(MATCH(TRIM(I93),Lists!$A$2:$A$20,0)),0,1),1)+IFERROR(IF(AND(LEN(K93)=10,VALUE(LEFT(K93,FIND("/",K93)-1))&gt;=1,VALUE(LEFT(K93,FIND("/",K93)-1))&lt;=31,VALUE(LEFT(MID(K93,FIND("/",K93)+1,10),FIND("/",MID(K93,FIND("/",K93)+1,10))-1))&gt;=1,VALUE(LEFT(MID(K93,FIND("/",K93)+1,10),FIND("/",MID(K93,FIND("/",K93)+1,10))-1))&lt;=12,VALUE(LEFT(K93,FIND("/",K93)-1))&lt;=DAY(EOMONTH(DATE(VALUE(MID(MID(K93,FIND("/",K93)+1,10),FIND("/",MID(K93,FIND("/",K93)+1,10))+1,4)),VALUE(LEFT(MID(K93,FIND("/",K93)+1,10),FIND("/",MID(K93,FIND("/",K93)+1,10))-1)),1),0))),0,1),1)+IFERROR(IF(M93&gt;=0,0,1),1)+IFERROR(IF(ISNUMBER(MATCH(N93,Lists!$B$2:$B$7,0)),0,1),1))=0,"OK","ERROR"))</f>
        <v>OK</v>
      </c>
      <c r="Q93" s="3" t="str">
        <f aca="false">IF(D93="","",TRIM(IF(IFERROR(IF(AND(TRIM(D93)=D93,LEN(D93)&gt;0),0,1),1)=1,"Name; ","")&amp;IF(IFERROR(IF(AND(LEN(E93)=10,ISNUMBER(VALUE(E93))),0,1),1)=1,"Phone; ","")&amp;IF(IFERROR(IF(AND(ISNUMBER(SEARCH("@",F93)),ISNUMBER(SEARCH(".",F93))),0,1),1)=1,"Email; ","")&amp;IF(IFERROR(IF(AND(LEN(J93)=6,ISNUMBER(VALUE(J93))),0,1),1)=1,"Pincode; ","")&amp;IF(IFERROR(IF(ISNUMBER(MATCH(TRIM(I93),Lists!$A$2:$A$20,0)),0,1),1)=1,"State; ","")&amp;IF(IFERROR(IF(AND(LEN(K93)=10,VALUE(LEFT(K93,FIND("/",K93)-1))&gt;=1,VALUE(LEFT(K93,FIND("/",K93)-1))&lt;=31,VALUE(LEFT(MID(K93,FIND("/",K93)+1,10),FIND("/",MID(K93,FIND("/",K93)+1,10))-1))&gt;=1,VALUE(LEFT(MID(K93,FIND("/",K93)+1,10),FIND("/",MID(K93,FIND("/",K93)+1,10))-1))&lt;=12,VALUE(LEFT(K93,FIND("/",K93)-1))&lt;=DAY(EOMONTH(DATE(VALUE(MID(MID(K93,FIND("/",K93)+1,10),FIND("/",MID(K93,FIND("/",K93)+1,10))+1,4)),VALUE(LEFT(MID(K93,FIND("/",K93)+1,10),FIND("/",MID(K93,FIND("/",K93)+1,10))-1)),1),0))),0,1),1)=1,"Date; ","")&amp;IF(IFERROR(IF(M93&gt;=0,0,1),1)=1,"Amount; ","")&amp;IF(IFERROR(IF(ISNUMBER(MATCH(N93,Lists!$B$2:$B$7,0)),0,1),1)=1,"Payment; ","")))</f>
        <v/>
      </c>
      <c r="R93" s="3" t="str">
        <f aca="false">IF(D93="","",IF(COUNTIFS($D$2:$D$701,D93,$E$2:$E$701,E93)&gt;1,"DUPLICATE","Unique"))</f>
        <v>Unique</v>
      </c>
    </row>
    <row r="94" customFormat="false" ht="15" hidden="false" customHeight="false" outlineLevel="0" collapsed="false">
      <c r="A94" s="3" t="n">
        <v>93</v>
      </c>
      <c r="B94" s="3" t="n">
        <v>2</v>
      </c>
      <c r="C94" s="3" t="s">
        <v>779</v>
      </c>
      <c r="D94" s="3" t="s">
        <v>780</v>
      </c>
      <c r="E94" s="3" t="s">
        <v>781</v>
      </c>
      <c r="F94" s="3" t="s">
        <v>782</v>
      </c>
      <c r="G94" s="3" t="s">
        <v>783</v>
      </c>
      <c r="H94" s="3" t="s">
        <v>340</v>
      </c>
      <c r="I94" s="3" t="s">
        <v>75</v>
      </c>
      <c r="J94" s="3" t="s">
        <v>784</v>
      </c>
      <c r="K94" s="3" t="s">
        <v>785</v>
      </c>
      <c r="L94" s="3" t="s">
        <v>62</v>
      </c>
      <c r="M94" s="3" t="n">
        <v>10137.6</v>
      </c>
      <c r="N94" s="3" t="s">
        <v>52</v>
      </c>
      <c r="O94" s="3" t="n">
        <f aca="false">IFERROR(LEN(C94&amp;D94&amp;E94&amp;F94&amp;G94&amp;H94&amp;I94&amp;J94&amp;K94&amp;L94&amp;M94&amp;N94)/5,0)</f>
        <v>28</v>
      </c>
      <c r="P94" s="3" t="str">
        <f aca="false">IF(OR(D94="",C94=""),"",IF((IFERROR(IF(AND(TRIM(D94)=D94,LEN(D94)&gt;0),0,1),1)+IFERROR(IF(AND(LEN(E94)=10,ISNUMBER(VALUE(E94))),0,1),1)+IFERROR(IF(AND(ISNUMBER(SEARCH("@",F94)),ISNUMBER(SEARCH(".",F94))),0,1),1)+IFERROR(IF(AND(LEN(J94)=6,ISNUMBER(VALUE(J94))),0,1),1)+IFERROR(IF(ISNUMBER(MATCH(TRIM(I94),Lists!$A$2:$A$20,0)),0,1),1)+IFERROR(IF(AND(LEN(K94)=10,VALUE(LEFT(K94,FIND("/",K94)-1))&gt;=1,VALUE(LEFT(K94,FIND("/",K94)-1))&lt;=31,VALUE(LEFT(MID(K94,FIND("/",K94)+1,10),FIND("/",MID(K94,FIND("/",K94)+1,10))-1))&gt;=1,VALUE(LEFT(MID(K94,FIND("/",K94)+1,10),FIND("/",MID(K94,FIND("/",K94)+1,10))-1))&lt;=12,VALUE(LEFT(K94,FIND("/",K94)-1))&lt;=DAY(EOMONTH(DATE(VALUE(MID(MID(K94,FIND("/",K94)+1,10),FIND("/",MID(K94,FIND("/",K94)+1,10))+1,4)),VALUE(LEFT(MID(K94,FIND("/",K94)+1,10),FIND("/",MID(K94,FIND("/",K94)+1,10))-1)),1),0))),0,1),1)+IFERROR(IF(M94&gt;=0,0,1),1)+IFERROR(IF(ISNUMBER(MATCH(N94,Lists!$B$2:$B$7,0)),0,1),1))=0,"OK","ERROR"))</f>
        <v>OK</v>
      </c>
      <c r="Q94" s="3" t="str">
        <f aca="false">IF(D94="","",TRIM(IF(IFERROR(IF(AND(TRIM(D94)=D94,LEN(D94)&gt;0),0,1),1)=1,"Name; ","")&amp;IF(IFERROR(IF(AND(LEN(E94)=10,ISNUMBER(VALUE(E94))),0,1),1)=1,"Phone; ","")&amp;IF(IFERROR(IF(AND(ISNUMBER(SEARCH("@",F94)),ISNUMBER(SEARCH(".",F94))),0,1),1)=1,"Email; ","")&amp;IF(IFERROR(IF(AND(LEN(J94)=6,ISNUMBER(VALUE(J94))),0,1),1)=1,"Pincode; ","")&amp;IF(IFERROR(IF(ISNUMBER(MATCH(TRIM(I94),Lists!$A$2:$A$20,0)),0,1),1)=1,"State; ","")&amp;IF(IFERROR(IF(AND(LEN(K94)=10,VALUE(LEFT(K94,FIND("/",K94)-1))&gt;=1,VALUE(LEFT(K94,FIND("/",K94)-1))&lt;=31,VALUE(LEFT(MID(K94,FIND("/",K94)+1,10),FIND("/",MID(K94,FIND("/",K94)+1,10))-1))&gt;=1,VALUE(LEFT(MID(K94,FIND("/",K94)+1,10),FIND("/",MID(K94,FIND("/",K94)+1,10))-1))&lt;=12,VALUE(LEFT(K94,FIND("/",K94)-1))&lt;=DAY(EOMONTH(DATE(VALUE(MID(MID(K94,FIND("/",K94)+1,10),FIND("/",MID(K94,FIND("/",K94)+1,10))+1,4)),VALUE(LEFT(MID(K94,FIND("/",K94)+1,10),FIND("/",MID(K94,FIND("/",K94)+1,10))-1)),1),0))),0,1),1)=1,"Date; ","")&amp;IF(IFERROR(IF(M94&gt;=0,0,1),1)=1,"Amount; ","")&amp;IF(IFERROR(IF(ISNUMBER(MATCH(N94,Lists!$B$2:$B$7,0)),0,1),1)=1,"Payment; ","")))</f>
        <v/>
      </c>
      <c r="R94" s="3" t="str">
        <f aca="false">IF(D94="","",IF(COUNTIFS($D$2:$D$701,D94,$E$2:$E$701,E94)&gt;1,"DUPLICATE","Unique"))</f>
        <v>Unique</v>
      </c>
    </row>
    <row r="95" customFormat="false" ht="15" hidden="false" customHeight="false" outlineLevel="0" collapsed="false">
      <c r="A95" s="3" t="n">
        <v>94</v>
      </c>
      <c r="B95" s="3" t="n">
        <v>2</v>
      </c>
      <c r="C95" s="3" t="s">
        <v>786</v>
      </c>
      <c r="D95" s="3" t="s">
        <v>787</v>
      </c>
      <c r="E95" s="3" t="s">
        <v>788</v>
      </c>
      <c r="F95" s="3" t="s">
        <v>789</v>
      </c>
      <c r="G95" s="3" t="s">
        <v>790</v>
      </c>
      <c r="H95" s="3" t="s">
        <v>118</v>
      </c>
      <c r="I95" s="3" t="s">
        <v>69</v>
      </c>
      <c r="J95" s="3" t="s">
        <v>791</v>
      </c>
      <c r="K95" s="3" t="s">
        <v>792</v>
      </c>
      <c r="L95" s="3" t="s">
        <v>62</v>
      </c>
      <c r="M95" s="3" t="n">
        <v>3475</v>
      </c>
      <c r="N95" s="3" t="s">
        <v>46</v>
      </c>
      <c r="O95" s="3" t="n">
        <f aca="false">IFERROR(LEN(C95&amp;D95&amp;E95&amp;F95&amp;G95&amp;H95&amp;I95&amp;J95&amp;K95&amp;L95&amp;M95&amp;N95)/5,0)</f>
        <v>28</v>
      </c>
      <c r="P95" s="3" t="str">
        <f aca="false">IF(OR(D95="",C95=""),"",IF((IFERROR(IF(AND(TRIM(D95)=D95,LEN(D95)&gt;0),0,1),1)+IFERROR(IF(AND(LEN(E95)=10,ISNUMBER(VALUE(E95))),0,1),1)+IFERROR(IF(AND(ISNUMBER(SEARCH("@",F95)),ISNUMBER(SEARCH(".",F95))),0,1),1)+IFERROR(IF(AND(LEN(J95)=6,ISNUMBER(VALUE(J95))),0,1),1)+IFERROR(IF(ISNUMBER(MATCH(TRIM(I95),Lists!$A$2:$A$20,0)),0,1),1)+IFERROR(IF(AND(LEN(K95)=10,VALUE(LEFT(K95,FIND("/",K95)-1))&gt;=1,VALUE(LEFT(K95,FIND("/",K95)-1))&lt;=31,VALUE(LEFT(MID(K95,FIND("/",K95)+1,10),FIND("/",MID(K95,FIND("/",K95)+1,10))-1))&gt;=1,VALUE(LEFT(MID(K95,FIND("/",K95)+1,10),FIND("/",MID(K95,FIND("/",K95)+1,10))-1))&lt;=12,VALUE(LEFT(K95,FIND("/",K95)-1))&lt;=DAY(EOMONTH(DATE(VALUE(MID(MID(K95,FIND("/",K95)+1,10),FIND("/",MID(K95,FIND("/",K95)+1,10))+1,4)),VALUE(LEFT(MID(K95,FIND("/",K95)+1,10),FIND("/",MID(K95,FIND("/",K95)+1,10))-1)),1),0))),0,1),1)+IFERROR(IF(M95&gt;=0,0,1),1)+IFERROR(IF(ISNUMBER(MATCH(N95,Lists!$B$2:$B$7,0)),0,1),1))=0,"OK","ERROR"))</f>
        <v>OK</v>
      </c>
      <c r="Q95" s="3" t="str">
        <f aca="false">IF(D95="","",TRIM(IF(IFERROR(IF(AND(TRIM(D95)=D95,LEN(D95)&gt;0),0,1),1)=1,"Name; ","")&amp;IF(IFERROR(IF(AND(LEN(E95)=10,ISNUMBER(VALUE(E95))),0,1),1)=1,"Phone; ","")&amp;IF(IFERROR(IF(AND(ISNUMBER(SEARCH("@",F95)),ISNUMBER(SEARCH(".",F95))),0,1),1)=1,"Email; ","")&amp;IF(IFERROR(IF(AND(LEN(J95)=6,ISNUMBER(VALUE(J95))),0,1),1)=1,"Pincode; ","")&amp;IF(IFERROR(IF(ISNUMBER(MATCH(TRIM(I95),Lists!$A$2:$A$20,0)),0,1),1)=1,"State; ","")&amp;IF(IFERROR(IF(AND(LEN(K95)=10,VALUE(LEFT(K95,FIND("/",K95)-1))&gt;=1,VALUE(LEFT(K95,FIND("/",K95)-1))&lt;=31,VALUE(LEFT(MID(K95,FIND("/",K95)+1,10),FIND("/",MID(K95,FIND("/",K95)+1,10))-1))&gt;=1,VALUE(LEFT(MID(K95,FIND("/",K95)+1,10),FIND("/",MID(K95,FIND("/",K95)+1,10))-1))&lt;=12,VALUE(LEFT(K95,FIND("/",K95)-1))&lt;=DAY(EOMONTH(DATE(VALUE(MID(MID(K95,FIND("/",K95)+1,10),FIND("/",MID(K95,FIND("/",K95)+1,10))+1,4)),VALUE(LEFT(MID(K95,FIND("/",K95)+1,10),FIND("/",MID(K95,FIND("/",K95)+1,10))-1)),1),0))),0,1),1)=1,"Date; ","")&amp;IF(IFERROR(IF(M95&gt;=0,0,1),1)=1,"Amount; ","")&amp;IF(IFERROR(IF(ISNUMBER(MATCH(N95,Lists!$B$2:$B$7,0)),0,1),1)=1,"Payment; ","")))</f>
        <v/>
      </c>
      <c r="R95" s="3" t="str">
        <f aca="false">IF(D95="","",IF(COUNTIFS($D$2:$D$701,D95,$E$2:$E$701,E95)&gt;1,"DUPLICATE","Unique"))</f>
        <v>Unique</v>
      </c>
    </row>
    <row r="96" customFormat="false" ht="15" hidden="false" customHeight="false" outlineLevel="0" collapsed="false">
      <c r="A96" s="3" t="n">
        <v>95</v>
      </c>
      <c r="B96" s="3" t="n">
        <v>2</v>
      </c>
      <c r="C96" s="3" t="s">
        <v>793</v>
      </c>
      <c r="D96" s="3" t="s">
        <v>794</v>
      </c>
      <c r="E96" s="3" t="s">
        <v>795</v>
      </c>
      <c r="F96" s="3" t="s">
        <v>796</v>
      </c>
      <c r="G96" s="3" t="s">
        <v>797</v>
      </c>
      <c r="H96" s="3" t="s">
        <v>340</v>
      </c>
      <c r="I96" s="3" t="s">
        <v>75</v>
      </c>
      <c r="J96" s="3" t="s">
        <v>798</v>
      </c>
      <c r="K96" s="3" t="s">
        <v>799</v>
      </c>
      <c r="L96" s="3" t="s">
        <v>68</v>
      </c>
      <c r="M96" s="3" t="n">
        <v>11337.81</v>
      </c>
      <c r="N96" s="3" t="s">
        <v>46</v>
      </c>
      <c r="O96" s="3" t="n">
        <f aca="false">IFERROR(LEN(C96&amp;D96&amp;E96&amp;F96&amp;G96&amp;H96&amp;I96&amp;J96&amp;K96&amp;L96&amp;M96&amp;N96)/5,0)</f>
        <v>28.2</v>
      </c>
      <c r="P96" s="3" t="str">
        <f aca="false">IF(OR(D96="",C96=""),"",IF((IFERROR(IF(AND(TRIM(D96)=D96,LEN(D96)&gt;0),0,1),1)+IFERROR(IF(AND(LEN(E96)=10,ISNUMBER(VALUE(E96))),0,1),1)+IFERROR(IF(AND(ISNUMBER(SEARCH("@",F96)),ISNUMBER(SEARCH(".",F96))),0,1),1)+IFERROR(IF(AND(LEN(J96)=6,ISNUMBER(VALUE(J96))),0,1),1)+IFERROR(IF(ISNUMBER(MATCH(TRIM(I96),Lists!$A$2:$A$20,0)),0,1),1)+IFERROR(IF(AND(LEN(K96)=10,VALUE(LEFT(K96,FIND("/",K96)-1))&gt;=1,VALUE(LEFT(K96,FIND("/",K96)-1))&lt;=31,VALUE(LEFT(MID(K96,FIND("/",K96)+1,10),FIND("/",MID(K96,FIND("/",K96)+1,10))-1))&gt;=1,VALUE(LEFT(MID(K96,FIND("/",K96)+1,10),FIND("/",MID(K96,FIND("/",K96)+1,10))-1))&lt;=12,VALUE(LEFT(K96,FIND("/",K96)-1))&lt;=DAY(EOMONTH(DATE(VALUE(MID(MID(K96,FIND("/",K96)+1,10),FIND("/",MID(K96,FIND("/",K96)+1,10))+1,4)),VALUE(LEFT(MID(K96,FIND("/",K96)+1,10),FIND("/",MID(K96,FIND("/",K96)+1,10))-1)),1),0))),0,1),1)+IFERROR(IF(M96&gt;=0,0,1),1)+IFERROR(IF(ISNUMBER(MATCH(N96,Lists!$B$2:$B$7,0)),0,1),1))=0,"OK","ERROR"))</f>
        <v>OK</v>
      </c>
      <c r="Q96" s="3" t="str">
        <f aca="false">IF(D96="","",TRIM(IF(IFERROR(IF(AND(TRIM(D96)=D96,LEN(D96)&gt;0),0,1),1)=1,"Name; ","")&amp;IF(IFERROR(IF(AND(LEN(E96)=10,ISNUMBER(VALUE(E96))),0,1),1)=1,"Phone; ","")&amp;IF(IFERROR(IF(AND(ISNUMBER(SEARCH("@",F96)),ISNUMBER(SEARCH(".",F96))),0,1),1)=1,"Email; ","")&amp;IF(IFERROR(IF(AND(LEN(J96)=6,ISNUMBER(VALUE(J96))),0,1),1)=1,"Pincode; ","")&amp;IF(IFERROR(IF(ISNUMBER(MATCH(TRIM(I96),Lists!$A$2:$A$20,0)),0,1),1)=1,"State; ","")&amp;IF(IFERROR(IF(AND(LEN(K96)=10,VALUE(LEFT(K96,FIND("/",K96)-1))&gt;=1,VALUE(LEFT(K96,FIND("/",K96)-1))&lt;=31,VALUE(LEFT(MID(K96,FIND("/",K96)+1,10),FIND("/",MID(K96,FIND("/",K96)+1,10))-1))&gt;=1,VALUE(LEFT(MID(K96,FIND("/",K96)+1,10),FIND("/",MID(K96,FIND("/",K96)+1,10))-1))&lt;=12,VALUE(LEFT(K96,FIND("/",K96)-1))&lt;=DAY(EOMONTH(DATE(VALUE(MID(MID(K96,FIND("/",K96)+1,10),FIND("/",MID(K96,FIND("/",K96)+1,10))+1,4)),VALUE(LEFT(MID(K96,FIND("/",K96)+1,10),FIND("/",MID(K96,FIND("/",K96)+1,10))-1)),1),0))),0,1),1)=1,"Date; ","")&amp;IF(IFERROR(IF(M96&gt;=0,0,1),1)=1,"Amount; ","")&amp;IF(IFERROR(IF(ISNUMBER(MATCH(N96,Lists!$B$2:$B$7,0)),0,1),1)=1,"Payment; ","")))</f>
        <v/>
      </c>
      <c r="R96" s="3" t="str">
        <f aca="false">IF(D96="","",IF(COUNTIFS($D$2:$D$701,D96,$E$2:$E$701,E96)&gt;1,"DUPLICATE","Unique"))</f>
        <v>Unique</v>
      </c>
    </row>
    <row r="97" customFormat="false" ht="15" hidden="false" customHeight="false" outlineLevel="0" collapsed="false">
      <c r="A97" s="3" t="n">
        <v>96</v>
      </c>
      <c r="B97" s="3" t="n">
        <v>2</v>
      </c>
      <c r="C97" s="3" t="s">
        <v>800</v>
      </c>
      <c r="D97" s="3" t="s">
        <v>801</v>
      </c>
      <c r="E97" s="3" t="s">
        <v>802</v>
      </c>
      <c r="F97" s="3" t="s">
        <v>803</v>
      </c>
      <c r="G97" s="3" t="s">
        <v>804</v>
      </c>
      <c r="H97" s="3" t="s">
        <v>340</v>
      </c>
      <c r="I97" s="3" t="s">
        <v>75</v>
      </c>
      <c r="J97" s="3" t="s">
        <v>805</v>
      </c>
      <c r="K97" s="3" t="s">
        <v>806</v>
      </c>
      <c r="L97" s="3" t="s">
        <v>50</v>
      </c>
      <c r="M97" s="3" t="n">
        <v>13280.64</v>
      </c>
      <c r="N97" s="3" t="s">
        <v>46</v>
      </c>
      <c r="O97" s="3" t="n">
        <f aca="false">IFERROR(LEN(C97&amp;D97&amp;E97&amp;F97&amp;G97&amp;H97&amp;I97&amp;J97&amp;K97&amp;L97&amp;M97&amp;N97)/5,0)</f>
        <v>27.2</v>
      </c>
      <c r="P97" s="3" t="str">
        <f aca="false">IF(OR(D97="",C97=""),"",IF((IFERROR(IF(AND(TRIM(D97)=D97,LEN(D97)&gt;0),0,1),1)+IFERROR(IF(AND(LEN(E97)=10,ISNUMBER(VALUE(E97))),0,1),1)+IFERROR(IF(AND(ISNUMBER(SEARCH("@",F97)),ISNUMBER(SEARCH(".",F97))),0,1),1)+IFERROR(IF(AND(LEN(J97)=6,ISNUMBER(VALUE(J97))),0,1),1)+IFERROR(IF(ISNUMBER(MATCH(TRIM(I97),Lists!$A$2:$A$20,0)),0,1),1)+IFERROR(IF(AND(LEN(K97)=10,VALUE(LEFT(K97,FIND("/",K97)-1))&gt;=1,VALUE(LEFT(K97,FIND("/",K97)-1))&lt;=31,VALUE(LEFT(MID(K97,FIND("/",K97)+1,10),FIND("/",MID(K97,FIND("/",K97)+1,10))-1))&gt;=1,VALUE(LEFT(MID(K97,FIND("/",K97)+1,10),FIND("/",MID(K97,FIND("/",K97)+1,10))-1))&lt;=12,VALUE(LEFT(K97,FIND("/",K97)-1))&lt;=DAY(EOMONTH(DATE(VALUE(MID(MID(K97,FIND("/",K97)+1,10),FIND("/",MID(K97,FIND("/",K97)+1,10))+1,4)),VALUE(LEFT(MID(K97,FIND("/",K97)+1,10),FIND("/",MID(K97,FIND("/",K97)+1,10))-1)),1),0))),0,1),1)+IFERROR(IF(M97&gt;=0,0,1),1)+IFERROR(IF(ISNUMBER(MATCH(N97,Lists!$B$2:$B$7,0)),0,1),1))=0,"OK","ERROR"))</f>
        <v>OK</v>
      </c>
      <c r="Q97" s="3" t="str">
        <f aca="false">IF(D97="","",TRIM(IF(IFERROR(IF(AND(TRIM(D97)=D97,LEN(D97)&gt;0),0,1),1)=1,"Name; ","")&amp;IF(IFERROR(IF(AND(LEN(E97)=10,ISNUMBER(VALUE(E97))),0,1),1)=1,"Phone; ","")&amp;IF(IFERROR(IF(AND(ISNUMBER(SEARCH("@",F97)),ISNUMBER(SEARCH(".",F97))),0,1),1)=1,"Email; ","")&amp;IF(IFERROR(IF(AND(LEN(J97)=6,ISNUMBER(VALUE(J97))),0,1),1)=1,"Pincode; ","")&amp;IF(IFERROR(IF(ISNUMBER(MATCH(TRIM(I97),Lists!$A$2:$A$20,0)),0,1),1)=1,"State; ","")&amp;IF(IFERROR(IF(AND(LEN(K97)=10,VALUE(LEFT(K97,FIND("/",K97)-1))&gt;=1,VALUE(LEFT(K97,FIND("/",K97)-1))&lt;=31,VALUE(LEFT(MID(K97,FIND("/",K97)+1,10),FIND("/",MID(K97,FIND("/",K97)+1,10))-1))&gt;=1,VALUE(LEFT(MID(K97,FIND("/",K97)+1,10),FIND("/",MID(K97,FIND("/",K97)+1,10))-1))&lt;=12,VALUE(LEFT(K97,FIND("/",K97)-1))&lt;=DAY(EOMONTH(DATE(VALUE(MID(MID(K97,FIND("/",K97)+1,10),FIND("/",MID(K97,FIND("/",K97)+1,10))+1,4)),VALUE(LEFT(MID(K97,FIND("/",K97)+1,10),FIND("/",MID(K97,FIND("/",K97)+1,10))-1)),1),0))),0,1),1)=1,"Date; ","")&amp;IF(IFERROR(IF(M97&gt;=0,0,1),1)=1,"Amount; ","")&amp;IF(IFERROR(IF(ISNUMBER(MATCH(N97,Lists!$B$2:$B$7,0)),0,1),1)=1,"Payment; ","")))</f>
        <v/>
      </c>
      <c r="R97" s="3" t="str">
        <f aca="false">IF(D97="","",IF(COUNTIFS($D$2:$D$701,D97,$E$2:$E$701,E97)&gt;1,"DUPLICATE","Unique"))</f>
        <v>Unique</v>
      </c>
    </row>
    <row r="98" customFormat="false" ht="15" hidden="false" customHeight="false" outlineLevel="0" collapsed="false">
      <c r="A98" s="3" t="n">
        <v>97</v>
      </c>
      <c r="B98" s="3" t="n">
        <v>2</v>
      </c>
      <c r="C98" s="3" t="s">
        <v>807</v>
      </c>
      <c r="D98" s="3" t="s">
        <v>808</v>
      </c>
      <c r="E98" s="3" t="s">
        <v>809</v>
      </c>
      <c r="F98" s="3" t="s">
        <v>810</v>
      </c>
      <c r="G98" s="3" t="s">
        <v>811</v>
      </c>
      <c r="H98" s="3" t="s">
        <v>227</v>
      </c>
      <c r="I98" s="3" t="s">
        <v>77</v>
      </c>
      <c r="J98" s="3" t="s">
        <v>812</v>
      </c>
      <c r="K98" s="3" t="s">
        <v>813</v>
      </c>
      <c r="L98" s="3" t="s">
        <v>58</v>
      </c>
      <c r="M98" s="3" t="n">
        <v>10514.71</v>
      </c>
      <c r="N98" s="3" t="s">
        <v>49</v>
      </c>
      <c r="O98" s="3" t="n">
        <f aca="false">IFERROR(LEN(C98&amp;D98&amp;E98&amp;F98&amp;G98&amp;H98&amp;I98&amp;J98&amp;K98&amp;L98&amp;M98&amp;N98)/5,0)</f>
        <v>26.4</v>
      </c>
      <c r="P98" s="3" t="str">
        <f aca="false">IF(OR(D98="",C98=""),"",IF((IFERROR(IF(AND(TRIM(D98)=D98,LEN(D98)&gt;0),0,1),1)+IFERROR(IF(AND(LEN(E98)=10,ISNUMBER(VALUE(E98))),0,1),1)+IFERROR(IF(AND(ISNUMBER(SEARCH("@",F98)),ISNUMBER(SEARCH(".",F98))),0,1),1)+IFERROR(IF(AND(LEN(J98)=6,ISNUMBER(VALUE(J98))),0,1),1)+IFERROR(IF(ISNUMBER(MATCH(TRIM(I98),Lists!$A$2:$A$20,0)),0,1),1)+IFERROR(IF(AND(LEN(K98)=10,VALUE(LEFT(K98,FIND("/",K98)-1))&gt;=1,VALUE(LEFT(K98,FIND("/",K98)-1))&lt;=31,VALUE(LEFT(MID(K98,FIND("/",K98)+1,10),FIND("/",MID(K98,FIND("/",K98)+1,10))-1))&gt;=1,VALUE(LEFT(MID(K98,FIND("/",K98)+1,10),FIND("/",MID(K98,FIND("/",K98)+1,10))-1))&lt;=12,VALUE(LEFT(K98,FIND("/",K98)-1))&lt;=DAY(EOMONTH(DATE(VALUE(MID(MID(K98,FIND("/",K98)+1,10),FIND("/",MID(K98,FIND("/",K98)+1,10))+1,4)),VALUE(LEFT(MID(K98,FIND("/",K98)+1,10),FIND("/",MID(K98,FIND("/",K98)+1,10))-1)),1),0))),0,1),1)+IFERROR(IF(M98&gt;=0,0,1),1)+IFERROR(IF(ISNUMBER(MATCH(N98,Lists!$B$2:$B$7,0)),0,1),1))=0,"OK","ERROR"))</f>
        <v>ERROR</v>
      </c>
      <c r="Q98" s="3" t="str">
        <f aca="false">IF(D98="","",TRIM(IF(IFERROR(IF(AND(TRIM(D98)=D98,LEN(D98)&gt;0),0,1),1)=1,"Name; ","")&amp;IF(IFERROR(IF(AND(LEN(E98)=10,ISNUMBER(VALUE(E98))),0,1),1)=1,"Phone; ","")&amp;IF(IFERROR(IF(AND(ISNUMBER(SEARCH("@",F98)),ISNUMBER(SEARCH(".",F98))),0,1),1)=1,"Email; ","")&amp;IF(IFERROR(IF(AND(LEN(J98)=6,ISNUMBER(VALUE(J98))),0,1),1)=1,"Pincode; ","")&amp;IF(IFERROR(IF(ISNUMBER(MATCH(TRIM(I98),Lists!$A$2:$A$20,0)),0,1),1)=1,"State; ","")&amp;IF(IFERROR(IF(AND(LEN(K98)=10,VALUE(LEFT(K98,FIND("/",K98)-1))&gt;=1,VALUE(LEFT(K98,FIND("/",K98)-1))&lt;=31,VALUE(LEFT(MID(K98,FIND("/",K98)+1,10),FIND("/",MID(K98,FIND("/",K98)+1,10))-1))&gt;=1,VALUE(LEFT(MID(K98,FIND("/",K98)+1,10),FIND("/",MID(K98,FIND("/",K98)+1,10))-1))&lt;=12,VALUE(LEFT(K98,FIND("/",K98)-1))&lt;=DAY(EOMONTH(DATE(VALUE(MID(MID(K98,FIND("/",K98)+1,10),FIND("/",MID(K98,FIND("/",K98)+1,10))+1,4)),VALUE(LEFT(MID(K98,FIND("/",K98)+1,10),FIND("/",MID(K98,FIND("/",K98)+1,10))-1)),1),0))),0,1),1)=1,"Date; ","")&amp;IF(IFERROR(IF(M98&gt;=0,0,1),1)=1,"Amount; ","")&amp;IF(IFERROR(IF(ISNUMBER(MATCH(N98,Lists!$B$2:$B$7,0)),0,1),1)=1,"Payment; ","")))</f>
        <v>Pincode;</v>
      </c>
      <c r="R98" s="3" t="str">
        <f aca="false">IF(D98="","",IF(COUNTIFS($D$2:$D$701,D98,$E$2:$E$701,E98)&gt;1,"DUPLICATE","Unique"))</f>
        <v>Unique</v>
      </c>
    </row>
    <row r="99" customFormat="false" ht="15" hidden="false" customHeight="false" outlineLevel="0" collapsed="false">
      <c r="A99" s="3" t="n">
        <v>98</v>
      </c>
      <c r="B99" s="3" t="n">
        <v>2</v>
      </c>
      <c r="C99" s="3" t="s">
        <v>814</v>
      </c>
      <c r="D99" s="3" t="s">
        <v>815</v>
      </c>
      <c r="E99" s="3" t="s">
        <v>816</v>
      </c>
      <c r="F99" s="3" t="s">
        <v>817</v>
      </c>
      <c r="G99" s="3" t="s">
        <v>818</v>
      </c>
      <c r="H99" s="3" t="s">
        <v>819</v>
      </c>
      <c r="I99" s="3" t="s">
        <v>75</v>
      </c>
      <c r="J99" s="3" t="s">
        <v>820</v>
      </c>
      <c r="K99" s="3" t="s">
        <v>821</v>
      </c>
      <c r="L99" s="3" t="s">
        <v>74</v>
      </c>
      <c r="M99" s="3" t="n">
        <v>790.97</v>
      </c>
      <c r="N99" s="3" t="s">
        <v>46</v>
      </c>
      <c r="O99" s="3" t="n">
        <f aca="false">IFERROR(LEN(C99&amp;D99&amp;E99&amp;F99&amp;G99&amp;H99&amp;I99&amp;J99&amp;K99&amp;L99&amp;M99&amp;N99)/5,0)</f>
        <v>25.4</v>
      </c>
      <c r="P99" s="3" t="str">
        <f aca="false">IF(OR(D99="",C99=""),"",IF((IFERROR(IF(AND(TRIM(D99)=D99,LEN(D99)&gt;0),0,1),1)+IFERROR(IF(AND(LEN(E99)=10,ISNUMBER(VALUE(E99))),0,1),1)+IFERROR(IF(AND(ISNUMBER(SEARCH("@",F99)),ISNUMBER(SEARCH(".",F99))),0,1),1)+IFERROR(IF(AND(LEN(J99)=6,ISNUMBER(VALUE(J99))),0,1),1)+IFERROR(IF(ISNUMBER(MATCH(TRIM(I99),Lists!$A$2:$A$20,0)),0,1),1)+IFERROR(IF(AND(LEN(K99)=10,VALUE(LEFT(K99,FIND("/",K99)-1))&gt;=1,VALUE(LEFT(K99,FIND("/",K99)-1))&lt;=31,VALUE(LEFT(MID(K99,FIND("/",K99)+1,10),FIND("/",MID(K99,FIND("/",K99)+1,10))-1))&gt;=1,VALUE(LEFT(MID(K99,FIND("/",K99)+1,10),FIND("/",MID(K99,FIND("/",K99)+1,10))-1))&lt;=12,VALUE(LEFT(K99,FIND("/",K99)-1))&lt;=DAY(EOMONTH(DATE(VALUE(MID(MID(K99,FIND("/",K99)+1,10),FIND("/",MID(K99,FIND("/",K99)+1,10))+1,4)),VALUE(LEFT(MID(K99,FIND("/",K99)+1,10),FIND("/",MID(K99,FIND("/",K99)+1,10))-1)),1),0))),0,1),1)+IFERROR(IF(M99&gt;=0,0,1),1)+IFERROR(IF(ISNUMBER(MATCH(N99,Lists!$B$2:$B$7,0)),0,1),1))=0,"OK","ERROR"))</f>
        <v>OK</v>
      </c>
      <c r="Q99" s="3" t="str">
        <f aca="false">IF(D99="","",TRIM(IF(IFERROR(IF(AND(TRIM(D99)=D99,LEN(D99)&gt;0),0,1),1)=1,"Name; ","")&amp;IF(IFERROR(IF(AND(LEN(E99)=10,ISNUMBER(VALUE(E99))),0,1),1)=1,"Phone; ","")&amp;IF(IFERROR(IF(AND(ISNUMBER(SEARCH("@",F99)),ISNUMBER(SEARCH(".",F99))),0,1),1)=1,"Email; ","")&amp;IF(IFERROR(IF(AND(LEN(J99)=6,ISNUMBER(VALUE(J99))),0,1),1)=1,"Pincode; ","")&amp;IF(IFERROR(IF(ISNUMBER(MATCH(TRIM(I99),Lists!$A$2:$A$20,0)),0,1),1)=1,"State; ","")&amp;IF(IFERROR(IF(AND(LEN(K99)=10,VALUE(LEFT(K99,FIND("/",K99)-1))&gt;=1,VALUE(LEFT(K99,FIND("/",K99)-1))&lt;=31,VALUE(LEFT(MID(K99,FIND("/",K99)+1,10),FIND("/",MID(K99,FIND("/",K99)+1,10))-1))&gt;=1,VALUE(LEFT(MID(K99,FIND("/",K99)+1,10),FIND("/",MID(K99,FIND("/",K99)+1,10))-1))&lt;=12,VALUE(LEFT(K99,FIND("/",K99)-1))&lt;=DAY(EOMONTH(DATE(VALUE(MID(MID(K99,FIND("/",K99)+1,10),FIND("/",MID(K99,FIND("/",K99)+1,10))+1,4)),VALUE(LEFT(MID(K99,FIND("/",K99)+1,10),FIND("/",MID(K99,FIND("/",K99)+1,10))-1)),1),0))),0,1),1)=1,"Date; ","")&amp;IF(IFERROR(IF(M99&gt;=0,0,1),1)=1,"Amount; ","")&amp;IF(IFERROR(IF(ISNUMBER(MATCH(N99,Lists!$B$2:$B$7,0)),0,1),1)=1,"Payment; ","")))</f>
        <v/>
      </c>
      <c r="R99" s="3" t="str">
        <f aca="false">IF(D99="","",IF(COUNTIFS($D$2:$D$701,D99,$E$2:$E$701,E99)&gt;1,"DUPLICATE","Unique"))</f>
        <v>Unique</v>
      </c>
    </row>
    <row r="100" customFormat="false" ht="15" hidden="false" customHeight="false" outlineLevel="0" collapsed="false">
      <c r="A100" s="3" t="n">
        <v>99</v>
      </c>
      <c r="B100" s="3" t="n">
        <v>2</v>
      </c>
      <c r="C100" s="3" t="s">
        <v>822</v>
      </c>
      <c r="D100" s="3"/>
      <c r="E100" s="3" t="s">
        <v>823</v>
      </c>
      <c r="F100" s="3" t="s">
        <v>824</v>
      </c>
      <c r="G100" s="3" t="s">
        <v>825</v>
      </c>
      <c r="H100" s="3" t="s">
        <v>826</v>
      </c>
      <c r="I100" s="3" t="s">
        <v>78</v>
      </c>
      <c r="J100" s="3" t="s">
        <v>827</v>
      </c>
      <c r="K100" s="3" t="s">
        <v>828</v>
      </c>
      <c r="L100" s="3" t="s">
        <v>68</v>
      </c>
      <c r="M100" s="3" t="n">
        <v>5525.37</v>
      </c>
      <c r="N100" s="3" t="s">
        <v>46</v>
      </c>
      <c r="O100" s="3" t="n">
        <f aca="false">IFERROR(LEN(C100&amp;D100&amp;E100&amp;F100&amp;G100&amp;H100&amp;I100&amp;J100&amp;K100&amp;L100&amp;M100&amp;N100)/5,0)</f>
        <v>27.4</v>
      </c>
      <c r="P100" s="3" t="str">
        <f aca="false">IF(OR(D100="",C100=""),"",IF((IFERROR(IF(AND(TRIM(D100)=D100,LEN(D100)&gt;0),0,1),1)+IFERROR(IF(AND(LEN(E100)=10,ISNUMBER(VALUE(E100))),0,1),1)+IFERROR(IF(AND(ISNUMBER(SEARCH("@",F100)),ISNUMBER(SEARCH(".",F100))),0,1),1)+IFERROR(IF(AND(LEN(J100)=6,ISNUMBER(VALUE(J100))),0,1),1)+IFERROR(IF(ISNUMBER(MATCH(TRIM(I100),Lists!$A$2:$A$20,0)),0,1),1)+IFERROR(IF(AND(LEN(K100)=10,VALUE(LEFT(K100,FIND("/",K100)-1))&gt;=1,VALUE(LEFT(K100,FIND("/",K100)-1))&lt;=31,VALUE(LEFT(MID(K100,FIND("/",K100)+1,10),FIND("/",MID(K100,FIND("/",K100)+1,10))-1))&gt;=1,VALUE(LEFT(MID(K100,FIND("/",K100)+1,10),FIND("/",MID(K100,FIND("/",K100)+1,10))-1))&lt;=12,VALUE(LEFT(K100,FIND("/",K100)-1))&lt;=DAY(EOMONTH(DATE(VALUE(MID(MID(K100,FIND("/",K100)+1,10),FIND("/",MID(K100,FIND("/",K100)+1,10))+1,4)),VALUE(LEFT(MID(K100,FIND("/",K100)+1,10),FIND("/",MID(K100,FIND("/",K100)+1,10))-1)),1),0))),0,1),1)+IFERROR(IF(M100&gt;=0,0,1),1)+IFERROR(IF(ISNUMBER(MATCH(N100,Lists!$B$2:$B$7,0)),0,1),1))=0,"OK","ERROR"))</f>
        <v/>
      </c>
      <c r="Q100" s="3" t="str">
        <f aca="false">IF(D100="","",TRIM(IF(IFERROR(IF(AND(TRIM(D100)=D100,LEN(D100)&gt;0),0,1),1)=1,"Name; ","")&amp;IF(IFERROR(IF(AND(LEN(E100)=10,ISNUMBER(VALUE(E100))),0,1),1)=1,"Phone; ","")&amp;IF(IFERROR(IF(AND(ISNUMBER(SEARCH("@",F100)),ISNUMBER(SEARCH(".",F100))),0,1),1)=1,"Email; ","")&amp;IF(IFERROR(IF(AND(LEN(J100)=6,ISNUMBER(VALUE(J100))),0,1),1)=1,"Pincode; ","")&amp;IF(IFERROR(IF(ISNUMBER(MATCH(TRIM(I100),Lists!$A$2:$A$20,0)),0,1),1)=1,"State; ","")&amp;IF(IFERROR(IF(AND(LEN(K100)=10,VALUE(LEFT(K100,FIND("/",K100)-1))&gt;=1,VALUE(LEFT(K100,FIND("/",K100)-1))&lt;=31,VALUE(LEFT(MID(K100,FIND("/",K100)+1,10),FIND("/",MID(K100,FIND("/",K100)+1,10))-1))&gt;=1,VALUE(LEFT(MID(K100,FIND("/",K100)+1,10),FIND("/",MID(K100,FIND("/",K100)+1,10))-1))&lt;=12,VALUE(LEFT(K100,FIND("/",K100)-1))&lt;=DAY(EOMONTH(DATE(VALUE(MID(MID(K100,FIND("/",K100)+1,10),FIND("/",MID(K100,FIND("/",K100)+1,10))+1,4)),VALUE(LEFT(MID(K100,FIND("/",K100)+1,10),FIND("/",MID(K100,FIND("/",K100)+1,10))-1)),1),0))),0,1),1)=1,"Date; ","")&amp;IF(IFERROR(IF(M100&gt;=0,0,1),1)=1,"Amount; ","")&amp;IF(IFERROR(IF(ISNUMBER(MATCH(N100,Lists!$B$2:$B$7,0)),0,1),1)=1,"Payment; ","")))</f>
        <v/>
      </c>
      <c r="R100" s="3" t="str">
        <f aca="false">IF(D100="","",IF(COUNTIFS($D$2:$D$701,D100,$E$2:$E$701,E100)&gt;1,"DUPLICATE","Unique"))</f>
        <v/>
      </c>
    </row>
    <row r="101" customFormat="false" ht="15" hidden="false" customHeight="false" outlineLevel="0" collapsed="false">
      <c r="A101" s="3" t="n">
        <v>100</v>
      </c>
      <c r="B101" s="3" t="n">
        <v>2</v>
      </c>
      <c r="C101" s="3" t="s">
        <v>829</v>
      </c>
      <c r="D101" s="3" t="s">
        <v>830</v>
      </c>
      <c r="E101" s="3" t="s">
        <v>831</v>
      </c>
      <c r="F101" s="3" t="s">
        <v>832</v>
      </c>
      <c r="G101" s="3" t="s">
        <v>833</v>
      </c>
      <c r="H101" s="3" t="s">
        <v>826</v>
      </c>
      <c r="I101" s="3" t="s">
        <v>78</v>
      </c>
      <c r="J101" s="3" t="s">
        <v>834</v>
      </c>
      <c r="K101" s="3" t="s">
        <v>835</v>
      </c>
      <c r="L101" s="3" t="s">
        <v>56</v>
      </c>
      <c r="M101" s="3" t="n">
        <v>4969.74</v>
      </c>
      <c r="N101" s="3" t="s">
        <v>55</v>
      </c>
      <c r="O101" s="3" t="n">
        <f aca="false">IFERROR(LEN(C101&amp;D101&amp;E101&amp;F101&amp;G101&amp;H101&amp;I101&amp;J101&amp;K101&amp;L101&amp;M101&amp;N101)/5,0)</f>
        <v>25.6</v>
      </c>
      <c r="P101" s="3" t="str">
        <f aca="false">IF(OR(D101="",C101=""),"",IF((IFERROR(IF(AND(TRIM(D101)=D101,LEN(D101)&gt;0),0,1),1)+IFERROR(IF(AND(LEN(E101)=10,ISNUMBER(VALUE(E101))),0,1),1)+IFERROR(IF(AND(ISNUMBER(SEARCH("@",F101)),ISNUMBER(SEARCH(".",F101))),0,1),1)+IFERROR(IF(AND(LEN(J101)=6,ISNUMBER(VALUE(J101))),0,1),1)+IFERROR(IF(ISNUMBER(MATCH(TRIM(I101),Lists!$A$2:$A$20,0)),0,1),1)+IFERROR(IF(AND(LEN(K101)=10,VALUE(LEFT(K101,FIND("/",K101)-1))&gt;=1,VALUE(LEFT(K101,FIND("/",K101)-1))&lt;=31,VALUE(LEFT(MID(K101,FIND("/",K101)+1,10),FIND("/",MID(K101,FIND("/",K101)+1,10))-1))&gt;=1,VALUE(LEFT(MID(K101,FIND("/",K101)+1,10),FIND("/",MID(K101,FIND("/",K101)+1,10))-1))&lt;=12,VALUE(LEFT(K101,FIND("/",K101)-1))&lt;=DAY(EOMONTH(DATE(VALUE(MID(MID(K101,FIND("/",K101)+1,10),FIND("/",MID(K101,FIND("/",K101)+1,10))+1,4)),VALUE(LEFT(MID(K101,FIND("/",K101)+1,10),FIND("/",MID(K101,FIND("/",K101)+1,10))-1)),1),0))),0,1),1)+IFERROR(IF(M101&gt;=0,0,1),1)+IFERROR(IF(ISNUMBER(MATCH(N101,Lists!$B$2:$B$7,0)),0,1),1))=0,"OK","ERROR"))</f>
        <v>OK</v>
      </c>
      <c r="Q101" s="3" t="str">
        <f aca="false">IF(D101="","",TRIM(IF(IFERROR(IF(AND(TRIM(D101)=D101,LEN(D101)&gt;0),0,1),1)=1,"Name; ","")&amp;IF(IFERROR(IF(AND(LEN(E101)=10,ISNUMBER(VALUE(E101))),0,1),1)=1,"Phone; ","")&amp;IF(IFERROR(IF(AND(ISNUMBER(SEARCH("@",F101)),ISNUMBER(SEARCH(".",F101))),0,1),1)=1,"Email; ","")&amp;IF(IFERROR(IF(AND(LEN(J101)=6,ISNUMBER(VALUE(J101))),0,1),1)=1,"Pincode; ","")&amp;IF(IFERROR(IF(ISNUMBER(MATCH(TRIM(I101),Lists!$A$2:$A$20,0)),0,1),1)=1,"State; ","")&amp;IF(IFERROR(IF(AND(LEN(K101)=10,VALUE(LEFT(K101,FIND("/",K101)-1))&gt;=1,VALUE(LEFT(K101,FIND("/",K101)-1))&lt;=31,VALUE(LEFT(MID(K101,FIND("/",K101)+1,10),FIND("/",MID(K101,FIND("/",K101)+1,10))-1))&gt;=1,VALUE(LEFT(MID(K101,FIND("/",K101)+1,10),FIND("/",MID(K101,FIND("/",K101)+1,10))-1))&lt;=12,VALUE(LEFT(K101,FIND("/",K101)-1))&lt;=DAY(EOMONTH(DATE(VALUE(MID(MID(K101,FIND("/",K101)+1,10),FIND("/",MID(K101,FIND("/",K101)+1,10))+1,4)),VALUE(LEFT(MID(K101,FIND("/",K101)+1,10),FIND("/",MID(K101,FIND("/",K101)+1,10))-1)),1),0))),0,1),1)=1,"Date; ","")&amp;IF(IFERROR(IF(M101&gt;=0,0,1),1)=1,"Amount; ","")&amp;IF(IFERROR(IF(ISNUMBER(MATCH(N101,Lists!$B$2:$B$7,0)),0,1),1)=1,"Payment; ","")))</f>
        <v/>
      </c>
      <c r="R101" s="3" t="str">
        <f aca="false">IF(D101="","",IF(COUNTIFS($D$2:$D$701,D101,$E$2:$E$701,E101)&gt;1,"DUPLICATE","Unique"))</f>
        <v>Unique</v>
      </c>
    </row>
    <row r="102" customFormat="false" ht="15" hidden="false" customHeight="false" outlineLevel="0" collapsed="false">
      <c r="A102" s="3" t="n">
        <v>101</v>
      </c>
      <c r="B102" s="3" t="n">
        <v>3</v>
      </c>
      <c r="C102" s="3" t="s">
        <v>836</v>
      </c>
      <c r="D102" s="3" t="s">
        <v>837</v>
      </c>
      <c r="E102" s="3" t="s">
        <v>838</v>
      </c>
      <c r="F102" s="3" t="s">
        <v>839</v>
      </c>
      <c r="G102" s="3" t="s">
        <v>840</v>
      </c>
      <c r="H102" s="3" t="s">
        <v>826</v>
      </c>
      <c r="I102" s="3" t="s">
        <v>78</v>
      </c>
      <c r="J102" s="3" t="s">
        <v>841</v>
      </c>
      <c r="K102" s="3" t="s">
        <v>842</v>
      </c>
      <c r="L102" s="3" t="s">
        <v>47</v>
      </c>
      <c r="M102" s="3" t="n">
        <v>7754.27</v>
      </c>
      <c r="N102" s="3" t="s">
        <v>49</v>
      </c>
      <c r="O102" s="3" t="n">
        <f aca="false">IFERROR(LEN(C102&amp;D102&amp;E102&amp;F102&amp;G102&amp;H102&amp;I102&amp;J102&amp;K102&amp;L102&amp;M102&amp;N102)/5,0)</f>
        <v>26.6</v>
      </c>
      <c r="P102" s="3" t="str">
        <f aca="false">IF(OR(D102="",C102=""),"",IF((IFERROR(IF(AND(TRIM(D102)=D102,LEN(D102)&gt;0),0,1),1)+IFERROR(IF(AND(LEN(E102)=10,ISNUMBER(VALUE(E102))),0,1),1)+IFERROR(IF(AND(ISNUMBER(SEARCH("@",F102)),ISNUMBER(SEARCH(".",F102))),0,1),1)+IFERROR(IF(AND(LEN(J102)=6,ISNUMBER(VALUE(J102))),0,1),1)+IFERROR(IF(ISNUMBER(MATCH(TRIM(I102),Lists!$A$2:$A$20,0)),0,1),1)+IFERROR(IF(AND(LEN(K102)=10,VALUE(LEFT(K102,FIND("/",K102)-1))&gt;=1,VALUE(LEFT(K102,FIND("/",K102)-1))&lt;=31,VALUE(LEFT(MID(K102,FIND("/",K102)+1,10),FIND("/",MID(K102,FIND("/",K102)+1,10))-1))&gt;=1,VALUE(LEFT(MID(K102,FIND("/",K102)+1,10),FIND("/",MID(K102,FIND("/",K102)+1,10))-1))&lt;=12,VALUE(LEFT(K102,FIND("/",K102)-1))&lt;=DAY(EOMONTH(DATE(VALUE(MID(MID(K102,FIND("/",K102)+1,10),FIND("/",MID(K102,FIND("/",K102)+1,10))+1,4)),VALUE(LEFT(MID(K102,FIND("/",K102)+1,10),FIND("/",MID(K102,FIND("/",K102)+1,10))-1)),1),0))),0,1),1)+IFERROR(IF(M102&gt;=0,0,1),1)+IFERROR(IF(ISNUMBER(MATCH(N102,Lists!$B$2:$B$7,0)),0,1),1))=0,"OK","ERROR"))</f>
        <v>OK</v>
      </c>
      <c r="Q102" s="3" t="str">
        <f aca="false">IF(D102="","",TRIM(IF(IFERROR(IF(AND(TRIM(D102)=D102,LEN(D102)&gt;0),0,1),1)=1,"Name; ","")&amp;IF(IFERROR(IF(AND(LEN(E102)=10,ISNUMBER(VALUE(E102))),0,1),1)=1,"Phone; ","")&amp;IF(IFERROR(IF(AND(ISNUMBER(SEARCH("@",F102)),ISNUMBER(SEARCH(".",F102))),0,1),1)=1,"Email; ","")&amp;IF(IFERROR(IF(AND(LEN(J102)=6,ISNUMBER(VALUE(J102))),0,1),1)=1,"Pincode; ","")&amp;IF(IFERROR(IF(ISNUMBER(MATCH(TRIM(I102),Lists!$A$2:$A$20,0)),0,1),1)=1,"State; ","")&amp;IF(IFERROR(IF(AND(LEN(K102)=10,VALUE(LEFT(K102,FIND("/",K102)-1))&gt;=1,VALUE(LEFT(K102,FIND("/",K102)-1))&lt;=31,VALUE(LEFT(MID(K102,FIND("/",K102)+1,10),FIND("/",MID(K102,FIND("/",K102)+1,10))-1))&gt;=1,VALUE(LEFT(MID(K102,FIND("/",K102)+1,10),FIND("/",MID(K102,FIND("/",K102)+1,10))-1))&lt;=12,VALUE(LEFT(K102,FIND("/",K102)-1))&lt;=DAY(EOMONTH(DATE(VALUE(MID(MID(K102,FIND("/",K102)+1,10),FIND("/",MID(K102,FIND("/",K102)+1,10))+1,4)),VALUE(LEFT(MID(K102,FIND("/",K102)+1,10),FIND("/",MID(K102,FIND("/",K102)+1,10))-1)),1),0))),0,1),1)=1,"Date; ","")&amp;IF(IFERROR(IF(M102&gt;=0,0,1),1)=1,"Amount; ","")&amp;IF(IFERROR(IF(ISNUMBER(MATCH(N102,Lists!$B$2:$B$7,0)),0,1),1)=1,"Payment; ","")))</f>
        <v/>
      </c>
      <c r="R102" s="3" t="str">
        <f aca="false">IF(D102="","",IF(COUNTIFS($D$2:$D$701,D102,$E$2:$E$701,E102)&gt;1,"DUPLICATE","Unique"))</f>
        <v>Unique</v>
      </c>
    </row>
    <row r="103" customFormat="false" ht="15" hidden="false" customHeight="false" outlineLevel="0" collapsed="false">
      <c r="A103" s="3" t="n">
        <v>102</v>
      </c>
      <c r="B103" s="3" t="n">
        <v>3</v>
      </c>
      <c r="C103" s="3" t="s">
        <v>843</v>
      </c>
      <c r="D103" s="3" t="s">
        <v>844</v>
      </c>
      <c r="E103" s="3" t="s">
        <v>845</v>
      </c>
      <c r="F103" s="3" t="s">
        <v>846</v>
      </c>
      <c r="G103" s="3" t="s">
        <v>847</v>
      </c>
      <c r="H103" s="3" t="s">
        <v>548</v>
      </c>
      <c r="I103" s="3" t="s">
        <v>848</v>
      </c>
      <c r="J103" s="3" t="s">
        <v>849</v>
      </c>
      <c r="K103" s="3" t="s">
        <v>850</v>
      </c>
      <c r="L103" s="3" t="s">
        <v>64</v>
      </c>
      <c r="M103" s="3" t="n">
        <v>8678.23</v>
      </c>
      <c r="N103" s="3" t="s">
        <v>43</v>
      </c>
      <c r="O103" s="3" t="n">
        <f aca="false">IFERROR(LEN(C103&amp;D103&amp;E103&amp;F103&amp;G103&amp;H103&amp;I103&amp;J103&amp;K103&amp;L103&amp;M103&amp;N103)/5,0)</f>
        <v>23.2</v>
      </c>
      <c r="P103" s="3" t="str">
        <f aca="false">IF(OR(D103="",C103=""),"",IF((IFERROR(IF(AND(TRIM(D103)=D103,LEN(D103)&gt;0),0,1),1)+IFERROR(IF(AND(LEN(E103)=10,ISNUMBER(VALUE(E103))),0,1),1)+IFERROR(IF(AND(ISNUMBER(SEARCH("@",F103)),ISNUMBER(SEARCH(".",F103))),0,1),1)+IFERROR(IF(AND(LEN(J103)=6,ISNUMBER(VALUE(J103))),0,1),1)+IFERROR(IF(ISNUMBER(MATCH(TRIM(I103),Lists!$A$2:$A$20,0)),0,1),1)+IFERROR(IF(AND(LEN(K103)=10,VALUE(LEFT(K103,FIND("/",K103)-1))&gt;=1,VALUE(LEFT(K103,FIND("/",K103)-1))&lt;=31,VALUE(LEFT(MID(K103,FIND("/",K103)+1,10),FIND("/",MID(K103,FIND("/",K103)+1,10))-1))&gt;=1,VALUE(LEFT(MID(K103,FIND("/",K103)+1,10),FIND("/",MID(K103,FIND("/",K103)+1,10))-1))&lt;=12,VALUE(LEFT(K103,FIND("/",K103)-1))&lt;=DAY(EOMONTH(DATE(VALUE(MID(MID(K103,FIND("/",K103)+1,10),FIND("/",MID(K103,FIND("/",K103)+1,10))+1,4)),VALUE(LEFT(MID(K103,FIND("/",K103)+1,10),FIND("/",MID(K103,FIND("/",K103)+1,10))-1)),1),0))),0,1),1)+IFERROR(IF(M103&gt;=0,0,1),1)+IFERROR(IF(ISNUMBER(MATCH(N103,Lists!$B$2:$B$7,0)),0,1),1))=0,"OK","ERROR"))</f>
        <v>OK</v>
      </c>
      <c r="Q103" s="3" t="str">
        <f aca="false">IF(D103="","",TRIM(IF(IFERROR(IF(AND(TRIM(D103)=D103,LEN(D103)&gt;0),0,1),1)=1,"Name; ","")&amp;IF(IFERROR(IF(AND(LEN(E103)=10,ISNUMBER(VALUE(E103))),0,1),1)=1,"Phone; ","")&amp;IF(IFERROR(IF(AND(ISNUMBER(SEARCH("@",F103)),ISNUMBER(SEARCH(".",F103))),0,1),1)=1,"Email; ","")&amp;IF(IFERROR(IF(AND(LEN(J103)=6,ISNUMBER(VALUE(J103))),0,1),1)=1,"Pincode; ","")&amp;IF(IFERROR(IF(ISNUMBER(MATCH(TRIM(I103),Lists!$A$2:$A$20,0)),0,1),1)=1,"State; ","")&amp;IF(IFERROR(IF(AND(LEN(K103)=10,VALUE(LEFT(K103,FIND("/",K103)-1))&gt;=1,VALUE(LEFT(K103,FIND("/",K103)-1))&lt;=31,VALUE(LEFT(MID(K103,FIND("/",K103)+1,10),FIND("/",MID(K103,FIND("/",K103)+1,10))-1))&gt;=1,VALUE(LEFT(MID(K103,FIND("/",K103)+1,10),FIND("/",MID(K103,FIND("/",K103)+1,10))-1))&lt;=12,VALUE(LEFT(K103,FIND("/",K103)-1))&lt;=DAY(EOMONTH(DATE(VALUE(MID(MID(K103,FIND("/",K103)+1,10),FIND("/",MID(K103,FIND("/",K103)+1,10))+1,4)),VALUE(LEFT(MID(K103,FIND("/",K103)+1,10),FIND("/",MID(K103,FIND("/",K103)+1,10))-1)),1),0))),0,1),1)=1,"Date; ","")&amp;IF(IFERROR(IF(M103&gt;=0,0,1),1)=1,"Amount; ","")&amp;IF(IFERROR(IF(ISNUMBER(MATCH(N103,Lists!$B$2:$B$7,0)),0,1),1)=1,"Payment; ","")))</f>
        <v/>
      </c>
      <c r="R103" s="3" t="str">
        <f aca="false">IF(D103="","",IF(COUNTIFS($D$2:$D$701,D103,$E$2:$E$701,E103)&gt;1,"DUPLICATE","Unique"))</f>
        <v>Unique</v>
      </c>
    </row>
    <row r="104" customFormat="false" ht="15" hidden="false" customHeight="false" outlineLevel="0" collapsed="false">
      <c r="A104" s="3" t="n">
        <v>103</v>
      </c>
      <c r="B104" s="3" t="n">
        <v>3</v>
      </c>
      <c r="C104" s="3" t="s">
        <v>851</v>
      </c>
      <c r="D104" s="3" t="s">
        <v>852</v>
      </c>
      <c r="E104" s="3" t="s">
        <v>853</v>
      </c>
      <c r="F104" s="3" t="s">
        <v>854</v>
      </c>
      <c r="G104" s="3" t="s">
        <v>855</v>
      </c>
      <c r="H104" s="3" t="s">
        <v>428</v>
      </c>
      <c r="I104" s="3" t="s">
        <v>65</v>
      </c>
      <c r="J104" s="3" t="s">
        <v>856</v>
      </c>
      <c r="K104" s="3" t="s">
        <v>857</v>
      </c>
      <c r="L104" s="3" t="s">
        <v>58</v>
      </c>
      <c r="M104" s="3" t="n">
        <v>4219.42</v>
      </c>
      <c r="N104" s="3" t="s">
        <v>40</v>
      </c>
      <c r="O104" s="3" t="n">
        <f aca="false">IFERROR(LEN(C104&amp;D104&amp;E104&amp;F104&amp;G104&amp;H104&amp;I104&amp;J104&amp;K104&amp;L104&amp;M104&amp;N104)/5,0)</f>
        <v>25.8</v>
      </c>
      <c r="P104" s="3" t="str">
        <f aca="false">IF(OR(D104="",C104=""),"",IF((IFERROR(IF(AND(TRIM(D104)=D104,LEN(D104)&gt;0),0,1),1)+IFERROR(IF(AND(LEN(E104)=10,ISNUMBER(VALUE(E104))),0,1),1)+IFERROR(IF(AND(ISNUMBER(SEARCH("@",F104)),ISNUMBER(SEARCH(".",F104))),0,1),1)+IFERROR(IF(AND(LEN(J104)=6,ISNUMBER(VALUE(J104))),0,1),1)+IFERROR(IF(ISNUMBER(MATCH(TRIM(I104),Lists!$A$2:$A$20,0)),0,1),1)+IFERROR(IF(AND(LEN(K104)=10,VALUE(LEFT(K104,FIND("/",K104)-1))&gt;=1,VALUE(LEFT(K104,FIND("/",K104)-1))&lt;=31,VALUE(LEFT(MID(K104,FIND("/",K104)+1,10),FIND("/",MID(K104,FIND("/",K104)+1,10))-1))&gt;=1,VALUE(LEFT(MID(K104,FIND("/",K104)+1,10),FIND("/",MID(K104,FIND("/",K104)+1,10))-1))&lt;=12,VALUE(LEFT(K104,FIND("/",K104)-1))&lt;=DAY(EOMONTH(DATE(VALUE(MID(MID(K104,FIND("/",K104)+1,10),FIND("/",MID(K104,FIND("/",K104)+1,10))+1,4)),VALUE(LEFT(MID(K104,FIND("/",K104)+1,10),FIND("/",MID(K104,FIND("/",K104)+1,10))-1)),1),0))),0,1),1)+IFERROR(IF(M104&gt;=0,0,1),1)+IFERROR(IF(ISNUMBER(MATCH(N104,Lists!$B$2:$B$7,0)),0,1),1))=0,"OK","ERROR"))</f>
        <v>OK</v>
      </c>
      <c r="Q104" s="3" t="str">
        <f aca="false">IF(D104="","",TRIM(IF(IFERROR(IF(AND(TRIM(D104)=D104,LEN(D104)&gt;0),0,1),1)=1,"Name; ","")&amp;IF(IFERROR(IF(AND(LEN(E104)=10,ISNUMBER(VALUE(E104))),0,1),1)=1,"Phone; ","")&amp;IF(IFERROR(IF(AND(ISNUMBER(SEARCH("@",F104)),ISNUMBER(SEARCH(".",F104))),0,1),1)=1,"Email; ","")&amp;IF(IFERROR(IF(AND(LEN(J104)=6,ISNUMBER(VALUE(J104))),0,1),1)=1,"Pincode; ","")&amp;IF(IFERROR(IF(ISNUMBER(MATCH(TRIM(I104),Lists!$A$2:$A$20,0)),0,1),1)=1,"State; ","")&amp;IF(IFERROR(IF(AND(LEN(K104)=10,VALUE(LEFT(K104,FIND("/",K104)-1))&gt;=1,VALUE(LEFT(K104,FIND("/",K104)-1))&lt;=31,VALUE(LEFT(MID(K104,FIND("/",K104)+1,10),FIND("/",MID(K104,FIND("/",K104)+1,10))-1))&gt;=1,VALUE(LEFT(MID(K104,FIND("/",K104)+1,10),FIND("/",MID(K104,FIND("/",K104)+1,10))-1))&lt;=12,VALUE(LEFT(K104,FIND("/",K104)-1))&lt;=DAY(EOMONTH(DATE(VALUE(MID(MID(K104,FIND("/",K104)+1,10),FIND("/",MID(K104,FIND("/",K104)+1,10))+1,4)),VALUE(LEFT(MID(K104,FIND("/",K104)+1,10),FIND("/",MID(K104,FIND("/",K104)+1,10))-1)),1),0))),0,1),1)=1,"Date; ","")&amp;IF(IFERROR(IF(M104&gt;=0,0,1),1)=1,"Amount; ","")&amp;IF(IFERROR(IF(ISNUMBER(MATCH(N104,Lists!$B$2:$B$7,0)),0,1),1)=1,"Payment; ","")))</f>
        <v/>
      </c>
      <c r="R104" s="3" t="str">
        <f aca="false">IF(D104="","",IF(COUNTIFS($D$2:$D$701,D104,$E$2:$E$701,E104)&gt;1,"DUPLICATE","Unique"))</f>
        <v>Unique</v>
      </c>
    </row>
    <row r="105" customFormat="false" ht="15" hidden="false" customHeight="false" outlineLevel="0" collapsed="false">
      <c r="A105" s="3" t="n">
        <v>104</v>
      </c>
      <c r="B105" s="3" t="n">
        <v>3</v>
      </c>
      <c r="C105" s="3" t="s">
        <v>858</v>
      </c>
      <c r="D105" s="3" t="s">
        <v>859</v>
      </c>
      <c r="E105" s="3" t="s">
        <v>860</v>
      </c>
      <c r="F105" s="3" t="s">
        <v>861</v>
      </c>
      <c r="G105" s="3" t="s">
        <v>862</v>
      </c>
      <c r="H105" s="3" t="s">
        <v>863</v>
      </c>
      <c r="I105" s="3" t="s">
        <v>57</v>
      </c>
      <c r="J105" s="3" t="s">
        <v>864</v>
      </c>
      <c r="K105" s="3" t="s">
        <v>865</v>
      </c>
      <c r="L105" s="3" t="s">
        <v>44</v>
      </c>
      <c r="M105" s="3" t="n">
        <v>10986.14</v>
      </c>
      <c r="N105" s="3" t="s">
        <v>55</v>
      </c>
      <c r="O105" s="3" t="n">
        <f aca="false">IFERROR(LEN(C105&amp;D105&amp;E105&amp;F105&amp;G105&amp;H105&amp;I105&amp;J105&amp;K105&amp;L105&amp;M105&amp;N105)/5,0)</f>
        <v>26.6</v>
      </c>
      <c r="P105" s="3" t="str">
        <f aca="false">IF(OR(D105="",C105=""),"",IF((IFERROR(IF(AND(TRIM(D105)=D105,LEN(D105)&gt;0),0,1),1)+IFERROR(IF(AND(LEN(E105)=10,ISNUMBER(VALUE(E105))),0,1),1)+IFERROR(IF(AND(ISNUMBER(SEARCH("@",F105)),ISNUMBER(SEARCH(".",F105))),0,1),1)+IFERROR(IF(AND(LEN(J105)=6,ISNUMBER(VALUE(J105))),0,1),1)+IFERROR(IF(ISNUMBER(MATCH(TRIM(I105),Lists!$A$2:$A$20,0)),0,1),1)+IFERROR(IF(AND(LEN(K105)=10,VALUE(LEFT(K105,FIND("/",K105)-1))&gt;=1,VALUE(LEFT(K105,FIND("/",K105)-1))&lt;=31,VALUE(LEFT(MID(K105,FIND("/",K105)+1,10),FIND("/",MID(K105,FIND("/",K105)+1,10))-1))&gt;=1,VALUE(LEFT(MID(K105,FIND("/",K105)+1,10),FIND("/",MID(K105,FIND("/",K105)+1,10))-1))&lt;=12,VALUE(LEFT(K105,FIND("/",K105)-1))&lt;=DAY(EOMONTH(DATE(VALUE(MID(MID(K105,FIND("/",K105)+1,10),FIND("/",MID(K105,FIND("/",K105)+1,10))+1,4)),VALUE(LEFT(MID(K105,FIND("/",K105)+1,10),FIND("/",MID(K105,FIND("/",K105)+1,10))-1)),1),0))),0,1),1)+IFERROR(IF(M105&gt;=0,0,1),1)+IFERROR(IF(ISNUMBER(MATCH(N105,Lists!$B$2:$B$7,0)),0,1),1))=0,"OK","ERROR"))</f>
        <v>OK</v>
      </c>
      <c r="Q105" s="3" t="str">
        <f aca="false">IF(D105="","",TRIM(IF(IFERROR(IF(AND(TRIM(D105)=D105,LEN(D105)&gt;0),0,1),1)=1,"Name; ","")&amp;IF(IFERROR(IF(AND(LEN(E105)=10,ISNUMBER(VALUE(E105))),0,1),1)=1,"Phone; ","")&amp;IF(IFERROR(IF(AND(ISNUMBER(SEARCH("@",F105)),ISNUMBER(SEARCH(".",F105))),0,1),1)=1,"Email; ","")&amp;IF(IFERROR(IF(AND(LEN(J105)=6,ISNUMBER(VALUE(J105))),0,1),1)=1,"Pincode; ","")&amp;IF(IFERROR(IF(ISNUMBER(MATCH(TRIM(I105),Lists!$A$2:$A$20,0)),0,1),1)=1,"State; ","")&amp;IF(IFERROR(IF(AND(LEN(K105)=10,VALUE(LEFT(K105,FIND("/",K105)-1))&gt;=1,VALUE(LEFT(K105,FIND("/",K105)-1))&lt;=31,VALUE(LEFT(MID(K105,FIND("/",K105)+1,10),FIND("/",MID(K105,FIND("/",K105)+1,10))-1))&gt;=1,VALUE(LEFT(MID(K105,FIND("/",K105)+1,10),FIND("/",MID(K105,FIND("/",K105)+1,10))-1))&lt;=12,VALUE(LEFT(K105,FIND("/",K105)-1))&lt;=DAY(EOMONTH(DATE(VALUE(MID(MID(K105,FIND("/",K105)+1,10),FIND("/",MID(K105,FIND("/",K105)+1,10))+1,4)),VALUE(LEFT(MID(K105,FIND("/",K105)+1,10),FIND("/",MID(K105,FIND("/",K105)+1,10))-1)),1),0))),0,1),1)=1,"Date; ","")&amp;IF(IFERROR(IF(M105&gt;=0,0,1),1)=1,"Amount; ","")&amp;IF(IFERROR(IF(ISNUMBER(MATCH(N105,Lists!$B$2:$B$7,0)),0,1),1)=1,"Payment; ","")))</f>
        <v/>
      </c>
      <c r="R105" s="3" t="str">
        <f aca="false">IF(D105="","",IF(COUNTIFS($D$2:$D$701,D105,$E$2:$E$701,E105)&gt;1,"DUPLICATE","Unique"))</f>
        <v>Unique</v>
      </c>
    </row>
    <row r="106" customFormat="false" ht="15" hidden="false" customHeight="false" outlineLevel="0" collapsed="false">
      <c r="A106" s="3" t="n">
        <v>105</v>
      </c>
      <c r="B106" s="3" t="n">
        <v>3</v>
      </c>
      <c r="C106" s="3" t="s">
        <v>866</v>
      </c>
      <c r="D106" s="3" t="s">
        <v>867</v>
      </c>
      <c r="E106" s="3" t="s">
        <v>868</v>
      </c>
      <c r="F106" s="3" t="s">
        <v>869</v>
      </c>
      <c r="G106" s="3" t="s">
        <v>870</v>
      </c>
      <c r="H106" s="3" t="s">
        <v>197</v>
      </c>
      <c r="I106" s="3" t="s">
        <v>77</v>
      </c>
      <c r="J106" s="3" t="s">
        <v>871</v>
      </c>
      <c r="K106" s="3" t="s">
        <v>872</v>
      </c>
      <c r="L106" s="3" t="s">
        <v>50</v>
      </c>
      <c r="M106" s="3" t="n">
        <v>7476.88</v>
      </c>
      <c r="N106" s="3" t="s">
        <v>43</v>
      </c>
      <c r="O106" s="3" t="n">
        <f aca="false">IFERROR(LEN(C106&amp;D106&amp;E106&amp;F106&amp;G106&amp;H106&amp;I106&amp;J106&amp;K106&amp;L106&amp;M106&amp;N106)/5,0)</f>
        <v>25.4</v>
      </c>
      <c r="P106" s="3" t="str">
        <f aca="false">IF(OR(D106="",C106=""),"",IF((IFERROR(IF(AND(TRIM(D106)=D106,LEN(D106)&gt;0),0,1),1)+IFERROR(IF(AND(LEN(E106)=10,ISNUMBER(VALUE(E106))),0,1),1)+IFERROR(IF(AND(ISNUMBER(SEARCH("@",F106)),ISNUMBER(SEARCH(".",F106))),0,1),1)+IFERROR(IF(AND(LEN(J106)=6,ISNUMBER(VALUE(J106))),0,1),1)+IFERROR(IF(ISNUMBER(MATCH(TRIM(I106),Lists!$A$2:$A$20,0)),0,1),1)+IFERROR(IF(AND(LEN(K106)=10,VALUE(LEFT(K106,FIND("/",K106)-1))&gt;=1,VALUE(LEFT(K106,FIND("/",K106)-1))&lt;=31,VALUE(LEFT(MID(K106,FIND("/",K106)+1,10),FIND("/",MID(K106,FIND("/",K106)+1,10))-1))&gt;=1,VALUE(LEFT(MID(K106,FIND("/",K106)+1,10),FIND("/",MID(K106,FIND("/",K106)+1,10))-1))&lt;=12,VALUE(LEFT(K106,FIND("/",K106)-1))&lt;=DAY(EOMONTH(DATE(VALUE(MID(MID(K106,FIND("/",K106)+1,10),FIND("/",MID(K106,FIND("/",K106)+1,10))+1,4)),VALUE(LEFT(MID(K106,FIND("/",K106)+1,10),FIND("/",MID(K106,FIND("/",K106)+1,10))-1)),1),0))),0,1),1)+IFERROR(IF(M106&gt;=0,0,1),1)+IFERROR(IF(ISNUMBER(MATCH(N106,Lists!$B$2:$B$7,0)),0,1),1))=0,"OK","ERROR"))</f>
        <v>OK</v>
      </c>
      <c r="Q106" s="3" t="str">
        <f aca="false">IF(D106="","",TRIM(IF(IFERROR(IF(AND(TRIM(D106)=D106,LEN(D106)&gt;0),0,1),1)=1,"Name; ","")&amp;IF(IFERROR(IF(AND(LEN(E106)=10,ISNUMBER(VALUE(E106))),0,1),1)=1,"Phone; ","")&amp;IF(IFERROR(IF(AND(ISNUMBER(SEARCH("@",F106)),ISNUMBER(SEARCH(".",F106))),0,1),1)=1,"Email; ","")&amp;IF(IFERROR(IF(AND(LEN(J106)=6,ISNUMBER(VALUE(J106))),0,1),1)=1,"Pincode; ","")&amp;IF(IFERROR(IF(ISNUMBER(MATCH(TRIM(I106),Lists!$A$2:$A$20,0)),0,1),1)=1,"State; ","")&amp;IF(IFERROR(IF(AND(LEN(K106)=10,VALUE(LEFT(K106,FIND("/",K106)-1))&gt;=1,VALUE(LEFT(K106,FIND("/",K106)-1))&lt;=31,VALUE(LEFT(MID(K106,FIND("/",K106)+1,10),FIND("/",MID(K106,FIND("/",K106)+1,10))-1))&gt;=1,VALUE(LEFT(MID(K106,FIND("/",K106)+1,10),FIND("/",MID(K106,FIND("/",K106)+1,10))-1))&lt;=12,VALUE(LEFT(K106,FIND("/",K106)-1))&lt;=DAY(EOMONTH(DATE(VALUE(MID(MID(K106,FIND("/",K106)+1,10),FIND("/",MID(K106,FIND("/",K106)+1,10))+1,4)),VALUE(LEFT(MID(K106,FIND("/",K106)+1,10),FIND("/",MID(K106,FIND("/",K106)+1,10))-1)),1),0))),0,1),1)=1,"Date; ","")&amp;IF(IFERROR(IF(M106&gt;=0,0,1),1)=1,"Amount; ","")&amp;IF(IFERROR(IF(ISNUMBER(MATCH(N106,Lists!$B$2:$B$7,0)),0,1),1)=1,"Payment; ","")))</f>
        <v/>
      </c>
      <c r="R106" s="3" t="str">
        <f aca="false">IF(D106="","",IF(COUNTIFS($D$2:$D$701,D106,$E$2:$E$701,E106)&gt;1,"DUPLICATE","Unique"))</f>
        <v>Unique</v>
      </c>
    </row>
    <row r="107" customFormat="false" ht="15" hidden="false" customHeight="false" outlineLevel="0" collapsed="false">
      <c r="A107" s="3" t="n">
        <v>106</v>
      </c>
      <c r="B107" s="3" t="n">
        <v>3</v>
      </c>
      <c r="C107" s="3" t="s">
        <v>873</v>
      </c>
      <c r="D107" s="3" t="s">
        <v>874</v>
      </c>
      <c r="E107" s="3" t="s">
        <v>875</v>
      </c>
      <c r="F107" s="3" t="s">
        <v>876</v>
      </c>
      <c r="G107" s="3" t="s">
        <v>877</v>
      </c>
      <c r="H107" s="3" t="s">
        <v>878</v>
      </c>
      <c r="I107" s="3" t="s">
        <v>61</v>
      </c>
      <c r="J107" s="3" t="s">
        <v>879</v>
      </c>
      <c r="K107" s="3" t="s">
        <v>880</v>
      </c>
      <c r="L107" s="3" t="s">
        <v>50</v>
      </c>
      <c r="M107" s="3" t="n">
        <v>8727.2</v>
      </c>
      <c r="N107" s="3" t="s">
        <v>40</v>
      </c>
      <c r="O107" s="3" t="n">
        <f aca="false">IFERROR(LEN(C107&amp;D107&amp;E107&amp;F107&amp;G107&amp;H107&amp;I107&amp;J107&amp;K107&amp;L107&amp;M107&amp;N107)/5,0)</f>
        <v>28.8</v>
      </c>
      <c r="P107" s="3" t="str">
        <f aca="false">IF(OR(D107="",C107=""),"",IF((IFERROR(IF(AND(TRIM(D107)=D107,LEN(D107)&gt;0),0,1),1)+IFERROR(IF(AND(LEN(E107)=10,ISNUMBER(VALUE(E107))),0,1),1)+IFERROR(IF(AND(ISNUMBER(SEARCH("@",F107)),ISNUMBER(SEARCH(".",F107))),0,1),1)+IFERROR(IF(AND(LEN(J107)=6,ISNUMBER(VALUE(J107))),0,1),1)+IFERROR(IF(ISNUMBER(MATCH(TRIM(I107),Lists!$A$2:$A$20,0)),0,1),1)+IFERROR(IF(AND(LEN(K107)=10,VALUE(LEFT(K107,FIND("/",K107)-1))&gt;=1,VALUE(LEFT(K107,FIND("/",K107)-1))&lt;=31,VALUE(LEFT(MID(K107,FIND("/",K107)+1,10),FIND("/",MID(K107,FIND("/",K107)+1,10))-1))&gt;=1,VALUE(LEFT(MID(K107,FIND("/",K107)+1,10),FIND("/",MID(K107,FIND("/",K107)+1,10))-1))&lt;=12,VALUE(LEFT(K107,FIND("/",K107)-1))&lt;=DAY(EOMONTH(DATE(VALUE(MID(MID(K107,FIND("/",K107)+1,10),FIND("/",MID(K107,FIND("/",K107)+1,10))+1,4)),VALUE(LEFT(MID(K107,FIND("/",K107)+1,10),FIND("/",MID(K107,FIND("/",K107)+1,10))-1)),1),0))),0,1),1)+IFERROR(IF(M107&gt;=0,0,1),1)+IFERROR(IF(ISNUMBER(MATCH(N107,Lists!$B$2:$B$7,0)),0,1),1))=0,"OK","ERROR"))</f>
        <v>OK</v>
      </c>
      <c r="Q107" s="3" t="str">
        <f aca="false">IF(D107="","",TRIM(IF(IFERROR(IF(AND(TRIM(D107)=D107,LEN(D107)&gt;0),0,1),1)=1,"Name; ","")&amp;IF(IFERROR(IF(AND(LEN(E107)=10,ISNUMBER(VALUE(E107))),0,1),1)=1,"Phone; ","")&amp;IF(IFERROR(IF(AND(ISNUMBER(SEARCH("@",F107)),ISNUMBER(SEARCH(".",F107))),0,1),1)=1,"Email; ","")&amp;IF(IFERROR(IF(AND(LEN(J107)=6,ISNUMBER(VALUE(J107))),0,1),1)=1,"Pincode; ","")&amp;IF(IFERROR(IF(ISNUMBER(MATCH(TRIM(I107),Lists!$A$2:$A$20,0)),0,1),1)=1,"State; ","")&amp;IF(IFERROR(IF(AND(LEN(K107)=10,VALUE(LEFT(K107,FIND("/",K107)-1))&gt;=1,VALUE(LEFT(K107,FIND("/",K107)-1))&lt;=31,VALUE(LEFT(MID(K107,FIND("/",K107)+1,10),FIND("/",MID(K107,FIND("/",K107)+1,10))-1))&gt;=1,VALUE(LEFT(MID(K107,FIND("/",K107)+1,10),FIND("/",MID(K107,FIND("/",K107)+1,10))-1))&lt;=12,VALUE(LEFT(K107,FIND("/",K107)-1))&lt;=DAY(EOMONTH(DATE(VALUE(MID(MID(K107,FIND("/",K107)+1,10),FIND("/",MID(K107,FIND("/",K107)+1,10))+1,4)),VALUE(LEFT(MID(K107,FIND("/",K107)+1,10),FIND("/",MID(K107,FIND("/",K107)+1,10))-1)),1),0))),0,1),1)=1,"Date; ","")&amp;IF(IFERROR(IF(M107&gt;=0,0,1),1)=1,"Amount; ","")&amp;IF(IFERROR(IF(ISNUMBER(MATCH(N107,Lists!$B$2:$B$7,0)),0,1),1)=1,"Payment; ","")))</f>
        <v/>
      </c>
      <c r="R107" s="3" t="str">
        <f aca="false">IF(D107="","",IF(COUNTIFS($D$2:$D$701,D107,$E$2:$E$701,E107)&gt;1,"DUPLICATE","Unique"))</f>
        <v>Unique</v>
      </c>
    </row>
    <row r="108" customFormat="false" ht="15" hidden="false" customHeight="false" outlineLevel="0" collapsed="false">
      <c r="A108" s="3" t="n">
        <v>107</v>
      </c>
      <c r="B108" s="3" t="n">
        <v>3</v>
      </c>
      <c r="C108" s="3" t="s">
        <v>881</v>
      </c>
      <c r="D108" s="3" t="s">
        <v>882</v>
      </c>
      <c r="E108" s="3" t="s">
        <v>883</v>
      </c>
      <c r="F108" s="3" t="s">
        <v>884</v>
      </c>
      <c r="G108" s="3" t="s">
        <v>885</v>
      </c>
      <c r="H108" s="3" t="s">
        <v>480</v>
      </c>
      <c r="I108" s="3" t="s">
        <v>51</v>
      </c>
      <c r="J108" s="3" t="s">
        <v>886</v>
      </c>
      <c r="K108" s="3" t="s">
        <v>887</v>
      </c>
      <c r="L108" s="3" t="s">
        <v>74</v>
      </c>
      <c r="M108" s="3" t="n">
        <v>11815.35</v>
      </c>
      <c r="N108" s="3" t="s">
        <v>43</v>
      </c>
      <c r="O108" s="3" t="n">
        <f aca="false">IFERROR(LEN(C108&amp;D108&amp;E108&amp;F108&amp;G108&amp;H108&amp;I108&amp;J108&amp;K108&amp;L108&amp;M108&amp;N108)/5,0)</f>
        <v>25.6</v>
      </c>
      <c r="P108" s="3" t="str">
        <f aca="false">IF(OR(D108="",C108=""),"",IF((IFERROR(IF(AND(TRIM(D108)=D108,LEN(D108)&gt;0),0,1),1)+IFERROR(IF(AND(LEN(E108)=10,ISNUMBER(VALUE(E108))),0,1),1)+IFERROR(IF(AND(ISNUMBER(SEARCH("@",F108)),ISNUMBER(SEARCH(".",F108))),0,1),1)+IFERROR(IF(AND(LEN(J108)=6,ISNUMBER(VALUE(J108))),0,1),1)+IFERROR(IF(ISNUMBER(MATCH(TRIM(I108),Lists!$A$2:$A$20,0)),0,1),1)+IFERROR(IF(AND(LEN(K108)=10,VALUE(LEFT(K108,FIND("/",K108)-1))&gt;=1,VALUE(LEFT(K108,FIND("/",K108)-1))&lt;=31,VALUE(LEFT(MID(K108,FIND("/",K108)+1,10),FIND("/",MID(K108,FIND("/",K108)+1,10))-1))&gt;=1,VALUE(LEFT(MID(K108,FIND("/",K108)+1,10),FIND("/",MID(K108,FIND("/",K108)+1,10))-1))&lt;=12,VALUE(LEFT(K108,FIND("/",K108)-1))&lt;=DAY(EOMONTH(DATE(VALUE(MID(MID(K108,FIND("/",K108)+1,10),FIND("/",MID(K108,FIND("/",K108)+1,10))+1,4)),VALUE(LEFT(MID(K108,FIND("/",K108)+1,10),FIND("/",MID(K108,FIND("/",K108)+1,10))-1)),1),0))),0,1),1)+IFERROR(IF(M108&gt;=0,0,1),1)+IFERROR(IF(ISNUMBER(MATCH(N108,Lists!$B$2:$B$7,0)),0,1),1))=0,"OK","ERROR"))</f>
        <v>OK</v>
      </c>
      <c r="Q108" s="3" t="str">
        <f aca="false">IF(D108="","",TRIM(IF(IFERROR(IF(AND(TRIM(D108)=D108,LEN(D108)&gt;0),0,1),1)=1,"Name; ","")&amp;IF(IFERROR(IF(AND(LEN(E108)=10,ISNUMBER(VALUE(E108))),0,1),1)=1,"Phone; ","")&amp;IF(IFERROR(IF(AND(ISNUMBER(SEARCH("@",F108)),ISNUMBER(SEARCH(".",F108))),0,1),1)=1,"Email; ","")&amp;IF(IFERROR(IF(AND(LEN(J108)=6,ISNUMBER(VALUE(J108))),0,1),1)=1,"Pincode; ","")&amp;IF(IFERROR(IF(ISNUMBER(MATCH(TRIM(I108),Lists!$A$2:$A$20,0)),0,1),1)=1,"State; ","")&amp;IF(IFERROR(IF(AND(LEN(K108)=10,VALUE(LEFT(K108,FIND("/",K108)-1))&gt;=1,VALUE(LEFT(K108,FIND("/",K108)-1))&lt;=31,VALUE(LEFT(MID(K108,FIND("/",K108)+1,10),FIND("/",MID(K108,FIND("/",K108)+1,10))-1))&gt;=1,VALUE(LEFT(MID(K108,FIND("/",K108)+1,10),FIND("/",MID(K108,FIND("/",K108)+1,10))-1))&lt;=12,VALUE(LEFT(K108,FIND("/",K108)-1))&lt;=DAY(EOMONTH(DATE(VALUE(MID(MID(K108,FIND("/",K108)+1,10),FIND("/",MID(K108,FIND("/",K108)+1,10))+1,4)),VALUE(LEFT(MID(K108,FIND("/",K108)+1,10),FIND("/",MID(K108,FIND("/",K108)+1,10))-1)),1),0))),0,1),1)=1,"Date; ","")&amp;IF(IFERROR(IF(M108&gt;=0,0,1),1)=1,"Amount; ","")&amp;IF(IFERROR(IF(ISNUMBER(MATCH(N108,Lists!$B$2:$B$7,0)),0,1),1)=1,"Payment; ","")))</f>
        <v/>
      </c>
      <c r="R108" s="3" t="str">
        <f aca="false">IF(D108="","",IF(COUNTIFS($D$2:$D$701,D108,$E$2:$E$701,E108)&gt;1,"DUPLICATE","Unique"))</f>
        <v>Unique</v>
      </c>
    </row>
    <row r="109" customFormat="false" ht="15" hidden="false" customHeight="false" outlineLevel="0" collapsed="false">
      <c r="A109" s="3" t="n">
        <v>108</v>
      </c>
      <c r="B109" s="3" t="n">
        <v>3</v>
      </c>
      <c r="C109" s="3" t="s">
        <v>888</v>
      </c>
      <c r="D109" s="3" t="s">
        <v>889</v>
      </c>
      <c r="E109" s="3" t="s">
        <v>890</v>
      </c>
      <c r="F109" s="3" t="s">
        <v>891</v>
      </c>
      <c r="G109" s="3" t="s">
        <v>892</v>
      </c>
      <c r="H109" s="3" t="s">
        <v>235</v>
      </c>
      <c r="I109" s="3" t="s">
        <v>71</v>
      </c>
      <c r="J109" s="3" t="s">
        <v>893</v>
      </c>
      <c r="K109" s="3" t="s">
        <v>894</v>
      </c>
      <c r="L109" s="3" t="s">
        <v>62</v>
      </c>
      <c r="M109" s="3" t="n">
        <v>6719.3</v>
      </c>
      <c r="N109" s="3" t="s">
        <v>49</v>
      </c>
      <c r="O109" s="3" t="n">
        <f aca="false">IFERROR(LEN(C109&amp;D109&amp;E109&amp;F109&amp;G109&amp;H109&amp;I109&amp;J109&amp;K109&amp;L109&amp;M109&amp;N109)/5,0)</f>
        <v>27.2</v>
      </c>
      <c r="P109" s="3" t="str">
        <f aca="false">IF(OR(D109="",C109=""),"",IF((IFERROR(IF(AND(TRIM(D109)=D109,LEN(D109)&gt;0),0,1),1)+IFERROR(IF(AND(LEN(E109)=10,ISNUMBER(VALUE(E109))),0,1),1)+IFERROR(IF(AND(ISNUMBER(SEARCH("@",F109)),ISNUMBER(SEARCH(".",F109))),0,1),1)+IFERROR(IF(AND(LEN(J109)=6,ISNUMBER(VALUE(J109))),0,1),1)+IFERROR(IF(ISNUMBER(MATCH(TRIM(I109),Lists!$A$2:$A$20,0)),0,1),1)+IFERROR(IF(AND(LEN(K109)=10,VALUE(LEFT(K109,FIND("/",K109)-1))&gt;=1,VALUE(LEFT(K109,FIND("/",K109)-1))&lt;=31,VALUE(LEFT(MID(K109,FIND("/",K109)+1,10),FIND("/",MID(K109,FIND("/",K109)+1,10))-1))&gt;=1,VALUE(LEFT(MID(K109,FIND("/",K109)+1,10),FIND("/",MID(K109,FIND("/",K109)+1,10))-1))&lt;=12,VALUE(LEFT(K109,FIND("/",K109)-1))&lt;=DAY(EOMONTH(DATE(VALUE(MID(MID(K109,FIND("/",K109)+1,10),FIND("/",MID(K109,FIND("/",K109)+1,10))+1,4)),VALUE(LEFT(MID(K109,FIND("/",K109)+1,10),FIND("/",MID(K109,FIND("/",K109)+1,10))-1)),1),0))),0,1),1)+IFERROR(IF(M109&gt;=0,0,1),1)+IFERROR(IF(ISNUMBER(MATCH(N109,Lists!$B$2:$B$7,0)),0,1),1))=0,"OK","ERROR"))</f>
        <v>OK</v>
      </c>
      <c r="Q109" s="3" t="str">
        <f aca="false">IF(D109="","",TRIM(IF(IFERROR(IF(AND(TRIM(D109)=D109,LEN(D109)&gt;0),0,1),1)=1,"Name; ","")&amp;IF(IFERROR(IF(AND(LEN(E109)=10,ISNUMBER(VALUE(E109))),0,1),1)=1,"Phone; ","")&amp;IF(IFERROR(IF(AND(ISNUMBER(SEARCH("@",F109)),ISNUMBER(SEARCH(".",F109))),0,1),1)=1,"Email; ","")&amp;IF(IFERROR(IF(AND(LEN(J109)=6,ISNUMBER(VALUE(J109))),0,1),1)=1,"Pincode; ","")&amp;IF(IFERROR(IF(ISNUMBER(MATCH(TRIM(I109),Lists!$A$2:$A$20,0)),0,1),1)=1,"State; ","")&amp;IF(IFERROR(IF(AND(LEN(K109)=10,VALUE(LEFT(K109,FIND("/",K109)-1))&gt;=1,VALUE(LEFT(K109,FIND("/",K109)-1))&lt;=31,VALUE(LEFT(MID(K109,FIND("/",K109)+1,10),FIND("/",MID(K109,FIND("/",K109)+1,10))-1))&gt;=1,VALUE(LEFT(MID(K109,FIND("/",K109)+1,10),FIND("/",MID(K109,FIND("/",K109)+1,10))-1))&lt;=12,VALUE(LEFT(K109,FIND("/",K109)-1))&lt;=DAY(EOMONTH(DATE(VALUE(MID(MID(K109,FIND("/",K109)+1,10),FIND("/",MID(K109,FIND("/",K109)+1,10))+1,4)),VALUE(LEFT(MID(K109,FIND("/",K109)+1,10),FIND("/",MID(K109,FIND("/",K109)+1,10))-1)),1),0))),0,1),1)=1,"Date; ","")&amp;IF(IFERROR(IF(M109&gt;=0,0,1),1)=1,"Amount; ","")&amp;IF(IFERROR(IF(ISNUMBER(MATCH(N109,Lists!$B$2:$B$7,0)),0,1),1)=1,"Payment; ","")))</f>
        <v/>
      </c>
      <c r="R109" s="3" t="str">
        <f aca="false">IF(D109="","",IF(COUNTIFS($D$2:$D$701,D109,$E$2:$E$701,E109)&gt;1,"DUPLICATE","Unique"))</f>
        <v>Unique</v>
      </c>
    </row>
    <row r="110" customFormat="false" ht="15" hidden="false" customHeight="false" outlineLevel="0" collapsed="false">
      <c r="A110" s="3" t="n">
        <v>109</v>
      </c>
      <c r="B110" s="3" t="n">
        <v>3</v>
      </c>
      <c r="C110" s="3" t="s">
        <v>895</v>
      </c>
      <c r="D110" s="3" t="s">
        <v>896</v>
      </c>
      <c r="E110" s="3" t="s">
        <v>897</v>
      </c>
      <c r="F110" s="3" t="s">
        <v>898</v>
      </c>
      <c r="G110" s="3" t="s">
        <v>899</v>
      </c>
      <c r="H110" s="3" t="s">
        <v>197</v>
      </c>
      <c r="I110" s="3" t="s">
        <v>77</v>
      </c>
      <c r="J110" s="3" t="s">
        <v>900</v>
      </c>
      <c r="K110" s="3" t="s">
        <v>901</v>
      </c>
      <c r="L110" s="3" t="s">
        <v>68</v>
      </c>
      <c r="M110" s="3" t="n">
        <v>10807.92</v>
      </c>
      <c r="N110" s="3" t="s">
        <v>43</v>
      </c>
      <c r="O110" s="3" t="n">
        <f aca="false">IFERROR(LEN(C110&amp;D110&amp;E110&amp;F110&amp;G110&amp;H110&amp;I110&amp;J110&amp;K110&amp;L110&amp;M110&amp;N110)/5,0)</f>
        <v>27</v>
      </c>
      <c r="P110" s="3" t="str">
        <f aca="false">IF(OR(D110="",C110=""),"",IF((IFERROR(IF(AND(TRIM(D110)=D110,LEN(D110)&gt;0),0,1),1)+IFERROR(IF(AND(LEN(E110)=10,ISNUMBER(VALUE(E110))),0,1),1)+IFERROR(IF(AND(ISNUMBER(SEARCH("@",F110)),ISNUMBER(SEARCH(".",F110))),0,1),1)+IFERROR(IF(AND(LEN(J110)=6,ISNUMBER(VALUE(J110))),0,1),1)+IFERROR(IF(ISNUMBER(MATCH(TRIM(I110),Lists!$A$2:$A$20,0)),0,1),1)+IFERROR(IF(AND(LEN(K110)=10,VALUE(LEFT(K110,FIND("/",K110)-1))&gt;=1,VALUE(LEFT(K110,FIND("/",K110)-1))&lt;=31,VALUE(LEFT(MID(K110,FIND("/",K110)+1,10),FIND("/",MID(K110,FIND("/",K110)+1,10))-1))&gt;=1,VALUE(LEFT(MID(K110,FIND("/",K110)+1,10),FIND("/",MID(K110,FIND("/",K110)+1,10))-1))&lt;=12,VALUE(LEFT(K110,FIND("/",K110)-1))&lt;=DAY(EOMONTH(DATE(VALUE(MID(MID(K110,FIND("/",K110)+1,10),FIND("/",MID(K110,FIND("/",K110)+1,10))+1,4)),VALUE(LEFT(MID(K110,FIND("/",K110)+1,10),FIND("/",MID(K110,FIND("/",K110)+1,10))-1)),1),0))),0,1),1)+IFERROR(IF(M110&gt;=0,0,1),1)+IFERROR(IF(ISNUMBER(MATCH(N110,Lists!$B$2:$B$7,0)),0,1),1))=0,"OK","ERROR"))</f>
        <v>ERROR</v>
      </c>
      <c r="Q110" s="3" t="str">
        <f aca="false">IF(D110="","",TRIM(IF(IFERROR(IF(AND(TRIM(D110)=D110,LEN(D110)&gt;0),0,1),1)=1,"Name; ","")&amp;IF(IFERROR(IF(AND(LEN(E110)=10,ISNUMBER(VALUE(E110))),0,1),1)=1,"Phone; ","")&amp;IF(IFERROR(IF(AND(ISNUMBER(SEARCH("@",F110)),ISNUMBER(SEARCH(".",F110))),0,1),1)=1,"Email; ","")&amp;IF(IFERROR(IF(AND(LEN(J110)=6,ISNUMBER(VALUE(J110))),0,1),1)=1,"Pincode; ","")&amp;IF(IFERROR(IF(ISNUMBER(MATCH(TRIM(I110),Lists!$A$2:$A$20,0)),0,1),1)=1,"State; ","")&amp;IF(IFERROR(IF(AND(LEN(K110)=10,VALUE(LEFT(K110,FIND("/",K110)-1))&gt;=1,VALUE(LEFT(K110,FIND("/",K110)-1))&lt;=31,VALUE(LEFT(MID(K110,FIND("/",K110)+1,10),FIND("/",MID(K110,FIND("/",K110)+1,10))-1))&gt;=1,VALUE(LEFT(MID(K110,FIND("/",K110)+1,10),FIND("/",MID(K110,FIND("/",K110)+1,10))-1))&lt;=12,VALUE(LEFT(K110,FIND("/",K110)-1))&lt;=DAY(EOMONTH(DATE(VALUE(MID(MID(K110,FIND("/",K110)+1,10),FIND("/",MID(K110,FIND("/",K110)+1,10))+1,4)),VALUE(LEFT(MID(K110,FIND("/",K110)+1,10),FIND("/",MID(K110,FIND("/",K110)+1,10))-1)),1),0))),0,1),1)=1,"Date; ","")&amp;IF(IFERROR(IF(M110&gt;=0,0,1),1)=1,"Amount; ","")&amp;IF(IFERROR(IF(ISNUMBER(MATCH(N110,Lists!$B$2:$B$7,0)),0,1),1)=1,"Payment; ","")))</f>
        <v>Name;</v>
      </c>
      <c r="R110" s="3" t="str">
        <f aca="false">IF(D110="","",IF(COUNTIFS($D$2:$D$701,D110,$E$2:$E$701,E110)&gt;1,"DUPLICATE","Unique"))</f>
        <v>Unique</v>
      </c>
    </row>
    <row r="111" customFormat="false" ht="15" hidden="false" customHeight="false" outlineLevel="0" collapsed="false">
      <c r="A111" s="3" t="n">
        <v>110</v>
      </c>
      <c r="B111" s="3" t="n">
        <v>3</v>
      </c>
      <c r="C111" s="3" t="s">
        <v>902</v>
      </c>
      <c r="D111" s="3" t="s">
        <v>903</v>
      </c>
      <c r="E111" s="3" t="s">
        <v>904</v>
      </c>
      <c r="F111" s="3" t="s">
        <v>905</v>
      </c>
      <c r="G111" s="3" t="s">
        <v>906</v>
      </c>
      <c r="H111" s="3" t="s">
        <v>819</v>
      </c>
      <c r="I111" s="3" t="s">
        <v>75</v>
      </c>
      <c r="J111" s="3" t="s">
        <v>907</v>
      </c>
      <c r="K111" s="3" t="s">
        <v>290</v>
      </c>
      <c r="L111" s="3" t="s">
        <v>62</v>
      </c>
      <c r="M111" s="3" t="n">
        <v>10448.8</v>
      </c>
      <c r="N111" s="3" t="s">
        <v>46</v>
      </c>
      <c r="O111" s="3" t="n">
        <f aca="false">IFERROR(LEN(C111&amp;D111&amp;E111&amp;F111&amp;G111&amp;H111&amp;I111&amp;J111&amp;K111&amp;L111&amp;M111&amp;N111)/5,0)</f>
        <v>28</v>
      </c>
      <c r="P111" s="3" t="str">
        <f aca="false">IF(OR(D111="",C111=""),"",IF((IFERROR(IF(AND(TRIM(D111)=D111,LEN(D111)&gt;0),0,1),1)+IFERROR(IF(AND(LEN(E111)=10,ISNUMBER(VALUE(E111))),0,1),1)+IFERROR(IF(AND(ISNUMBER(SEARCH("@",F111)),ISNUMBER(SEARCH(".",F111))),0,1),1)+IFERROR(IF(AND(LEN(J111)=6,ISNUMBER(VALUE(J111))),0,1),1)+IFERROR(IF(ISNUMBER(MATCH(TRIM(I111),Lists!$A$2:$A$20,0)),0,1),1)+IFERROR(IF(AND(LEN(K111)=10,VALUE(LEFT(K111,FIND("/",K111)-1))&gt;=1,VALUE(LEFT(K111,FIND("/",K111)-1))&lt;=31,VALUE(LEFT(MID(K111,FIND("/",K111)+1,10),FIND("/",MID(K111,FIND("/",K111)+1,10))-1))&gt;=1,VALUE(LEFT(MID(K111,FIND("/",K111)+1,10),FIND("/",MID(K111,FIND("/",K111)+1,10))-1))&lt;=12,VALUE(LEFT(K111,FIND("/",K111)-1))&lt;=DAY(EOMONTH(DATE(VALUE(MID(MID(K111,FIND("/",K111)+1,10),FIND("/",MID(K111,FIND("/",K111)+1,10))+1,4)),VALUE(LEFT(MID(K111,FIND("/",K111)+1,10),FIND("/",MID(K111,FIND("/",K111)+1,10))-1)),1),0))),0,1),1)+IFERROR(IF(M111&gt;=0,0,1),1)+IFERROR(IF(ISNUMBER(MATCH(N111,Lists!$B$2:$B$7,0)),0,1),1))=0,"OK","ERROR"))</f>
        <v>OK</v>
      </c>
      <c r="Q111" s="3" t="str">
        <f aca="false">IF(D111="","",TRIM(IF(IFERROR(IF(AND(TRIM(D111)=D111,LEN(D111)&gt;0),0,1),1)=1,"Name; ","")&amp;IF(IFERROR(IF(AND(LEN(E111)=10,ISNUMBER(VALUE(E111))),0,1),1)=1,"Phone; ","")&amp;IF(IFERROR(IF(AND(ISNUMBER(SEARCH("@",F111)),ISNUMBER(SEARCH(".",F111))),0,1),1)=1,"Email; ","")&amp;IF(IFERROR(IF(AND(LEN(J111)=6,ISNUMBER(VALUE(J111))),0,1),1)=1,"Pincode; ","")&amp;IF(IFERROR(IF(ISNUMBER(MATCH(TRIM(I111),Lists!$A$2:$A$20,0)),0,1),1)=1,"State; ","")&amp;IF(IFERROR(IF(AND(LEN(K111)=10,VALUE(LEFT(K111,FIND("/",K111)-1))&gt;=1,VALUE(LEFT(K111,FIND("/",K111)-1))&lt;=31,VALUE(LEFT(MID(K111,FIND("/",K111)+1,10),FIND("/",MID(K111,FIND("/",K111)+1,10))-1))&gt;=1,VALUE(LEFT(MID(K111,FIND("/",K111)+1,10),FIND("/",MID(K111,FIND("/",K111)+1,10))-1))&lt;=12,VALUE(LEFT(K111,FIND("/",K111)-1))&lt;=DAY(EOMONTH(DATE(VALUE(MID(MID(K111,FIND("/",K111)+1,10),FIND("/",MID(K111,FIND("/",K111)+1,10))+1,4)),VALUE(LEFT(MID(K111,FIND("/",K111)+1,10),FIND("/",MID(K111,FIND("/",K111)+1,10))-1)),1),0))),0,1),1)=1,"Date; ","")&amp;IF(IFERROR(IF(M111&gt;=0,0,1),1)=1,"Amount; ","")&amp;IF(IFERROR(IF(ISNUMBER(MATCH(N111,Lists!$B$2:$B$7,0)),0,1),1)=1,"Payment; ","")))</f>
        <v/>
      </c>
      <c r="R111" s="3" t="str">
        <f aca="false">IF(D111="","",IF(COUNTIFS($D$2:$D$701,D111,$E$2:$E$701,E111)&gt;1,"DUPLICATE","Unique"))</f>
        <v>Unique</v>
      </c>
    </row>
    <row r="112" customFormat="false" ht="15" hidden="false" customHeight="false" outlineLevel="0" collapsed="false">
      <c r="A112" s="3" t="n">
        <v>111</v>
      </c>
      <c r="B112" s="3" t="n">
        <v>3</v>
      </c>
      <c r="C112" s="3" t="s">
        <v>908</v>
      </c>
      <c r="D112" s="3" t="s">
        <v>909</v>
      </c>
      <c r="E112" s="3" t="s">
        <v>910</v>
      </c>
      <c r="F112" s="3" t="s">
        <v>911</v>
      </c>
      <c r="G112" s="3" t="s">
        <v>912</v>
      </c>
      <c r="H112" s="3" t="s">
        <v>464</v>
      </c>
      <c r="I112" s="3" t="s">
        <v>61</v>
      </c>
      <c r="J112" s="3" t="s">
        <v>913</v>
      </c>
      <c r="K112" s="3" t="s">
        <v>914</v>
      </c>
      <c r="L112" s="3" t="s">
        <v>68</v>
      </c>
      <c r="M112" s="3" t="n">
        <v>6796.73</v>
      </c>
      <c r="N112" s="3" t="s">
        <v>43</v>
      </c>
      <c r="O112" s="3" t="n">
        <f aca="false">IFERROR(LEN(C112&amp;D112&amp;E112&amp;F112&amp;G112&amp;H112&amp;I112&amp;J112&amp;K112&amp;L112&amp;M112&amp;N112)/5,0)</f>
        <v>28.4</v>
      </c>
      <c r="P112" s="3" t="str">
        <f aca="false">IF(OR(D112="",C112=""),"",IF((IFERROR(IF(AND(TRIM(D112)=D112,LEN(D112)&gt;0),0,1),1)+IFERROR(IF(AND(LEN(E112)=10,ISNUMBER(VALUE(E112))),0,1),1)+IFERROR(IF(AND(ISNUMBER(SEARCH("@",F112)),ISNUMBER(SEARCH(".",F112))),0,1),1)+IFERROR(IF(AND(LEN(J112)=6,ISNUMBER(VALUE(J112))),0,1),1)+IFERROR(IF(ISNUMBER(MATCH(TRIM(I112),Lists!$A$2:$A$20,0)),0,1),1)+IFERROR(IF(AND(LEN(K112)=10,VALUE(LEFT(K112,FIND("/",K112)-1))&gt;=1,VALUE(LEFT(K112,FIND("/",K112)-1))&lt;=31,VALUE(LEFT(MID(K112,FIND("/",K112)+1,10),FIND("/",MID(K112,FIND("/",K112)+1,10))-1))&gt;=1,VALUE(LEFT(MID(K112,FIND("/",K112)+1,10),FIND("/",MID(K112,FIND("/",K112)+1,10))-1))&lt;=12,VALUE(LEFT(K112,FIND("/",K112)-1))&lt;=DAY(EOMONTH(DATE(VALUE(MID(MID(K112,FIND("/",K112)+1,10),FIND("/",MID(K112,FIND("/",K112)+1,10))+1,4)),VALUE(LEFT(MID(K112,FIND("/",K112)+1,10),FIND("/",MID(K112,FIND("/",K112)+1,10))-1)),1),0))),0,1),1)+IFERROR(IF(M112&gt;=0,0,1),1)+IFERROR(IF(ISNUMBER(MATCH(N112,Lists!$B$2:$B$7,0)),0,1),1))=0,"OK","ERROR"))</f>
        <v>OK</v>
      </c>
      <c r="Q112" s="3" t="str">
        <f aca="false">IF(D112="","",TRIM(IF(IFERROR(IF(AND(TRIM(D112)=D112,LEN(D112)&gt;0),0,1),1)=1,"Name; ","")&amp;IF(IFERROR(IF(AND(LEN(E112)=10,ISNUMBER(VALUE(E112))),0,1),1)=1,"Phone; ","")&amp;IF(IFERROR(IF(AND(ISNUMBER(SEARCH("@",F112)),ISNUMBER(SEARCH(".",F112))),0,1),1)=1,"Email; ","")&amp;IF(IFERROR(IF(AND(LEN(J112)=6,ISNUMBER(VALUE(J112))),0,1),1)=1,"Pincode; ","")&amp;IF(IFERROR(IF(ISNUMBER(MATCH(TRIM(I112),Lists!$A$2:$A$20,0)),0,1),1)=1,"State; ","")&amp;IF(IFERROR(IF(AND(LEN(K112)=10,VALUE(LEFT(K112,FIND("/",K112)-1))&gt;=1,VALUE(LEFT(K112,FIND("/",K112)-1))&lt;=31,VALUE(LEFT(MID(K112,FIND("/",K112)+1,10),FIND("/",MID(K112,FIND("/",K112)+1,10))-1))&gt;=1,VALUE(LEFT(MID(K112,FIND("/",K112)+1,10),FIND("/",MID(K112,FIND("/",K112)+1,10))-1))&lt;=12,VALUE(LEFT(K112,FIND("/",K112)-1))&lt;=DAY(EOMONTH(DATE(VALUE(MID(MID(K112,FIND("/",K112)+1,10),FIND("/",MID(K112,FIND("/",K112)+1,10))+1,4)),VALUE(LEFT(MID(K112,FIND("/",K112)+1,10),FIND("/",MID(K112,FIND("/",K112)+1,10))-1)),1),0))),0,1),1)=1,"Date; ","")&amp;IF(IFERROR(IF(M112&gt;=0,0,1),1)=1,"Amount; ","")&amp;IF(IFERROR(IF(ISNUMBER(MATCH(N112,Lists!$B$2:$B$7,0)),0,1),1)=1,"Payment; ","")))</f>
        <v/>
      </c>
      <c r="R112" s="3" t="str">
        <f aca="false">IF(D112="","",IF(COUNTIFS($D$2:$D$701,D112,$E$2:$E$701,E112)&gt;1,"DUPLICATE","Unique"))</f>
        <v>Unique</v>
      </c>
    </row>
    <row r="113" customFormat="false" ht="15" hidden="false" customHeight="false" outlineLevel="0" collapsed="false">
      <c r="A113" s="3" t="n">
        <v>112</v>
      </c>
      <c r="B113" s="3" t="n">
        <v>3</v>
      </c>
      <c r="C113" s="3" t="s">
        <v>915</v>
      </c>
      <c r="D113" s="3" t="s">
        <v>916</v>
      </c>
      <c r="E113" s="3" t="s">
        <v>917</v>
      </c>
      <c r="F113" s="3" t="s">
        <v>918</v>
      </c>
      <c r="G113" s="3" t="s">
        <v>919</v>
      </c>
      <c r="H113" s="3" t="s">
        <v>770</v>
      </c>
      <c r="I113" s="3" t="s">
        <v>57</v>
      </c>
      <c r="J113" s="3" t="s">
        <v>920</v>
      </c>
      <c r="K113" s="3" t="s">
        <v>921</v>
      </c>
      <c r="L113" s="3" t="s">
        <v>66</v>
      </c>
      <c r="M113" s="3" t="n">
        <v>15323.34</v>
      </c>
      <c r="N113" s="3" t="s">
        <v>52</v>
      </c>
      <c r="O113" s="3" t="n">
        <f aca="false">IFERROR(LEN(C113&amp;D113&amp;E113&amp;F113&amp;G113&amp;H113&amp;I113&amp;J113&amp;K113&amp;L113&amp;M113&amp;N113)/5,0)</f>
        <v>30</v>
      </c>
      <c r="P113" s="3" t="str">
        <f aca="false">IF(OR(D113="",C113=""),"",IF((IFERROR(IF(AND(TRIM(D113)=D113,LEN(D113)&gt;0),0,1),1)+IFERROR(IF(AND(LEN(E113)=10,ISNUMBER(VALUE(E113))),0,1),1)+IFERROR(IF(AND(ISNUMBER(SEARCH("@",F113)),ISNUMBER(SEARCH(".",F113))),0,1),1)+IFERROR(IF(AND(LEN(J113)=6,ISNUMBER(VALUE(J113))),0,1),1)+IFERROR(IF(ISNUMBER(MATCH(TRIM(I113),Lists!$A$2:$A$20,0)),0,1),1)+IFERROR(IF(AND(LEN(K113)=10,VALUE(LEFT(K113,FIND("/",K113)-1))&gt;=1,VALUE(LEFT(K113,FIND("/",K113)-1))&lt;=31,VALUE(LEFT(MID(K113,FIND("/",K113)+1,10),FIND("/",MID(K113,FIND("/",K113)+1,10))-1))&gt;=1,VALUE(LEFT(MID(K113,FIND("/",K113)+1,10),FIND("/",MID(K113,FIND("/",K113)+1,10))-1))&lt;=12,VALUE(LEFT(K113,FIND("/",K113)-1))&lt;=DAY(EOMONTH(DATE(VALUE(MID(MID(K113,FIND("/",K113)+1,10),FIND("/",MID(K113,FIND("/",K113)+1,10))+1,4)),VALUE(LEFT(MID(K113,FIND("/",K113)+1,10),FIND("/",MID(K113,FIND("/",K113)+1,10))-1)),1),0))),0,1),1)+IFERROR(IF(M113&gt;=0,0,1),1)+IFERROR(IF(ISNUMBER(MATCH(N113,Lists!$B$2:$B$7,0)),0,1),1))=0,"OK","ERROR"))</f>
        <v>OK</v>
      </c>
      <c r="Q113" s="3" t="str">
        <f aca="false">IF(D113="","",TRIM(IF(IFERROR(IF(AND(TRIM(D113)=D113,LEN(D113)&gt;0),0,1),1)=1,"Name; ","")&amp;IF(IFERROR(IF(AND(LEN(E113)=10,ISNUMBER(VALUE(E113))),0,1),1)=1,"Phone; ","")&amp;IF(IFERROR(IF(AND(ISNUMBER(SEARCH("@",F113)),ISNUMBER(SEARCH(".",F113))),0,1),1)=1,"Email; ","")&amp;IF(IFERROR(IF(AND(LEN(J113)=6,ISNUMBER(VALUE(J113))),0,1),1)=1,"Pincode; ","")&amp;IF(IFERROR(IF(ISNUMBER(MATCH(TRIM(I113),Lists!$A$2:$A$20,0)),0,1),1)=1,"State; ","")&amp;IF(IFERROR(IF(AND(LEN(K113)=10,VALUE(LEFT(K113,FIND("/",K113)-1))&gt;=1,VALUE(LEFT(K113,FIND("/",K113)-1))&lt;=31,VALUE(LEFT(MID(K113,FIND("/",K113)+1,10),FIND("/",MID(K113,FIND("/",K113)+1,10))-1))&gt;=1,VALUE(LEFT(MID(K113,FIND("/",K113)+1,10),FIND("/",MID(K113,FIND("/",K113)+1,10))-1))&lt;=12,VALUE(LEFT(K113,FIND("/",K113)-1))&lt;=DAY(EOMONTH(DATE(VALUE(MID(MID(K113,FIND("/",K113)+1,10),FIND("/",MID(K113,FIND("/",K113)+1,10))+1,4)),VALUE(LEFT(MID(K113,FIND("/",K113)+1,10),FIND("/",MID(K113,FIND("/",K113)+1,10))-1)),1),0))),0,1),1)=1,"Date; ","")&amp;IF(IFERROR(IF(M113&gt;=0,0,1),1)=1,"Amount; ","")&amp;IF(IFERROR(IF(ISNUMBER(MATCH(N113,Lists!$B$2:$B$7,0)),0,1),1)=1,"Payment; ","")))</f>
        <v/>
      </c>
      <c r="R113" s="3" t="str">
        <f aca="false">IF(D113="","",IF(COUNTIFS($D$2:$D$701,D113,$E$2:$E$701,E113)&gt;1,"DUPLICATE","Unique"))</f>
        <v>Unique</v>
      </c>
    </row>
    <row r="114" customFormat="false" ht="15" hidden="false" customHeight="false" outlineLevel="0" collapsed="false">
      <c r="A114" s="3" t="n">
        <v>113</v>
      </c>
      <c r="B114" s="3" t="n">
        <v>3</v>
      </c>
      <c r="C114" s="3" t="s">
        <v>922</v>
      </c>
      <c r="D114" s="3" t="s">
        <v>923</v>
      </c>
      <c r="E114" s="3" t="s">
        <v>924</v>
      </c>
      <c r="F114" s="3" t="s">
        <v>925</v>
      </c>
      <c r="G114" s="3" t="s">
        <v>926</v>
      </c>
      <c r="H114" s="3" t="s">
        <v>180</v>
      </c>
      <c r="I114" s="3" t="s">
        <v>42</v>
      </c>
      <c r="J114" s="3" t="s">
        <v>927</v>
      </c>
      <c r="K114" s="3" t="s">
        <v>928</v>
      </c>
      <c r="L114" s="3" t="s">
        <v>41</v>
      </c>
      <c r="M114" s="3" t="n">
        <v>8607.96</v>
      </c>
      <c r="N114" s="3" t="s">
        <v>49</v>
      </c>
      <c r="O114" s="3" t="n">
        <f aca="false">IFERROR(LEN(C114&amp;D114&amp;E114&amp;F114&amp;G114&amp;H114&amp;I114&amp;J114&amp;K114&amp;L114&amp;M114&amp;N114)/5,0)</f>
        <v>28.6</v>
      </c>
      <c r="P114" s="3" t="str">
        <f aca="false">IF(OR(D114="",C114=""),"",IF((IFERROR(IF(AND(TRIM(D114)=D114,LEN(D114)&gt;0),0,1),1)+IFERROR(IF(AND(LEN(E114)=10,ISNUMBER(VALUE(E114))),0,1),1)+IFERROR(IF(AND(ISNUMBER(SEARCH("@",F114)),ISNUMBER(SEARCH(".",F114))),0,1),1)+IFERROR(IF(AND(LEN(J114)=6,ISNUMBER(VALUE(J114))),0,1),1)+IFERROR(IF(ISNUMBER(MATCH(TRIM(I114),Lists!$A$2:$A$20,0)),0,1),1)+IFERROR(IF(AND(LEN(K114)=10,VALUE(LEFT(K114,FIND("/",K114)-1))&gt;=1,VALUE(LEFT(K114,FIND("/",K114)-1))&lt;=31,VALUE(LEFT(MID(K114,FIND("/",K114)+1,10),FIND("/",MID(K114,FIND("/",K114)+1,10))-1))&gt;=1,VALUE(LEFT(MID(K114,FIND("/",K114)+1,10),FIND("/",MID(K114,FIND("/",K114)+1,10))-1))&lt;=12,VALUE(LEFT(K114,FIND("/",K114)-1))&lt;=DAY(EOMONTH(DATE(VALUE(MID(MID(K114,FIND("/",K114)+1,10),FIND("/",MID(K114,FIND("/",K114)+1,10))+1,4)),VALUE(LEFT(MID(K114,FIND("/",K114)+1,10),FIND("/",MID(K114,FIND("/",K114)+1,10))-1)),1),0))),0,1),1)+IFERROR(IF(M114&gt;=0,0,1),1)+IFERROR(IF(ISNUMBER(MATCH(N114,Lists!$B$2:$B$7,0)),0,1),1))=0,"OK","ERROR"))</f>
        <v>OK</v>
      </c>
      <c r="Q114" s="3" t="str">
        <f aca="false">IF(D114="","",TRIM(IF(IFERROR(IF(AND(TRIM(D114)=D114,LEN(D114)&gt;0),0,1),1)=1,"Name; ","")&amp;IF(IFERROR(IF(AND(LEN(E114)=10,ISNUMBER(VALUE(E114))),0,1),1)=1,"Phone; ","")&amp;IF(IFERROR(IF(AND(ISNUMBER(SEARCH("@",F114)),ISNUMBER(SEARCH(".",F114))),0,1),1)=1,"Email; ","")&amp;IF(IFERROR(IF(AND(LEN(J114)=6,ISNUMBER(VALUE(J114))),0,1),1)=1,"Pincode; ","")&amp;IF(IFERROR(IF(ISNUMBER(MATCH(TRIM(I114),Lists!$A$2:$A$20,0)),0,1),1)=1,"State; ","")&amp;IF(IFERROR(IF(AND(LEN(K114)=10,VALUE(LEFT(K114,FIND("/",K114)-1))&gt;=1,VALUE(LEFT(K114,FIND("/",K114)-1))&lt;=31,VALUE(LEFT(MID(K114,FIND("/",K114)+1,10),FIND("/",MID(K114,FIND("/",K114)+1,10))-1))&gt;=1,VALUE(LEFT(MID(K114,FIND("/",K114)+1,10),FIND("/",MID(K114,FIND("/",K114)+1,10))-1))&lt;=12,VALUE(LEFT(K114,FIND("/",K114)-1))&lt;=DAY(EOMONTH(DATE(VALUE(MID(MID(K114,FIND("/",K114)+1,10),FIND("/",MID(K114,FIND("/",K114)+1,10))+1,4)),VALUE(LEFT(MID(K114,FIND("/",K114)+1,10),FIND("/",MID(K114,FIND("/",K114)+1,10))-1)),1),0))),0,1),1)=1,"Date; ","")&amp;IF(IFERROR(IF(M114&gt;=0,0,1),1)=1,"Amount; ","")&amp;IF(IFERROR(IF(ISNUMBER(MATCH(N114,Lists!$B$2:$B$7,0)),0,1),1)=1,"Payment; ","")))</f>
        <v/>
      </c>
      <c r="R114" s="3" t="str">
        <f aca="false">IF(D114="","",IF(COUNTIFS($D$2:$D$701,D114,$E$2:$E$701,E114)&gt;1,"DUPLICATE","Unique"))</f>
        <v>Unique</v>
      </c>
    </row>
    <row r="115" customFormat="false" ht="15" hidden="false" customHeight="false" outlineLevel="0" collapsed="false">
      <c r="A115" s="3" t="n">
        <v>114</v>
      </c>
      <c r="B115" s="3" t="n">
        <v>3</v>
      </c>
      <c r="C115" s="3" t="s">
        <v>929</v>
      </c>
      <c r="D115" s="3" t="s">
        <v>930</v>
      </c>
      <c r="E115" s="3" t="s">
        <v>931</v>
      </c>
      <c r="F115" s="3" t="s">
        <v>932</v>
      </c>
      <c r="G115" s="3" t="s">
        <v>933</v>
      </c>
      <c r="H115" s="3" t="s">
        <v>348</v>
      </c>
      <c r="I115" s="3" t="s">
        <v>39</v>
      </c>
      <c r="J115" s="3" t="s">
        <v>934</v>
      </c>
      <c r="K115" s="3" t="s">
        <v>935</v>
      </c>
      <c r="L115" s="3" t="s">
        <v>70</v>
      </c>
      <c r="M115" s="3" t="n">
        <v>6469.96</v>
      </c>
      <c r="N115" s="3" t="s">
        <v>46</v>
      </c>
      <c r="O115" s="3" t="n">
        <f aca="false">IFERROR(LEN(C115&amp;D115&amp;E115&amp;F115&amp;G115&amp;H115&amp;I115&amp;J115&amp;K115&amp;L115&amp;M115&amp;N115)/5,0)</f>
        <v>27</v>
      </c>
      <c r="P115" s="3" t="str">
        <f aca="false">IF(OR(D115="",C115=""),"",IF((IFERROR(IF(AND(TRIM(D115)=D115,LEN(D115)&gt;0),0,1),1)+IFERROR(IF(AND(LEN(E115)=10,ISNUMBER(VALUE(E115))),0,1),1)+IFERROR(IF(AND(ISNUMBER(SEARCH("@",F115)),ISNUMBER(SEARCH(".",F115))),0,1),1)+IFERROR(IF(AND(LEN(J115)=6,ISNUMBER(VALUE(J115))),0,1),1)+IFERROR(IF(ISNUMBER(MATCH(TRIM(I115),Lists!$A$2:$A$20,0)),0,1),1)+IFERROR(IF(AND(LEN(K115)=10,VALUE(LEFT(K115,FIND("/",K115)-1))&gt;=1,VALUE(LEFT(K115,FIND("/",K115)-1))&lt;=31,VALUE(LEFT(MID(K115,FIND("/",K115)+1,10),FIND("/",MID(K115,FIND("/",K115)+1,10))-1))&gt;=1,VALUE(LEFT(MID(K115,FIND("/",K115)+1,10),FIND("/",MID(K115,FIND("/",K115)+1,10))-1))&lt;=12,VALUE(LEFT(K115,FIND("/",K115)-1))&lt;=DAY(EOMONTH(DATE(VALUE(MID(MID(K115,FIND("/",K115)+1,10),FIND("/",MID(K115,FIND("/",K115)+1,10))+1,4)),VALUE(LEFT(MID(K115,FIND("/",K115)+1,10),FIND("/",MID(K115,FIND("/",K115)+1,10))-1)),1),0))),0,1),1)+IFERROR(IF(M115&gt;=0,0,1),1)+IFERROR(IF(ISNUMBER(MATCH(N115,Lists!$B$2:$B$7,0)),0,1),1))=0,"OK","ERROR"))</f>
        <v>OK</v>
      </c>
      <c r="Q115" s="3" t="str">
        <f aca="false">IF(D115="","",TRIM(IF(IFERROR(IF(AND(TRIM(D115)=D115,LEN(D115)&gt;0),0,1),1)=1,"Name; ","")&amp;IF(IFERROR(IF(AND(LEN(E115)=10,ISNUMBER(VALUE(E115))),0,1),1)=1,"Phone; ","")&amp;IF(IFERROR(IF(AND(ISNUMBER(SEARCH("@",F115)),ISNUMBER(SEARCH(".",F115))),0,1),1)=1,"Email; ","")&amp;IF(IFERROR(IF(AND(LEN(J115)=6,ISNUMBER(VALUE(J115))),0,1),1)=1,"Pincode; ","")&amp;IF(IFERROR(IF(ISNUMBER(MATCH(TRIM(I115),Lists!$A$2:$A$20,0)),0,1),1)=1,"State; ","")&amp;IF(IFERROR(IF(AND(LEN(K115)=10,VALUE(LEFT(K115,FIND("/",K115)-1))&gt;=1,VALUE(LEFT(K115,FIND("/",K115)-1))&lt;=31,VALUE(LEFT(MID(K115,FIND("/",K115)+1,10),FIND("/",MID(K115,FIND("/",K115)+1,10))-1))&gt;=1,VALUE(LEFT(MID(K115,FIND("/",K115)+1,10),FIND("/",MID(K115,FIND("/",K115)+1,10))-1))&lt;=12,VALUE(LEFT(K115,FIND("/",K115)-1))&lt;=DAY(EOMONTH(DATE(VALUE(MID(MID(K115,FIND("/",K115)+1,10),FIND("/",MID(K115,FIND("/",K115)+1,10))+1,4)),VALUE(LEFT(MID(K115,FIND("/",K115)+1,10),FIND("/",MID(K115,FIND("/",K115)+1,10))-1)),1),0))),0,1),1)=1,"Date; ","")&amp;IF(IFERROR(IF(M115&gt;=0,0,1),1)=1,"Amount; ","")&amp;IF(IFERROR(IF(ISNUMBER(MATCH(N115,Lists!$B$2:$B$7,0)),0,1),1)=1,"Payment; ","")))</f>
        <v/>
      </c>
      <c r="R115" s="3" t="str">
        <f aca="false">IF(D115="","",IF(COUNTIFS($D$2:$D$701,D115,$E$2:$E$701,E115)&gt;1,"DUPLICATE","Unique"))</f>
        <v>Unique</v>
      </c>
    </row>
    <row r="116" customFormat="false" ht="15" hidden="false" customHeight="false" outlineLevel="0" collapsed="false">
      <c r="A116" s="3" t="n">
        <v>115</v>
      </c>
      <c r="B116" s="3" t="n">
        <v>3</v>
      </c>
      <c r="C116" s="3" t="s">
        <v>936</v>
      </c>
      <c r="D116" s="3" t="s">
        <v>937</v>
      </c>
      <c r="E116" s="3" t="s">
        <v>938</v>
      </c>
      <c r="F116" s="3" t="s">
        <v>939</v>
      </c>
      <c r="G116" s="3" t="s">
        <v>940</v>
      </c>
      <c r="H116" s="3" t="s">
        <v>310</v>
      </c>
      <c r="I116" s="3" t="s">
        <v>69</v>
      </c>
      <c r="J116" s="3" t="s">
        <v>941</v>
      </c>
      <c r="K116" s="3" t="s">
        <v>942</v>
      </c>
      <c r="L116" s="3" t="s">
        <v>72</v>
      </c>
      <c r="M116" s="3" t="n">
        <v>15585.67</v>
      </c>
      <c r="N116" s="3" t="s">
        <v>52</v>
      </c>
      <c r="O116" s="3" t="n">
        <f aca="false">IFERROR(LEN(C116&amp;D116&amp;E116&amp;F116&amp;G116&amp;H116&amp;I116&amp;J116&amp;K116&amp;L116&amp;M116&amp;N116)/5,0)</f>
        <v>31.2</v>
      </c>
      <c r="P116" s="3" t="str">
        <f aca="false">IF(OR(D116="",C116=""),"",IF((IFERROR(IF(AND(TRIM(D116)=D116,LEN(D116)&gt;0),0,1),1)+IFERROR(IF(AND(LEN(E116)=10,ISNUMBER(VALUE(E116))),0,1),1)+IFERROR(IF(AND(ISNUMBER(SEARCH("@",F116)),ISNUMBER(SEARCH(".",F116))),0,1),1)+IFERROR(IF(AND(LEN(J116)=6,ISNUMBER(VALUE(J116))),0,1),1)+IFERROR(IF(ISNUMBER(MATCH(TRIM(I116),Lists!$A$2:$A$20,0)),0,1),1)+IFERROR(IF(AND(LEN(K116)=10,VALUE(LEFT(K116,FIND("/",K116)-1))&gt;=1,VALUE(LEFT(K116,FIND("/",K116)-1))&lt;=31,VALUE(LEFT(MID(K116,FIND("/",K116)+1,10),FIND("/",MID(K116,FIND("/",K116)+1,10))-1))&gt;=1,VALUE(LEFT(MID(K116,FIND("/",K116)+1,10),FIND("/",MID(K116,FIND("/",K116)+1,10))-1))&lt;=12,VALUE(LEFT(K116,FIND("/",K116)-1))&lt;=DAY(EOMONTH(DATE(VALUE(MID(MID(K116,FIND("/",K116)+1,10),FIND("/",MID(K116,FIND("/",K116)+1,10))+1,4)),VALUE(LEFT(MID(K116,FIND("/",K116)+1,10),FIND("/",MID(K116,FIND("/",K116)+1,10))-1)),1),0))),0,1),1)+IFERROR(IF(M116&gt;=0,0,1),1)+IFERROR(IF(ISNUMBER(MATCH(N116,Lists!$B$2:$B$7,0)),0,1),1))=0,"OK","ERROR"))</f>
        <v>OK</v>
      </c>
      <c r="Q116" s="3" t="str">
        <f aca="false">IF(D116="","",TRIM(IF(IFERROR(IF(AND(TRIM(D116)=D116,LEN(D116)&gt;0),0,1),1)=1,"Name; ","")&amp;IF(IFERROR(IF(AND(LEN(E116)=10,ISNUMBER(VALUE(E116))),0,1),1)=1,"Phone; ","")&amp;IF(IFERROR(IF(AND(ISNUMBER(SEARCH("@",F116)),ISNUMBER(SEARCH(".",F116))),0,1),1)=1,"Email; ","")&amp;IF(IFERROR(IF(AND(LEN(J116)=6,ISNUMBER(VALUE(J116))),0,1),1)=1,"Pincode; ","")&amp;IF(IFERROR(IF(ISNUMBER(MATCH(TRIM(I116),Lists!$A$2:$A$20,0)),0,1),1)=1,"State; ","")&amp;IF(IFERROR(IF(AND(LEN(K116)=10,VALUE(LEFT(K116,FIND("/",K116)-1))&gt;=1,VALUE(LEFT(K116,FIND("/",K116)-1))&lt;=31,VALUE(LEFT(MID(K116,FIND("/",K116)+1,10),FIND("/",MID(K116,FIND("/",K116)+1,10))-1))&gt;=1,VALUE(LEFT(MID(K116,FIND("/",K116)+1,10),FIND("/",MID(K116,FIND("/",K116)+1,10))-1))&lt;=12,VALUE(LEFT(K116,FIND("/",K116)-1))&lt;=DAY(EOMONTH(DATE(VALUE(MID(MID(K116,FIND("/",K116)+1,10),FIND("/",MID(K116,FIND("/",K116)+1,10))+1,4)),VALUE(LEFT(MID(K116,FIND("/",K116)+1,10),FIND("/",MID(K116,FIND("/",K116)+1,10))-1)),1),0))),0,1),1)=1,"Date; ","")&amp;IF(IFERROR(IF(M116&gt;=0,0,1),1)=1,"Amount; ","")&amp;IF(IFERROR(IF(ISNUMBER(MATCH(N116,Lists!$B$2:$B$7,0)),0,1),1)=1,"Payment; ","")))</f>
        <v/>
      </c>
      <c r="R116" s="3" t="str">
        <f aca="false">IF(D116="","",IF(COUNTIFS($D$2:$D$701,D116,$E$2:$E$701,E116)&gt;1,"DUPLICATE","Unique"))</f>
        <v>Unique</v>
      </c>
    </row>
    <row r="117" customFormat="false" ht="15" hidden="false" customHeight="false" outlineLevel="0" collapsed="false">
      <c r="A117" s="3" t="n">
        <v>116</v>
      </c>
      <c r="B117" s="3" t="n">
        <v>3</v>
      </c>
      <c r="C117" s="3" t="s">
        <v>943</v>
      </c>
      <c r="D117" s="3" t="s">
        <v>944</v>
      </c>
      <c r="E117" s="3" t="s">
        <v>945</v>
      </c>
      <c r="F117" s="3" t="s">
        <v>946</v>
      </c>
      <c r="G117" s="3" t="s">
        <v>947</v>
      </c>
      <c r="H117" s="3" t="s">
        <v>370</v>
      </c>
      <c r="I117" s="3" t="s">
        <v>42</v>
      </c>
      <c r="J117" s="3" t="s">
        <v>948</v>
      </c>
      <c r="K117" s="3" t="s">
        <v>458</v>
      </c>
      <c r="L117" s="3" t="s">
        <v>47</v>
      </c>
      <c r="M117" s="3" t="n">
        <v>9109.54</v>
      </c>
      <c r="N117" s="3" t="s">
        <v>52</v>
      </c>
      <c r="O117" s="3" t="n">
        <f aca="false">IFERROR(LEN(C117&amp;D117&amp;E117&amp;F117&amp;G117&amp;H117&amp;I117&amp;J117&amp;K117&amp;L117&amp;M117&amp;N117)/5,0)</f>
        <v>29</v>
      </c>
      <c r="P117" s="3" t="str">
        <f aca="false">IF(OR(D117="",C117=""),"",IF((IFERROR(IF(AND(TRIM(D117)=D117,LEN(D117)&gt;0),0,1),1)+IFERROR(IF(AND(LEN(E117)=10,ISNUMBER(VALUE(E117))),0,1),1)+IFERROR(IF(AND(ISNUMBER(SEARCH("@",F117)),ISNUMBER(SEARCH(".",F117))),0,1),1)+IFERROR(IF(AND(LEN(J117)=6,ISNUMBER(VALUE(J117))),0,1),1)+IFERROR(IF(ISNUMBER(MATCH(TRIM(I117),Lists!$A$2:$A$20,0)),0,1),1)+IFERROR(IF(AND(LEN(K117)=10,VALUE(LEFT(K117,FIND("/",K117)-1))&gt;=1,VALUE(LEFT(K117,FIND("/",K117)-1))&lt;=31,VALUE(LEFT(MID(K117,FIND("/",K117)+1,10),FIND("/",MID(K117,FIND("/",K117)+1,10))-1))&gt;=1,VALUE(LEFT(MID(K117,FIND("/",K117)+1,10),FIND("/",MID(K117,FIND("/",K117)+1,10))-1))&lt;=12,VALUE(LEFT(K117,FIND("/",K117)-1))&lt;=DAY(EOMONTH(DATE(VALUE(MID(MID(K117,FIND("/",K117)+1,10),FIND("/",MID(K117,FIND("/",K117)+1,10))+1,4)),VALUE(LEFT(MID(K117,FIND("/",K117)+1,10),FIND("/",MID(K117,FIND("/",K117)+1,10))-1)),1),0))),0,1),1)+IFERROR(IF(M117&gt;=0,0,1),1)+IFERROR(IF(ISNUMBER(MATCH(N117,Lists!$B$2:$B$7,0)),0,1),1))=0,"OK","ERROR"))</f>
        <v>OK</v>
      </c>
      <c r="Q117" s="3" t="str">
        <f aca="false">IF(D117="","",TRIM(IF(IFERROR(IF(AND(TRIM(D117)=D117,LEN(D117)&gt;0),0,1),1)=1,"Name; ","")&amp;IF(IFERROR(IF(AND(LEN(E117)=10,ISNUMBER(VALUE(E117))),0,1),1)=1,"Phone; ","")&amp;IF(IFERROR(IF(AND(ISNUMBER(SEARCH("@",F117)),ISNUMBER(SEARCH(".",F117))),0,1),1)=1,"Email; ","")&amp;IF(IFERROR(IF(AND(LEN(J117)=6,ISNUMBER(VALUE(J117))),0,1),1)=1,"Pincode; ","")&amp;IF(IFERROR(IF(ISNUMBER(MATCH(TRIM(I117),Lists!$A$2:$A$20,0)),0,1),1)=1,"State; ","")&amp;IF(IFERROR(IF(AND(LEN(K117)=10,VALUE(LEFT(K117,FIND("/",K117)-1))&gt;=1,VALUE(LEFT(K117,FIND("/",K117)-1))&lt;=31,VALUE(LEFT(MID(K117,FIND("/",K117)+1,10),FIND("/",MID(K117,FIND("/",K117)+1,10))-1))&gt;=1,VALUE(LEFT(MID(K117,FIND("/",K117)+1,10),FIND("/",MID(K117,FIND("/",K117)+1,10))-1))&lt;=12,VALUE(LEFT(K117,FIND("/",K117)-1))&lt;=DAY(EOMONTH(DATE(VALUE(MID(MID(K117,FIND("/",K117)+1,10),FIND("/",MID(K117,FIND("/",K117)+1,10))+1,4)),VALUE(LEFT(MID(K117,FIND("/",K117)+1,10),FIND("/",MID(K117,FIND("/",K117)+1,10))-1)),1),0))),0,1),1)=1,"Date; ","")&amp;IF(IFERROR(IF(M117&gt;=0,0,1),1)=1,"Amount; ","")&amp;IF(IFERROR(IF(ISNUMBER(MATCH(N117,Lists!$B$2:$B$7,0)),0,1),1)=1,"Payment; ","")))</f>
        <v/>
      </c>
      <c r="R117" s="3" t="str">
        <f aca="false">IF(D117="","",IF(COUNTIFS($D$2:$D$701,D117,$E$2:$E$701,E117)&gt;1,"DUPLICATE","Unique"))</f>
        <v>Unique</v>
      </c>
    </row>
    <row r="118" customFormat="false" ht="15" hidden="false" customHeight="false" outlineLevel="0" collapsed="false">
      <c r="A118" s="3" t="n">
        <v>117</v>
      </c>
      <c r="B118" s="3" t="n">
        <v>3</v>
      </c>
      <c r="C118" s="3" t="s">
        <v>949</v>
      </c>
      <c r="D118" s="3" t="s">
        <v>950</v>
      </c>
      <c r="E118" s="3" t="s">
        <v>951</v>
      </c>
      <c r="F118" s="3" t="s">
        <v>952</v>
      </c>
      <c r="G118" s="3" t="s">
        <v>953</v>
      </c>
      <c r="H118" s="3" t="s">
        <v>310</v>
      </c>
      <c r="I118" s="3" t="s">
        <v>69</v>
      </c>
      <c r="J118" s="3" t="s">
        <v>954</v>
      </c>
      <c r="K118" s="3" t="s">
        <v>955</v>
      </c>
      <c r="L118" s="3" t="s">
        <v>60</v>
      </c>
      <c r="M118" s="3" t="n">
        <v>3803.59</v>
      </c>
      <c r="N118" s="3" t="s">
        <v>52</v>
      </c>
      <c r="O118" s="3" t="n">
        <f aca="false">IFERROR(LEN(C118&amp;D118&amp;E118&amp;F118&amp;G118&amp;H118&amp;I118&amp;J118&amp;K118&amp;L118&amp;M118&amp;N118)/5,0)</f>
        <v>29.6</v>
      </c>
      <c r="P118" s="3" t="str">
        <f aca="false">IF(OR(D118="",C118=""),"",IF((IFERROR(IF(AND(TRIM(D118)=D118,LEN(D118)&gt;0),0,1),1)+IFERROR(IF(AND(LEN(E118)=10,ISNUMBER(VALUE(E118))),0,1),1)+IFERROR(IF(AND(ISNUMBER(SEARCH("@",F118)),ISNUMBER(SEARCH(".",F118))),0,1),1)+IFERROR(IF(AND(LEN(J118)=6,ISNUMBER(VALUE(J118))),0,1),1)+IFERROR(IF(ISNUMBER(MATCH(TRIM(I118),Lists!$A$2:$A$20,0)),0,1),1)+IFERROR(IF(AND(LEN(K118)=10,VALUE(LEFT(K118,FIND("/",K118)-1))&gt;=1,VALUE(LEFT(K118,FIND("/",K118)-1))&lt;=31,VALUE(LEFT(MID(K118,FIND("/",K118)+1,10),FIND("/",MID(K118,FIND("/",K118)+1,10))-1))&gt;=1,VALUE(LEFT(MID(K118,FIND("/",K118)+1,10),FIND("/",MID(K118,FIND("/",K118)+1,10))-1))&lt;=12,VALUE(LEFT(K118,FIND("/",K118)-1))&lt;=DAY(EOMONTH(DATE(VALUE(MID(MID(K118,FIND("/",K118)+1,10),FIND("/",MID(K118,FIND("/",K118)+1,10))+1,4)),VALUE(LEFT(MID(K118,FIND("/",K118)+1,10),FIND("/",MID(K118,FIND("/",K118)+1,10))-1)),1),0))),0,1),1)+IFERROR(IF(M118&gt;=0,0,1),1)+IFERROR(IF(ISNUMBER(MATCH(N118,Lists!$B$2:$B$7,0)),0,1),1))=0,"OK","ERROR"))</f>
        <v>OK</v>
      </c>
      <c r="Q118" s="3" t="str">
        <f aca="false">IF(D118="","",TRIM(IF(IFERROR(IF(AND(TRIM(D118)=D118,LEN(D118)&gt;0),0,1),1)=1,"Name; ","")&amp;IF(IFERROR(IF(AND(LEN(E118)=10,ISNUMBER(VALUE(E118))),0,1),1)=1,"Phone; ","")&amp;IF(IFERROR(IF(AND(ISNUMBER(SEARCH("@",F118)),ISNUMBER(SEARCH(".",F118))),0,1),1)=1,"Email; ","")&amp;IF(IFERROR(IF(AND(LEN(J118)=6,ISNUMBER(VALUE(J118))),0,1),1)=1,"Pincode; ","")&amp;IF(IFERROR(IF(ISNUMBER(MATCH(TRIM(I118),Lists!$A$2:$A$20,0)),0,1),1)=1,"State; ","")&amp;IF(IFERROR(IF(AND(LEN(K118)=10,VALUE(LEFT(K118,FIND("/",K118)-1))&gt;=1,VALUE(LEFT(K118,FIND("/",K118)-1))&lt;=31,VALUE(LEFT(MID(K118,FIND("/",K118)+1,10),FIND("/",MID(K118,FIND("/",K118)+1,10))-1))&gt;=1,VALUE(LEFT(MID(K118,FIND("/",K118)+1,10),FIND("/",MID(K118,FIND("/",K118)+1,10))-1))&lt;=12,VALUE(LEFT(K118,FIND("/",K118)-1))&lt;=DAY(EOMONTH(DATE(VALUE(MID(MID(K118,FIND("/",K118)+1,10),FIND("/",MID(K118,FIND("/",K118)+1,10))+1,4)),VALUE(LEFT(MID(K118,FIND("/",K118)+1,10),FIND("/",MID(K118,FIND("/",K118)+1,10))-1)),1),0))),0,1),1)=1,"Date; ","")&amp;IF(IFERROR(IF(M118&gt;=0,0,1),1)=1,"Amount; ","")&amp;IF(IFERROR(IF(ISNUMBER(MATCH(N118,Lists!$B$2:$B$7,0)),0,1),1)=1,"Payment; ","")))</f>
        <v/>
      </c>
      <c r="R118" s="3" t="str">
        <f aca="false">IF(D118="","",IF(COUNTIFS($D$2:$D$701,D118,$E$2:$E$701,E118)&gt;1,"DUPLICATE","Unique"))</f>
        <v>Unique</v>
      </c>
    </row>
    <row r="119" customFormat="false" ht="15" hidden="false" customHeight="false" outlineLevel="0" collapsed="false">
      <c r="A119" s="3" t="n">
        <v>118</v>
      </c>
      <c r="B119" s="3" t="n">
        <v>3</v>
      </c>
      <c r="C119" s="3" t="s">
        <v>956</v>
      </c>
      <c r="D119" s="3" t="s">
        <v>957</v>
      </c>
      <c r="E119" s="3" t="s">
        <v>958</v>
      </c>
      <c r="F119" s="3" t="s">
        <v>959</v>
      </c>
      <c r="G119" s="3" t="s">
        <v>960</v>
      </c>
      <c r="H119" s="3" t="s">
        <v>310</v>
      </c>
      <c r="I119" s="3" t="s">
        <v>69</v>
      </c>
      <c r="J119" s="3" t="s">
        <v>961</v>
      </c>
      <c r="K119" s="3" t="s">
        <v>962</v>
      </c>
      <c r="L119" s="3" t="s">
        <v>53</v>
      </c>
      <c r="M119" s="3" t="n">
        <v>7225.83</v>
      </c>
      <c r="N119" s="3" t="s">
        <v>46</v>
      </c>
      <c r="O119" s="3" t="n">
        <f aca="false">IFERROR(LEN(C119&amp;D119&amp;E119&amp;F119&amp;G119&amp;H119&amp;I119&amp;J119&amp;K119&amp;L119&amp;M119&amp;N119)/5,0)</f>
        <v>30.6</v>
      </c>
      <c r="P119" s="3" t="str">
        <f aca="false">IF(OR(D119="",C119=""),"",IF((IFERROR(IF(AND(TRIM(D119)=D119,LEN(D119)&gt;0),0,1),1)+IFERROR(IF(AND(LEN(E119)=10,ISNUMBER(VALUE(E119))),0,1),1)+IFERROR(IF(AND(ISNUMBER(SEARCH("@",F119)),ISNUMBER(SEARCH(".",F119))),0,1),1)+IFERROR(IF(AND(LEN(J119)=6,ISNUMBER(VALUE(J119))),0,1),1)+IFERROR(IF(ISNUMBER(MATCH(TRIM(I119),Lists!$A$2:$A$20,0)),0,1),1)+IFERROR(IF(AND(LEN(K119)=10,VALUE(LEFT(K119,FIND("/",K119)-1))&gt;=1,VALUE(LEFT(K119,FIND("/",K119)-1))&lt;=31,VALUE(LEFT(MID(K119,FIND("/",K119)+1,10),FIND("/",MID(K119,FIND("/",K119)+1,10))-1))&gt;=1,VALUE(LEFT(MID(K119,FIND("/",K119)+1,10),FIND("/",MID(K119,FIND("/",K119)+1,10))-1))&lt;=12,VALUE(LEFT(K119,FIND("/",K119)-1))&lt;=DAY(EOMONTH(DATE(VALUE(MID(MID(K119,FIND("/",K119)+1,10),FIND("/",MID(K119,FIND("/",K119)+1,10))+1,4)),VALUE(LEFT(MID(K119,FIND("/",K119)+1,10),FIND("/",MID(K119,FIND("/",K119)+1,10))-1)),1),0))),0,1),1)+IFERROR(IF(M119&gt;=0,0,1),1)+IFERROR(IF(ISNUMBER(MATCH(N119,Lists!$B$2:$B$7,0)),0,1),1))=0,"OK","ERROR"))</f>
        <v>OK</v>
      </c>
      <c r="Q119" s="3" t="str">
        <f aca="false">IF(D119="","",TRIM(IF(IFERROR(IF(AND(TRIM(D119)=D119,LEN(D119)&gt;0),0,1),1)=1,"Name; ","")&amp;IF(IFERROR(IF(AND(LEN(E119)=10,ISNUMBER(VALUE(E119))),0,1),1)=1,"Phone; ","")&amp;IF(IFERROR(IF(AND(ISNUMBER(SEARCH("@",F119)),ISNUMBER(SEARCH(".",F119))),0,1),1)=1,"Email; ","")&amp;IF(IFERROR(IF(AND(LEN(J119)=6,ISNUMBER(VALUE(J119))),0,1),1)=1,"Pincode; ","")&amp;IF(IFERROR(IF(ISNUMBER(MATCH(TRIM(I119),Lists!$A$2:$A$20,0)),0,1),1)=1,"State; ","")&amp;IF(IFERROR(IF(AND(LEN(K119)=10,VALUE(LEFT(K119,FIND("/",K119)-1))&gt;=1,VALUE(LEFT(K119,FIND("/",K119)-1))&lt;=31,VALUE(LEFT(MID(K119,FIND("/",K119)+1,10),FIND("/",MID(K119,FIND("/",K119)+1,10))-1))&gt;=1,VALUE(LEFT(MID(K119,FIND("/",K119)+1,10),FIND("/",MID(K119,FIND("/",K119)+1,10))-1))&lt;=12,VALUE(LEFT(K119,FIND("/",K119)-1))&lt;=DAY(EOMONTH(DATE(VALUE(MID(MID(K119,FIND("/",K119)+1,10),FIND("/",MID(K119,FIND("/",K119)+1,10))+1,4)),VALUE(LEFT(MID(K119,FIND("/",K119)+1,10),FIND("/",MID(K119,FIND("/",K119)+1,10))-1)),1),0))),0,1),1)=1,"Date; ","")&amp;IF(IFERROR(IF(M119&gt;=0,0,1),1)=1,"Amount; ","")&amp;IF(IFERROR(IF(ISNUMBER(MATCH(N119,Lists!$B$2:$B$7,0)),0,1),1)=1,"Payment; ","")))</f>
        <v/>
      </c>
      <c r="R119" s="3" t="str">
        <f aca="false">IF(D119="","",IF(COUNTIFS($D$2:$D$701,D119,$E$2:$E$701,E119)&gt;1,"DUPLICATE","Unique"))</f>
        <v>Unique</v>
      </c>
    </row>
    <row r="120" customFormat="false" ht="15" hidden="false" customHeight="false" outlineLevel="0" collapsed="false">
      <c r="A120" s="3" t="n">
        <v>119</v>
      </c>
      <c r="B120" s="3" t="n">
        <v>3</v>
      </c>
      <c r="C120" s="3" t="s">
        <v>963</v>
      </c>
      <c r="D120" s="3" t="s">
        <v>964</v>
      </c>
      <c r="E120" s="3" t="s">
        <v>965</v>
      </c>
      <c r="F120" s="3" t="s">
        <v>966</v>
      </c>
      <c r="G120" s="3" t="s">
        <v>967</v>
      </c>
      <c r="H120" s="3" t="s">
        <v>102</v>
      </c>
      <c r="I120" s="3" t="s">
        <v>48</v>
      </c>
      <c r="J120" s="3" t="s">
        <v>968</v>
      </c>
      <c r="K120" s="3" t="s">
        <v>969</v>
      </c>
      <c r="L120" s="3" t="s">
        <v>58</v>
      </c>
      <c r="M120" s="3" t="n">
        <v>6326.23</v>
      </c>
      <c r="N120" s="3" t="s">
        <v>40</v>
      </c>
      <c r="O120" s="3" t="n">
        <f aca="false">IFERROR(LEN(C120&amp;D120&amp;E120&amp;F120&amp;G120&amp;H120&amp;I120&amp;J120&amp;K120&amp;L120&amp;M120&amp;N120)/5,0)</f>
        <v>22.8</v>
      </c>
      <c r="P120" s="3" t="str">
        <f aca="false">IF(OR(D120="",C120=""),"",IF((IFERROR(IF(AND(TRIM(D120)=D120,LEN(D120)&gt;0),0,1),1)+IFERROR(IF(AND(LEN(E120)=10,ISNUMBER(VALUE(E120))),0,1),1)+IFERROR(IF(AND(ISNUMBER(SEARCH("@",F120)),ISNUMBER(SEARCH(".",F120))),0,1),1)+IFERROR(IF(AND(LEN(J120)=6,ISNUMBER(VALUE(J120))),0,1),1)+IFERROR(IF(ISNUMBER(MATCH(TRIM(I120),Lists!$A$2:$A$20,0)),0,1),1)+IFERROR(IF(AND(LEN(K120)=10,VALUE(LEFT(K120,FIND("/",K120)-1))&gt;=1,VALUE(LEFT(K120,FIND("/",K120)-1))&lt;=31,VALUE(LEFT(MID(K120,FIND("/",K120)+1,10),FIND("/",MID(K120,FIND("/",K120)+1,10))-1))&gt;=1,VALUE(LEFT(MID(K120,FIND("/",K120)+1,10),FIND("/",MID(K120,FIND("/",K120)+1,10))-1))&lt;=12,VALUE(LEFT(K120,FIND("/",K120)-1))&lt;=DAY(EOMONTH(DATE(VALUE(MID(MID(K120,FIND("/",K120)+1,10),FIND("/",MID(K120,FIND("/",K120)+1,10))+1,4)),VALUE(LEFT(MID(K120,FIND("/",K120)+1,10),FIND("/",MID(K120,FIND("/",K120)+1,10))-1)),1),0))),0,1),1)+IFERROR(IF(M120&gt;=0,0,1),1)+IFERROR(IF(ISNUMBER(MATCH(N120,Lists!$B$2:$B$7,0)),0,1),1))=0,"OK","ERROR"))</f>
        <v>ERROR</v>
      </c>
      <c r="Q120" s="3" t="str">
        <f aca="false">IF(D120="","",TRIM(IF(IFERROR(IF(AND(TRIM(D120)=D120,LEN(D120)&gt;0),0,1),1)=1,"Name; ","")&amp;IF(IFERROR(IF(AND(LEN(E120)=10,ISNUMBER(VALUE(E120))),0,1),1)=1,"Phone; ","")&amp;IF(IFERROR(IF(AND(ISNUMBER(SEARCH("@",F120)),ISNUMBER(SEARCH(".",F120))),0,1),1)=1,"Email; ","")&amp;IF(IFERROR(IF(AND(LEN(J120)=6,ISNUMBER(VALUE(J120))),0,1),1)=1,"Pincode; ","")&amp;IF(IFERROR(IF(ISNUMBER(MATCH(TRIM(I120),Lists!$A$2:$A$20,0)),0,1),1)=1,"State; ","")&amp;IF(IFERROR(IF(AND(LEN(K120)=10,VALUE(LEFT(K120,FIND("/",K120)-1))&gt;=1,VALUE(LEFT(K120,FIND("/",K120)-1))&lt;=31,VALUE(LEFT(MID(K120,FIND("/",K120)+1,10),FIND("/",MID(K120,FIND("/",K120)+1,10))-1))&gt;=1,VALUE(LEFT(MID(K120,FIND("/",K120)+1,10),FIND("/",MID(K120,FIND("/",K120)+1,10))-1))&lt;=12,VALUE(LEFT(K120,FIND("/",K120)-1))&lt;=DAY(EOMONTH(DATE(VALUE(MID(MID(K120,FIND("/",K120)+1,10),FIND("/",MID(K120,FIND("/",K120)+1,10))+1,4)),VALUE(LEFT(MID(K120,FIND("/",K120)+1,10),FIND("/",MID(K120,FIND("/",K120)+1,10))-1)),1),0))),0,1),1)=1,"Date; ","")&amp;IF(IFERROR(IF(M120&gt;=0,0,1),1)=1,"Amount; ","")&amp;IF(IFERROR(IF(ISNUMBER(MATCH(N120,Lists!$B$2:$B$7,0)),0,1),1)=1,"Payment; ","")))</f>
        <v>Email;</v>
      </c>
      <c r="R120" s="3" t="str">
        <f aca="false">IF(D120="","",IF(COUNTIFS($D$2:$D$701,D120,$E$2:$E$701,E120)&gt;1,"DUPLICATE","Unique"))</f>
        <v>Unique</v>
      </c>
    </row>
    <row r="121" customFormat="false" ht="15" hidden="false" customHeight="false" outlineLevel="0" collapsed="false">
      <c r="A121" s="3" t="n">
        <v>120</v>
      </c>
      <c r="B121" s="3" t="n">
        <v>3</v>
      </c>
      <c r="C121" s="3" t="s">
        <v>970</v>
      </c>
      <c r="D121" s="3" t="s">
        <v>971</v>
      </c>
      <c r="E121" s="3" t="s">
        <v>972</v>
      </c>
      <c r="F121" s="3" t="s">
        <v>973</v>
      </c>
      <c r="G121" s="3" t="s">
        <v>974</v>
      </c>
      <c r="H121" s="3" t="s">
        <v>197</v>
      </c>
      <c r="I121" s="3" t="s">
        <v>77</v>
      </c>
      <c r="J121" s="3" t="s">
        <v>975</v>
      </c>
      <c r="K121" s="3" t="s">
        <v>976</v>
      </c>
      <c r="L121" s="3" t="s">
        <v>53</v>
      </c>
      <c r="M121" s="3" t="n">
        <v>15117.71</v>
      </c>
      <c r="N121" s="3" t="s">
        <v>55</v>
      </c>
      <c r="O121" s="3" t="n">
        <f aca="false">IFERROR(LEN(C121&amp;D121&amp;E121&amp;F121&amp;G121&amp;H121&amp;I121&amp;J121&amp;K121&amp;L121&amp;M121&amp;N121)/5,0)</f>
        <v>30.2</v>
      </c>
      <c r="P121" s="3" t="str">
        <f aca="false">IF(OR(D121="",C121=""),"",IF((IFERROR(IF(AND(TRIM(D121)=D121,LEN(D121)&gt;0),0,1),1)+IFERROR(IF(AND(LEN(E121)=10,ISNUMBER(VALUE(E121))),0,1),1)+IFERROR(IF(AND(ISNUMBER(SEARCH("@",F121)),ISNUMBER(SEARCH(".",F121))),0,1),1)+IFERROR(IF(AND(LEN(J121)=6,ISNUMBER(VALUE(J121))),0,1),1)+IFERROR(IF(ISNUMBER(MATCH(TRIM(I121),Lists!$A$2:$A$20,0)),0,1),1)+IFERROR(IF(AND(LEN(K121)=10,VALUE(LEFT(K121,FIND("/",K121)-1))&gt;=1,VALUE(LEFT(K121,FIND("/",K121)-1))&lt;=31,VALUE(LEFT(MID(K121,FIND("/",K121)+1,10),FIND("/",MID(K121,FIND("/",K121)+1,10))-1))&gt;=1,VALUE(LEFT(MID(K121,FIND("/",K121)+1,10),FIND("/",MID(K121,FIND("/",K121)+1,10))-1))&lt;=12,VALUE(LEFT(K121,FIND("/",K121)-1))&lt;=DAY(EOMONTH(DATE(VALUE(MID(MID(K121,FIND("/",K121)+1,10),FIND("/",MID(K121,FIND("/",K121)+1,10))+1,4)),VALUE(LEFT(MID(K121,FIND("/",K121)+1,10),FIND("/",MID(K121,FIND("/",K121)+1,10))-1)),1),0))),0,1),1)+IFERROR(IF(M121&gt;=0,0,1),1)+IFERROR(IF(ISNUMBER(MATCH(N121,Lists!$B$2:$B$7,0)),0,1),1))=0,"OK","ERROR"))</f>
        <v>OK</v>
      </c>
      <c r="Q121" s="3" t="str">
        <f aca="false">IF(D121="","",TRIM(IF(IFERROR(IF(AND(TRIM(D121)=D121,LEN(D121)&gt;0),0,1),1)=1,"Name; ","")&amp;IF(IFERROR(IF(AND(LEN(E121)=10,ISNUMBER(VALUE(E121))),0,1),1)=1,"Phone; ","")&amp;IF(IFERROR(IF(AND(ISNUMBER(SEARCH("@",F121)),ISNUMBER(SEARCH(".",F121))),0,1),1)=1,"Email; ","")&amp;IF(IFERROR(IF(AND(LEN(J121)=6,ISNUMBER(VALUE(J121))),0,1),1)=1,"Pincode; ","")&amp;IF(IFERROR(IF(ISNUMBER(MATCH(TRIM(I121),Lists!$A$2:$A$20,0)),0,1),1)=1,"State; ","")&amp;IF(IFERROR(IF(AND(LEN(K121)=10,VALUE(LEFT(K121,FIND("/",K121)-1))&gt;=1,VALUE(LEFT(K121,FIND("/",K121)-1))&lt;=31,VALUE(LEFT(MID(K121,FIND("/",K121)+1,10),FIND("/",MID(K121,FIND("/",K121)+1,10))-1))&gt;=1,VALUE(LEFT(MID(K121,FIND("/",K121)+1,10),FIND("/",MID(K121,FIND("/",K121)+1,10))-1))&lt;=12,VALUE(LEFT(K121,FIND("/",K121)-1))&lt;=DAY(EOMONTH(DATE(VALUE(MID(MID(K121,FIND("/",K121)+1,10),FIND("/",MID(K121,FIND("/",K121)+1,10))+1,4)),VALUE(LEFT(MID(K121,FIND("/",K121)+1,10),FIND("/",MID(K121,FIND("/",K121)+1,10))-1)),1),0))),0,1),1)=1,"Date; ","")&amp;IF(IFERROR(IF(M121&gt;=0,0,1),1)=1,"Amount; ","")&amp;IF(IFERROR(IF(ISNUMBER(MATCH(N121,Lists!$B$2:$B$7,0)),0,1),1)=1,"Payment; ","")))</f>
        <v/>
      </c>
      <c r="R121" s="3" t="str">
        <f aca="false">IF(D121="","",IF(COUNTIFS($D$2:$D$701,D121,$E$2:$E$701,E121)&gt;1,"DUPLICATE","Unique"))</f>
        <v>Unique</v>
      </c>
    </row>
    <row r="122" customFormat="false" ht="15" hidden="false" customHeight="false" outlineLevel="0" collapsed="false">
      <c r="A122" s="3" t="n">
        <v>121</v>
      </c>
      <c r="B122" s="3" t="n">
        <v>3</v>
      </c>
      <c r="C122" s="3" t="s">
        <v>977</v>
      </c>
      <c r="D122" s="3" t="s">
        <v>978</v>
      </c>
      <c r="E122" s="3" t="s">
        <v>979</v>
      </c>
      <c r="F122" s="3" t="s">
        <v>980</v>
      </c>
      <c r="G122" s="3" t="s">
        <v>981</v>
      </c>
      <c r="H122" s="3" t="s">
        <v>819</v>
      </c>
      <c r="I122" s="3" t="s">
        <v>75</v>
      </c>
      <c r="J122" s="3" t="s">
        <v>982</v>
      </c>
      <c r="K122" s="3" t="s">
        <v>983</v>
      </c>
      <c r="L122" s="3" t="s">
        <v>56</v>
      </c>
      <c r="M122" s="3" t="n">
        <v>3005.67</v>
      </c>
      <c r="N122" s="3" t="s">
        <v>49</v>
      </c>
      <c r="O122" s="3" t="n">
        <f aca="false">IFERROR(LEN(C122&amp;D122&amp;E122&amp;F122&amp;G122&amp;H122&amp;I122&amp;J122&amp;K122&amp;L122&amp;M122&amp;N122)/5,0)</f>
        <v>25</v>
      </c>
      <c r="P122" s="3" t="str">
        <f aca="false">IF(OR(D122="",C122=""),"",IF((IFERROR(IF(AND(TRIM(D122)=D122,LEN(D122)&gt;0),0,1),1)+IFERROR(IF(AND(LEN(E122)=10,ISNUMBER(VALUE(E122))),0,1),1)+IFERROR(IF(AND(ISNUMBER(SEARCH("@",F122)),ISNUMBER(SEARCH(".",F122))),0,1),1)+IFERROR(IF(AND(LEN(J122)=6,ISNUMBER(VALUE(J122))),0,1),1)+IFERROR(IF(ISNUMBER(MATCH(TRIM(I122),Lists!$A$2:$A$20,0)),0,1),1)+IFERROR(IF(AND(LEN(K122)=10,VALUE(LEFT(K122,FIND("/",K122)-1))&gt;=1,VALUE(LEFT(K122,FIND("/",K122)-1))&lt;=31,VALUE(LEFT(MID(K122,FIND("/",K122)+1,10),FIND("/",MID(K122,FIND("/",K122)+1,10))-1))&gt;=1,VALUE(LEFT(MID(K122,FIND("/",K122)+1,10),FIND("/",MID(K122,FIND("/",K122)+1,10))-1))&lt;=12,VALUE(LEFT(K122,FIND("/",K122)-1))&lt;=DAY(EOMONTH(DATE(VALUE(MID(MID(K122,FIND("/",K122)+1,10),FIND("/",MID(K122,FIND("/",K122)+1,10))+1,4)),VALUE(LEFT(MID(K122,FIND("/",K122)+1,10),FIND("/",MID(K122,FIND("/",K122)+1,10))-1)),1),0))),0,1),1)+IFERROR(IF(M122&gt;=0,0,1),1)+IFERROR(IF(ISNUMBER(MATCH(N122,Lists!$B$2:$B$7,0)),0,1),1))=0,"OK","ERROR"))</f>
        <v>OK</v>
      </c>
      <c r="Q122" s="3" t="str">
        <f aca="false">IF(D122="","",TRIM(IF(IFERROR(IF(AND(TRIM(D122)=D122,LEN(D122)&gt;0),0,1),1)=1,"Name; ","")&amp;IF(IFERROR(IF(AND(LEN(E122)=10,ISNUMBER(VALUE(E122))),0,1),1)=1,"Phone; ","")&amp;IF(IFERROR(IF(AND(ISNUMBER(SEARCH("@",F122)),ISNUMBER(SEARCH(".",F122))),0,1),1)=1,"Email; ","")&amp;IF(IFERROR(IF(AND(LEN(J122)=6,ISNUMBER(VALUE(J122))),0,1),1)=1,"Pincode; ","")&amp;IF(IFERROR(IF(ISNUMBER(MATCH(TRIM(I122),Lists!$A$2:$A$20,0)),0,1),1)=1,"State; ","")&amp;IF(IFERROR(IF(AND(LEN(K122)=10,VALUE(LEFT(K122,FIND("/",K122)-1))&gt;=1,VALUE(LEFT(K122,FIND("/",K122)-1))&lt;=31,VALUE(LEFT(MID(K122,FIND("/",K122)+1,10),FIND("/",MID(K122,FIND("/",K122)+1,10))-1))&gt;=1,VALUE(LEFT(MID(K122,FIND("/",K122)+1,10),FIND("/",MID(K122,FIND("/",K122)+1,10))-1))&lt;=12,VALUE(LEFT(K122,FIND("/",K122)-1))&lt;=DAY(EOMONTH(DATE(VALUE(MID(MID(K122,FIND("/",K122)+1,10),FIND("/",MID(K122,FIND("/",K122)+1,10))+1,4)),VALUE(LEFT(MID(K122,FIND("/",K122)+1,10),FIND("/",MID(K122,FIND("/",K122)+1,10))-1)),1),0))),0,1),1)=1,"Date; ","")&amp;IF(IFERROR(IF(M122&gt;=0,0,1),1)=1,"Amount; ","")&amp;IF(IFERROR(IF(ISNUMBER(MATCH(N122,Lists!$B$2:$B$7,0)),0,1),1)=1,"Payment; ","")))</f>
        <v/>
      </c>
      <c r="R122" s="3" t="str">
        <f aca="false">IF(D122="","",IF(COUNTIFS($D$2:$D$701,D122,$E$2:$E$701,E122)&gt;1,"DUPLICATE","Unique"))</f>
        <v>Unique</v>
      </c>
    </row>
    <row r="123" customFormat="false" ht="15" hidden="false" customHeight="false" outlineLevel="0" collapsed="false">
      <c r="A123" s="3" t="n">
        <v>122</v>
      </c>
      <c r="B123" s="3" t="n">
        <v>3</v>
      </c>
      <c r="C123" s="3" t="s">
        <v>984</v>
      </c>
      <c r="D123" s="3" t="s">
        <v>985</v>
      </c>
      <c r="E123" s="3" t="s">
        <v>986</v>
      </c>
      <c r="F123" s="3" t="s">
        <v>987</v>
      </c>
      <c r="G123" s="3" t="s">
        <v>988</v>
      </c>
      <c r="H123" s="3" t="s">
        <v>250</v>
      </c>
      <c r="I123" s="3" t="s">
        <v>65</v>
      </c>
      <c r="J123" s="3" t="s">
        <v>989</v>
      </c>
      <c r="K123" s="3" t="s">
        <v>990</v>
      </c>
      <c r="L123" s="3" t="s">
        <v>68</v>
      </c>
      <c r="M123" s="3" t="n">
        <v>3511.44</v>
      </c>
      <c r="N123" s="3" t="s">
        <v>46</v>
      </c>
      <c r="O123" s="3" t="n">
        <f aca="false">IFERROR(LEN(C123&amp;D123&amp;E123&amp;F123&amp;G123&amp;H123&amp;I123&amp;J123&amp;K123&amp;L123&amp;M123&amp;N123)/5,0)</f>
        <v>27.6</v>
      </c>
      <c r="P123" s="3" t="str">
        <f aca="false">IF(OR(D123="",C123=""),"",IF((IFERROR(IF(AND(TRIM(D123)=D123,LEN(D123)&gt;0),0,1),1)+IFERROR(IF(AND(LEN(E123)=10,ISNUMBER(VALUE(E123))),0,1),1)+IFERROR(IF(AND(ISNUMBER(SEARCH("@",F123)),ISNUMBER(SEARCH(".",F123))),0,1),1)+IFERROR(IF(AND(LEN(J123)=6,ISNUMBER(VALUE(J123))),0,1),1)+IFERROR(IF(ISNUMBER(MATCH(TRIM(I123),Lists!$A$2:$A$20,0)),0,1),1)+IFERROR(IF(AND(LEN(K123)=10,VALUE(LEFT(K123,FIND("/",K123)-1))&gt;=1,VALUE(LEFT(K123,FIND("/",K123)-1))&lt;=31,VALUE(LEFT(MID(K123,FIND("/",K123)+1,10),FIND("/",MID(K123,FIND("/",K123)+1,10))-1))&gt;=1,VALUE(LEFT(MID(K123,FIND("/",K123)+1,10),FIND("/",MID(K123,FIND("/",K123)+1,10))-1))&lt;=12,VALUE(LEFT(K123,FIND("/",K123)-1))&lt;=DAY(EOMONTH(DATE(VALUE(MID(MID(K123,FIND("/",K123)+1,10),FIND("/",MID(K123,FIND("/",K123)+1,10))+1,4)),VALUE(LEFT(MID(K123,FIND("/",K123)+1,10),FIND("/",MID(K123,FIND("/",K123)+1,10))-1)),1),0))),0,1),1)+IFERROR(IF(M123&gt;=0,0,1),1)+IFERROR(IF(ISNUMBER(MATCH(N123,Lists!$B$2:$B$7,0)),0,1),1))=0,"OK","ERROR"))</f>
        <v>OK</v>
      </c>
      <c r="Q123" s="3" t="str">
        <f aca="false">IF(D123="","",TRIM(IF(IFERROR(IF(AND(TRIM(D123)=D123,LEN(D123)&gt;0),0,1),1)=1,"Name; ","")&amp;IF(IFERROR(IF(AND(LEN(E123)=10,ISNUMBER(VALUE(E123))),0,1),1)=1,"Phone; ","")&amp;IF(IFERROR(IF(AND(ISNUMBER(SEARCH("@",F123)),ISNUMBER(SEARCH(".",F123))),0,1),1)=1,"Email; ","")&amp;IF(IFERROR(IF(AND(LEN(J123)=6,ISNUMBER(VALUE(J123))),0,1),1)=1,"Pincode; ","")&amp;IF(IFERROR(IF(ISNUMBER(MATCH(TRIM(I123),Lists!$A$2:$A$20,0)),0,1),1)=1,"State; ","")&amp;IF(IFERROR(IF(AND(LEN(K123)=10,VALUE(LEFT(K123,FIND("/",K123)-1))&gt;=1,VALUE(LEFT(K123,FIND("/",K123)-1))&lt;=31,VALUE(LEFT(MID(K123,FIND("/",K123)+1,10),FIND("/",MID(K123,FIND("/",K123)+1,10))-1))&gt;=1,VALUE(LEFT(MID(K123,FIND("/",K123)+1,10),FIND("/",MID(K123,FIND("/",K123)+1,10))-1))&lt;=12,VALUE(LEFT(K123,FIND("/",K123)-1))&lt;=DAY(EOMONTH(DATE(VALUE(MID(MID(K123,FIND("/",K123)+1,10),FIND("/",MID(K123,FIND("/",K123)+1,10))+1,4)),VALUE(LEFT(MID(K123,FIND("/",K123)+1,10),FIND("/",MID(K123,FIND("/",K123)+1,10))-1)),1),0))),0,1),1)=1,"Date; ","")&amp;IF(IFERROR(IF(M123&gt;=0,0,1),1)=1,"Amount; ","")&amp;IF(IFERROR(IF(ISNUMBER(MATCH(N123,Lists!$B$2:$B$7,0)),0,1),1)=1,"Payment; ","")))</f>
        <v/>
      </c>
      <c r="R123" s="3" t="str">
        <f aca="false">IF(D123="","",IF(COUNTIFS($D$2:$D$701,D123,$E$2:$E$701,E123)&gt;1,"DUPLICATE","Unique"))</f>
        <v>Unique</v>
      </c>
    </row>
    <row r="124" customFormat="false" ht="15" hidden="false" customHeight="false" outlineLevel="0" collapsed="false">
      <c r="A124" s="3" t="n">
        <v>123</v>
      </c>
      <c r="B124" s="3" t="n">
        <v>3</v>
      </c>
      <c r="C124" s="3" t="s">
        <v>991</v>
      </c>
      <c r="D124" s="3" t="s">
        <v>992</v>
      </c>
      <c r="E124" s="3" t="s">
        <v>993</v>
      </c>
      <c r="F124" s="3" t="s">
        <v>994</v>
      </c>
      <c r="G124" s="3" t="s">
        <v>995</v>
      </c>
      <c r="H124" s="3" t="s">
        <v>205</v>
      </c>
      <c r="I124" s="3" t="s">
        <v>45</v>
      </c>
      <c r="J124" s="3" t="s">
        <v>996</v>
      </c>
      <c r="K124" s="3" t="s">
        <v>997</v>
      </c>
      <c r="L124" s="3" t="s">
        <v>70</v>
      </c>
      <c r="M124" s="3" t="n">
        <v>15500.16</v>
      </c>
      <c r="N124" s="3" t="s">
        <v>55</v>
      </c>
      <c r="O124" s="3" t="n">
        <f aca="false">IFERROR(LEN(C124&amp;D124&amp;E124&amp;F124&amp;G124&amp;H124&amp;I124&amp;J124&amp;K124&amp;L124&amp;M124&amp;N124)/5,0)</f>
        <v>24.6</v>
      </c>
      <c r="P124" s="3" t="str">
        <f aca="false">IF(OR(D124="",C124=""),"",IF((IFERROR(IF(AND(TRIM(D124)=D124,LEN(D124)&gt;0),0,1),1)+IFERROR(IF(AND(LEN(E124)=10,ISNUMBER(VALUE(E124))),0,1),1)+IFERROR(IF(AND(ISNUMBER(SEARCH("@",F124)),ISNUMBER(SEARCH(".",F124))),0,1),1)+IFERROR(IF(AND(LEN(J124)=6,ISNUMBER(VALUE(J124))),0,1),1)+IFERROR(IF(ISNUMBER(MATCH(TRIM(I124),Lists!$A$2:$A$20,0)),0,1),1)+IFERROR(IF(AND(LEN(K124)=10,VALUE(LEFT(K124,FIND("/",K124)-1))&gt;=1,VALUE(LEFT(K124,FIND("/",K124)-1))&lt;=31,VALUE(LEFT(MID(K124,FIND("/",K124)+1,10),FIND("/",MID(K124,FIND("/",K124)+1,10))-1))&gt;=1,VALUE(LEFT(MID(K124,FIND("/",K124)+1,10),FIND("/",MID(K124,FIND("/",K124)+1,10))-1))&lt;=12,VALUE(LEFT(K124,FIND("/",K124)-1))&lt;=DAY(EOMONTH(DATE(VALUE(MID(MID(K124,FIND("/",K124)+1,10),FIND("/",MID(K124,FIND("/",K124)+1,10))+1,4)),VALUE(LEFT(MID(K124,FIND("/",K124)+1,10),FIND("/",MID(K124,FIND("/",K124)+1,10))-1)),1),0))),0,1),1)+IFERROR(IF(M124&gt;=0,0,1),1)+IFERROR(IF(ISNUMBER(MATCH(N124,Lists!$B$2:$B$7,0)),0,1),1))=0,"OK","ERROR"))</f>
        <v>OK</v>
      </c>
      <c r="Q124" s="3" t="str">
        <f aca="false">IF(D124="","",TRIM(IF(IFERROR(IF(AND(TRIM(D124)=D124,LEN(D124)&gt;0),0,1),1)=1,"Name; ","")&amp;IF(IFERROR(IF(AND(LEN(E124)=10,ISNUMBER(VALUE(E124))),0,1),1)=1,"Phone; ","")&amp;IF(IFERROR(IF(AND(ISNUMBER(SEARCH("@",F124)),ISNUMBER(SEARCH(".",F124))),0,1),1)=1,"Email; ","")&amp;IF(IFERROR(IF(AND(LEN(J124)=6,ISNUMBER(VALUE(J124))),0,1),1)=1,"Pincode; ","")&amp;IF(IFERROR(IF(ISNUMBER(MATCH(TRIM(I124),Lists!$A$2:$A$20,0)),0,1),1)=1,"State; ","")&amp;IF(IFERROR(IF(AND(LEN(K124)=10,VALUE(LEFT(K124,FIND("/",K124)-1))&gt;=1,VALUE(LEFT(K124,FIND("/",K124)-1))&lt;=31,VALUE(LEFT(MID(K124,FIND("/",K124)+1,10),FIND("/",MID(K124,FIND("/",K124)+1,10))-1))&gt;=1,VALUE(LEFT(MID(K124,FIND("/",K124)+1,10),FIND("/",MID(K124,FIND("/",K124)+1,10))-1))&lt;=12,VALUE(LEFT(K124,FIND("/",K124)-1))&lt;=DAY(EOMONTH(DATE(VALUE(MID(MID(K124,FIND("/",K124)+1,10),FIND("/",MID(K124,FIND("/",K124)+1,10))+1,4)),VALUE(LEFT(MID(K124,FIND("/",K124)+1,10),FIND("/",MID(K124,FIND("/",K124)+1,10))-1)),1),0))),0,1),1)=1,"Date; ","")&amp;IF(IFERROR(IF(M124&gt;=0,0,1),1)=1,"Amount; ","")&amp;IF(IFERROR(IF(ISNUMBER(MATCH(N124,Lists!$B$2:$B$7,0)),0,1),1)=1,"Payment; ","")))</f>
        <v/>
      </c>
      <c r="R124" s="3" t="str">
        <f aca="false">IF(D124="","",IF(COUNTIFS($D$2:$D$701,D124,$E$2:$E$701,E124)&gt;1,"DUPLICATE","Unique"))</f>
        <v>Unique</v>
      </c>
    </row>
    <row r="125" customFormat="false" ht="15" hidden="false" customHeight="false" outlineLevel="0" collapsed="false">
      <c r="A125" s="3" t="n">
        <v>124</v>
      </c>
      <c r="B125" s="3" t="n">
        <v>3</v>
      </c>
      <c r="C125" s="3" t="s">
        <v>998</v>
      </c>
      <c r="D125" s="3" t="s">
        <v>999</v>
      </c>
      <c r="E125" s="3" t="s">
        <v>1000</v>
      </c>
      <c r="F125" s="3" t="s">
        <v>1001</v>
      </c>
      <c r="G125" s="3" t="s">
        <v>1002</v>
      </c>
      <c r="H125" s="3" t="s">
        <v>197</v>
      </c>
      <c r="I125" s="3" t="s">
        <v>77</v>
      </c>
      <c r="J125" s="3" t="s">
        <v>1003</v>
      </c>
      <c r="K125" s="3" t="s">
        <v>1004</v>
      </c>
      <c r="L125" s="3" t="s">
        <v>68</v>
      </c>
      <c r="M125" s="3" t="n">
        <v>9287.72</v>
      </c>
      <c r="N125" s="3" t="s">
        <v>49</v>
      </c>
      <c r="O125" s="3" t="n">
        <f aca="false">IFERROR(LEN(C125&amp;D125&amp;E125&amp;F125&amp;G125&amp;H125&amp;I125&amp;J125&amp;K125&amp;L125&amp;M125&amp;N125)/5,0)</f>
        <v>28.8</v>
      </c>
      <c r="P125" s="3" t="str">
        <f aca="false">IF(OR(D125="",C125=""),"",IF((IFERROR(IF(AND(TRIM(D125)=D125,LEN(D125)&gt;0),0,1),1)+IFERROR(IF(AND(LEN(E125)=10,ISNUMBER(VALUE(E125))),0,1),1)+IFERROR(IF(AND(ISNUMBER(SEARCH("@",F125)),ISNUMBER(SEARCH(".",F125))),0,1),1)+IFERROR(IF(AND(LEN(J125)=6,ISNUMBER(VALUE(J125))),0,1),1)+IFERROR(IF(ISNUMBER(MATCH(TRIM(I125),Lists!$A$2:$A$20,0)),0,1),1)+IFERROR(IF(AND(LEN(K125)=10,VALUE(LEFT(K125,FIND("/",K125)-1))&gt;=1,VALUE(LEFT(K125,FIND("/",K125)-1))&lt;=31,VALUE(LEFT(MID(K125,FIND("/",K125)+1,10),FIND("/",MID(K125,FIND("/",K125)+1,10))-1))&gt;=1,VALUE(LEFT(MID(K125,FIND("/",K125)+1,10),FIND("/",MID(K125,FIND("/",K125)+1,10))-1))&lt;=12,VALUE(LEFT(K125,FIND("/",K125)-1))&lt;=DAY(EOMONTH(DATE(VALUE(MID(MID(K125,FIND("/",K125)+1,10),FIND("/",MID(K125,FIND("/",K125)+1,10))+1,4)),VALUE(LEFT(MID(K125,FIND("/",K125)+1,10),FIND("/",MID(K125,FIND("/",K125)+1,10))-1)),1),0))),0,1),1)+IFERROR(IF(M125&gt;=0,0,1),1)+IFERROR(IF(ISNUMBER(MATCH(N125,Lists!$B$2:$B$7,0)),0,1),1))=0,"OK","ERROR"))</f>
        <v>OK</v>
      </c>
      <c r="Q125" s="3" t="str">
        <f aca="false">IF(D125="","",TRIM(IF(IFERROR(IF(AND(TRIM(D125)=D125,LEN(D125)&gt;0),0,1),1)=1,"Name; ","")&amp;IF(IFERROR(IF(AND(LEN(E125)=10,ISNUMBER(VALUE(E125))),0,1),1)=1,"Phone; ","")&amp;IF(IFERROR(IF(AND(ISNUMBER(SEARCH("@",F125)),ISNUMBER(SEARCH(".",F125))),0,1),1)=1,"Email; ","")&amp;IF(IFERROR(IF(AND(LEN(J125)=6,ISNUMBER(VALUE(J125))),0,1),1)=1,"Pincode; ","")&amp;IF(IFERROR(IF(ISNUMBER(MATCH(TRIM(I125),Lists!$A$2:$A$20,0)),0,1),1)=1,"State; ","")&amp;IF(IFERROR(IF(AND(LEN(K125)=10,VALUE(LEFT(K125,FIND("/",K125)-1))&gt;=1,VALUE(LEFT(K125,FIND("/",K125)-1))&lt;=31,VALUE(LEFT(MID(K125,FIND("/",K125)+1,10),FIND("/",MID(K125,FIND("/",K125)+1,10))-1))&gt;=1,VALUE(LEFT(MID(K125,FIND("/",K125)+1,10),FIND("/",MID(K125,FIND("/",K125)+1,10))-1))&lt;=12,VALUE(LEFT(K125,FIND("/",K125)-1))&lt;=DAY(EOMONTH(DATE(VALUE(MID(MID(K125,FIND("/",K125)+1,10),FIND("/",MID(K125,FIND("/",K125)+1,10))+1,4)),VALUE(LEFT(MID(K125,FIND("/",K125)+1,10),FIND("/",MID(K125,FIND("/",K125)+1,10))-1)),1),0))),0,1),1)=1,"Date; ","")&amp;IF(IFERROR(IF(M125&gt;=0,0,1),1)=1,"Amount; ","")&amp;IF(IFERROR(IF(ISNUMBER(MATCH(N125,Lists!$B$2:$B$7,0)),0,1),1)=1,"Payment; ","")))</f>
        <v/>
      </c>
      <c r="R125" s="3" t="str">
        <f aca="false">IF(D125="","",IF(COUNTIFS($D$2:$D$701,D125,$E$2:$E$701,E125)&gt;1,"DUPLICATE","Unique"))</f>
        <v>Unique</v>
      </c>
    </row>
    <row r="126" customFormat="false" ht="15" hidden="false" customHeight="false" outlineLevel="0" collapsed="false">
      <c r="A126" s="3" t="n">
        <v>125</v>
      </c>
      <c r="B126" s="3" t="n">
        <v>3</v>
      </c>
      <c r="C126" s="3" t="s">
        <v>1005</v>
      </c>
      <c r="D126" s="3" t="s">
        <v>1006</v>
      </c>
      <c r="E126" s="3" t="s">
        <v>1007</v>
      </c>
      <c r="F126" s="3" t="s">
        <v>1008</v>
      </c>
      <c r="G126" s="3" t="s">
        <v>1009</v>
      </c>
      <c r="H126" s="3" t="s">
        <v>548</v>
      </c>
      <c r="I126" s="3" t="s">
        <v>67</v>
      </c>
      <c r="J126" s="3" t="s">
        <v>1010</v>
      </c>
      <c r="K126" s="3" t="s">
        <v>1011</v>
      </c>
      <c r="L126" s="3" t="s">
        <v>62</v>
      </c>
      <c r="M126" s="3" t="n">
        <v>7829.23</v>
      </c>
      <c r="N126" s="3" t="s">
        <v>49</v>
      </c>
      <c r="O126" s="3" t="n">
        <f aca="false">IFERROR(LEN(C126&amp;D126&amp;E126&amp;F126&amp;G126&amp;H126&amp;I126&amp;J126&amp;K126&amp;L126&amp;M126&amp;N126)/5,0)</f>
        <v>25.4</v>
      </c>
      <c r="P126" s="3" t="str">
        <f aca="false">IF(OR(D126="",C126=""),"",IF((IFERROR(IF(AND(TRIM(D126)=D126,LEN(D126)&gt;0),0,1),1)+IFERROR(IF(AND(LEN(E126)=10,ISNUMBER(VALUE(E126))),0,1),1)+IFERROR(IF(AND(ISNUMBER(SEARCH("@",F126)),ISNUMBER(SEARCH(".",F126))),0,1),1)+IFERROR(IF(AND(LEN(J126)=6,ISNUMBER(VALUE(J126))),0,1),1)+IFERROR(IF(ISNUMBER(MATCH(TRIM(I126),Lists!$A$2:$A$20,0)),0,1),1)+IFERROR(IF(AND(LEN(K126)=10,VALUE(LEFT(K126,FIND("/",K126)-1))&gt;=1,VALUE(LEFT(K126,FIND("/",K126)-1))&lt;=31,VALUE(LEFT(MID(K126,FIND("/",K126)+1,10),FIND("/",MID(K126,FIND("/",K126)+1,10))-1))&gt;=1,VALUE(LEFT(MID(K126,FIND("/",K126)+1,10),FIND("/",MID(K126,FIND("/",K126)+1,10))-1))&lt;=12,VALUE(LEFT(K126,FIND("/",K126)-1))&lt;=DAY(EOMONTH(DATE(VALUE(MID(MID(K126,FIND("/",K126)+1,10),FIND("/",MID(K126,FIND("/",K126)+1,10))+1,4)),VALUE(LEFT(MID(K126,FIND("/",K126)+1,10),FIND("/",MID(K126,FIND("/",K126)+1,10))-1)),1),0))),0,1),1)+IFERROR(IF(M126&gt;=0,0,1),1)+IFERROR(IF(ISNUMBER(MATCH(N126,Lists!$B$2:$B$7,0)),0,1),1))=0,"OK","ERROR"))</f>
        <v>OK</v>
      </c>
      <c r="Q126" s="3" t="str">
        <f aca="false">IF(D126="","",TRIM(IF(IFERROR(IF(AND(TRIM(D126)=D126,LEN(D126)&gt;0),0,1),1)=1,"Name; ","")&amp;IF(IFERROR(IF(AND(LEN(E126)=10,ISNUMBER(VALUE(E126))),0,1),1)=1,"Phone; ","")&amp;IF(IFERROR(IF(AND(ISNUMBER(SEARCH("@",F126)),ISNUMBER(SEARCH(".",F126))),0,1),1)=1,"Email; ","")&amp;IF(IFERROR(IF(AND(LEN(J126)=6,ISNUMBER(VALUE(J126))),0,1),1)=1,"Pincode; ","")&amp;IF(IFERROR(IF(ISNUMBER(MATCH(TRIM(I126),Lists!$A$2:$A$20,0)),0,1),1)=1,"State; ","")&amp;IF(IFERROR(IF(AND(LEN(K126)=10,VALUE(LEFT(K126,FIND("/",K126)-1))&gt;=1,VALUE(LEFT(K126,FIND("/",K126)-1))&lt;=31,VALUE(LEFT(MID(K126,FIND("/",K126)+1,10),FIND("/",MID(K126,FIND("/",K126)+1,10))-1))&gt;=1,VALUE(LEFT(MID(K126,FIND("/",K126)+1,10),FIND("/",MID(K126,FIND("/",K126)+1,10))-1))&lt;=12,VALUE(LEFT(K126,FIND("/",K126)-1))&lt;=DAY(EOMONTH(DATE(VALUE(MID(MID(K126,FIND("/",K126)+1,10),FIND("/",MID(K126,FIND("/",K126)+1,10))+1,4)),VALUE(LEFT(MID(K126,FIND("/",K126)+1,10),FIND("/",MID(K126,FIND("/",K126)+1,10))-1)),1),0))),0,1),1)=1,"Date; ","")&amp;IF(IFERROR(IF(M126&gt;=0,0,1),1)=1,"Amount; ","")&amp;IF(IFERROR(IF(ISNUMBER(MATCH(N126,Lists!$B$2:$B$7,0)),0,1),1)=1,"Payment; ","")))</f>
        <v/>
      </c>
      <c r="R126" s="3" t="str">
        <f aca="false">IF(D126="","",IF(COUNTIFS($D$2:$D$701,D126,$E$2:$E$701,E126)&gt;1,"DUPLICATE","Unique"))</f>
        <v>Unique</v>
      </c>
    </row>
    <row r="127" customFormat="false" ht="15" hidden="false" customHeight="false" outlineLevel="0" collapsed="false">
      <c r="A127" s="3" t="n">
        <v>126</v>
      </c>
      <c r="B127" s="3" t="n">
        <v>3</v>
      </c>
      <c r="C127" s="3" t="s">
        <v>1012</v>
      </c>
      <c r="D127" s="3" t="s">
        <v>1013</v>
      </c>
      <c r="E127" s="3" t="s">
        <v>1014</v>
      </c>
      <c r="F127" s="3" t="s">
        <v>1015</v>
      </c>
      <c r="G127" s="3" t="s">
        <v>1016</v>
      </c>
      <c r="H127" s="3" t="s">
        <v>663</v>
      </c>
      <c r="I127" s="3" t="s">
        <v>48</v>
      </c>
      <c r="J127" s="3" t="s">
        <v>1017</v>
      </c>
      <c r="K127" s="3" t="s">
        <v>1018</v>
      </c>
      <c r="L127" s="3" t="s">
        <v>58</v>
      </c>
      <c r="M127" s="3" t="n">
        <v>15342.71</v>
      </c>
      <c r="N127" s="3" t="s">
        <v>43</v>
      </c>
      <c r="O127" s="3" t="n">
        <f aca="false">IFERROR(LEN(C127&amp;D127&amp;E127&amp;F127&amp;G127&amp;H127&amp;I127&amp;J127&amp;K127&amp;L127&amp;M127&amp;N127)/5,0)</f>
        <v>30.8</v>
      </c>
      <c r="P127" s="3" t="str">
        <f aca="false">IF(OR(D127="",C127=""),"",IF((IFERROR(IF(AND(TRIM(D127)=D127,LEN(D127)&gt;0),0,1),1)+IFERROR(IF(AND(LEN(E127)=10,ISNUMBER(VALUE(E127))),0,1),1)+IFERROR(IF(AND(ISNUMBER(SEARCH("@",F127)),ISNUMBER(SEARCH(".",F127))),0,1),1)+IFERROR(IF(AND(LEN(J127)=6,ISNUMBER(VALUE(J127))),0,1),1)+IFERROR(IF(ISNUMBER(MATCH(TRIM(I127),Lists!$A$2:$A$20,0)),0,1),1)+IFERROR(IF(AND(LEN(K127)=10,VALUE(LEFT(K127,FIND("/",K127)-1))&gt;=1,VALUE(LEFT(K127,FIND("/",K127)-1))&lt;=31,VALUE(LEFT(MID(K127,FIND("/",K127)+1,10),FIND("/",MID(K127,FIND("/",K127)+1,10))-1))&gt;=1,VALUE(LEFT(MID(K127,FIND("/",K127)+1,10),FIND("/",MID(K127,FIND("/",K127)+1,10))-1))&lt;=12,VALUE(LEFT(K127,FIND("/",K127)-1))&lt;=DAY(EOMONTH(DATE(VALUE(MID(MID(K127,FIND("/",K127)+1,10),FIND("/",MID(K127,FIND("/",K127)+1,10))+1,4)),VALUE(LEFT(MID(K127,FIND("/",K127)+1,10),FIND("/",MID(K127,FIND("/",K127)+1,10))-1)),1),0))),0,1),1)+IFERROR(IF(M127&gt;=0,0,1),1)+IFERROR(IF(ISNUMBER(MATCH(N127,Lists!$B$2:$B$7,0)),0,1),1))=0,"OK","ERROR"))</f>
        <v>OK</v>
      </c>
      <c r="Q127" s="3" t="str">
        <f aca="false">IF(D127="","",TRIM(IF(IFERROR(IF(AND(TRIM(D127)=D127,LEN(D127)&gt;0),0,1),1)=1,"Name; ","")&amp;IF(IFERROR(IF(AND(LEN(E127)=10,ISNUMBER(VALUE(E127))),0,1),1)=1,"Phone; ","")&amp;IF(IFERROR(IF(AND(ISNUMBER(SEARCH("@",F127)),ISNUMBER(SEARCH(".",F127))),0,1),1)=1,"Email; ","")&amp;IF(IFERROR(IF(AND(LEN(J127)=6,ISNUMBER(VALUE(J127))),0,1),1)=1,"Pincode; ","")&amp;IF(IFERROR(IF(ISNUMBER(MATCH(TRIM(I127),Lists!$A$2:$A$20,0)),0,1),1)=1,"State; ","")&amp;IF(IFERROR(IF(AND(LEN(K127)=10,VALUE(LEFT(K127,FIND("/",K127)-1))&gt;=1,VALUE(LEFT(K127,FIND("/",K127)-1))&lt;=31,VALUE(LEFT(MID(K127,FIND("/",K127)+1,10),FIND("/",MID(K127,FIND("/",K127)+1,10))-1))&gt;=1,VALUE(LEFT(MID(K127,FIND("/",K127)+1,10),FIND("/",MID(K127,FIND("/",K127)+1,10))-1))&lt;=12,VALUE(LEFT(K127,FIND("/",K127)-1))&lt;=DAY(EOMONTH(DATE(VALUE(MID(MID(K127,FIND("/",K127)+1,10),FIND("/",MID(K127,FIND("/",K127)+1,10))+1,4)),VALUE(LEFT(MID(K127,FIND("/",K127)+1,10),FIND("/",MID(K127,FIND("/",K127)+1,10))-1)),1),0))),0,1),1)=1,"Date; ","")&amp;IF(IFERROR(IF(M127&gt;=0,0,1),1)=1,"Amount; ","")&amp;IF(IFERROR(IF(ISNUMBER(MATCH(N127,Lists!$B$2:$B$7,0)),0,1),1)=1,"Payment; ","")))</f>
        <v/>
      </c>
      <c r="R127" s="3" t="str">
        <f aca="false">IF(D127="","",IF(COUNTIFS($D$2:$D$701,D127,$E$2:$E$701,E127)&gt;1,"DUPLICATE","Unique"))</f>
        <v>Unique</v>
      </c>
    </row>
    <row r="128" customFormat="false" ht="15" hidden="false" customHeight="false" outlineLevel="0" collapsed="false">
      <c r="A128" s="3" t="n">
        <v>127</v>
      </c>
      <c r="B128" s="3" t="n">
        <v>3</v>
      </c>
      <c r="C128" s="3" t="s">
        <v>1019</v>
      </c>
      <c r="D128" s="3" t="s">
        <v>1020</v>
      </c>
      <c r="E128" s="3" t="s">
        <v>1021</v>
      </c>
      <c r="F128" s="3" t="s">
        <v>1022</v>
      </c>
      <c r="G128" s="3" t="s">
        <v>1023</v>
      </c>
      <c r="H128" s="3" t="s">
        <v>118</v>
      </c>
      <c r="I128" s="3" t="s">
        <v>69</v>
      </c>
      <c r="J128" s="3" t="s">
        <v>1024</v>
      </c>
      <c r="K128" s="3" t="s">
        <v>1025</v>
      </c>
      <c r="L128" s="3" t="s">
        <v>47</v>
      </c>
      <c r="M128" s="3" t="n">
        <v>5978.53</v>
      </c>
      <c r="N128" s="3" t="s">
        <v>43</v>
      </c>
      <c r="O128" s="3" t="n">
        <f aca="false">IFERROR(LEN(C128&amp;D128&amp;E128&amp;F128&amp;G128&amp;H128&amp;I128&amp;J128&amp;K128&amp;L128&amp;M128&amp;N128)/5,0)</f>
        <v>27.6</v>
      </c>
      <c r="P128" s="3" t="str">
        <f aca="false">IF(OR(D128="",C128=""),"",IF((IFERROR(IF(AND(TRIM(D128)=D128,LEN(D128)&gt;0),0,1),1)+IFERROR(IF(AND(LEN(E128)=10,ISNUMBER(VALUE(E128))),0,1),1)+IFERROR(IF(AND(ISNUMBER(SEARCH("@",F128)),ISNUMBER(SEARCH(".",F128))),0,1),1)+IFERROR(IF(AND(LEN(J128)=6,ISNUMBER(VALUE(J128))),0,1),1)+IFERROR(IF(ISNUMBER(MATCH(TRIM(I128),Lists!$A$2:$A$20,0)),0,1),1)+IFERROR(IF(AND(LEN(K128)=10,VALUE(LEFT(K128,FIND("/",K128)-1))&gt;=1,VALUE(LEFT(K128,FIND("/",K128)-1))&lt;=31,VALUE(LEFT(MID(K128,FIND("/",K128)+1,10),FIND("/",MID(K128,FIND("/",K128)+1,10))-1))&gt;=1,VALUE(LEFT(MID(K128,FIND("/",K128)+1,10),FIND("/",MID(K128,FIND("/",K128)+1,10))-1))&lt;=12,VALUE(LEFT(K128,FIND("/",K128)-1))&lt;=DAY(EOMONTH(DATE(VALUE(MID(MID(K128,FIND("/",K128)+1,10),FIND("/",MID(K128,FIND("/",K128)+1,10))+1,4)),VALUE(LEFT(MID(K128,FIND("/",K128)+1,10),FIND("/",MID(K128,FIND("/",K128)+1,10))-1)),1),0))),0,1),1)+IFERROR(IF(M128&gt;=0,0,1),1)+IFERROR(IF(ISNUMBER(MATCH(N128,Lists!$B$2:$B$7,0)),0,1),1))=0,"OK","ERROR"))</f>
        <v>OK</v>
      </c>
      <c r="Q128" s="3" t="str">
        <f aca="false">IF(D128="","",TRIM(IF(IFERROR(IF(AND(TRIM(D128)=D128,LEN(D128)&gt;0),0,1),1)=1,"Name; ","")&amp;IF(IFERROR(IF(AND(LEN(E128)=10,ISNUMBER(VALUE(E128))),0,1),1)=1,"Phone; ","")&amp;IF(IFERROR(IF(AND(ISNUMBER(SEARCH("@",F128)),ISNUMBER(SEARCH(".",F128))),0,1),1)=1,"Email; ","")&amp;IF(IFERROR(IF(AND(LEN(J128)=6,ISNUMBER(VALUE(J128))),0,1),1)=1,"Pincode; ","")&amp;IF(IFERROR(IF(ISNUMBER(MATCH(TRIM(I128),Lists!$A$2:$A$20,0)),0,1),1)=1,"State; ","")&amp;IF(IFERROR(IF(AND(LEN(K128)=10,VALUE(LEFT(K128,FIND("/",K128)-1))&gt;=1,VALUE(LEFT(K128,FIND("/",K128)-1))&lt;=31,VALUE(LEFT(MID(K128,FIND("/",K128)+1,10),FIND("/",MID(K128,FIND("/",K128)+1,10))-1))&gt;=1,VALUE(LEFT(MID(K128,FIND("/",K128)+1,10),FIND("/",MID(K128,FIND("/",K128)+1,10))-1))&lt;=12,VALUE(LEFT(K128,FIND("/",K128)-1))&lt;=DAY(EOMONTH(DATE(VALUE(MID(MID(K128,FIND("/",K128)+1,10),FIND("/",MID(K128,FIND("/",K128)+1,10))+1,4)),VALUE(LEFT(MID(K128,FIND("/",K128)+1,10),FIND("/",MID(K128,FIND("/",K128)+1,10))-1)),1),0))),0,1),1)=1,"Date; ","")&amp;IF(IFERROR(IF(M128&gt;=0,0,1),1)=1,"Amount; ","")&amp;IF(IFERROR(IF(ISNUMBER(MATCH(N128,Lists!$B$2:$B$7,0)),0,1),1)=1,"Payment; ","")))</f>
        <v/>
      </c>
      <c r="R128" s="3" t="str">
        <f aca="false">IF(D128="","",IF(COUNTIFS($D$2:$D$701,D128,$E$2:$E$701,E128)&gt;1,"DUPLICATE","Unique"))</f>
        <v>Unique</v>
      </c>
    </row>
    <row r="129" customFormat="false" ht="15" hidden="false" customHeight="false" outlineLevel="0" collapsed="false">
      <c r="A129" s="3" t="n">
        <v>128</v>
      </c>
      <c r="B129" s="3" t="n">
        <v>3</v>
      </c>
      <c r="C129" s="3" t="s">
        <v>1026</v>
      </c>
      <c r="D129" s="3" t="s">
        <v>1027</v>
      </c>
      <c r="E129" s="3" t="s">
        <v>1028</v>
      </c>
      <c r="F129" s="3" t="s">
        <v>1029</v>
      </c>
      <c r="G129" s="3" t="s">
        <v>1030</v>
      </c>
      <c r="H129" s="3" t="s">
        <v>385</v>
      </c>
      <c r="I129" s="3" t="s">
        <v>73</v>
      </c>
      <c r="J129" s="3" t="s">
        <v>1031</v>
      </c>
      <c r="K129" s="3" t="s">
        <v>1032</v>
      </c>
      <c r="L129" s="3" t="s">
        <v>66</v>
      </c>
      <c r="M129" s="3" t="n">
        <v>2315.37</v>
      </c>
      <c r="N129" s="3" t="s">
        <v>40</v>
      </c>
      <c r="O129" s="3" t="n">
        <f aca="false">IFERROR(LEN(C129&amp;D129&amp;E129&amp;F129&amp;G129&amp;H129&amp;I129&amp;J129&amp;K129&amp;L129&amp;M129&amp;N129)/5,0)</f>
        <v>28.6</v>
      </c>
      <c r="P129" s="3" t="str">
        <f aca="false">IF(OR(D129="",C129=""),"",IF((IFERROR(IF(AND(TRIM(D129)=D129,LEN(D129)&gt;0),0,1),1)+IFERROR(IF(AND(LEN(E129)=10,ISNUMBER(VALUE(E129))),0,1),1)+IFERROR(IF(AND(ISNUMBER(SEARCH("@",F129)),ISNUMBER(SEARCH(".",F129))),0,1),1)+IFERROR(IF(AND(LEN(J129)=6,ISNUMBER(VALUE(J129))),0,1),1)+IFERROR(IF(ISNUMBER(MATCH(TRIM(I129),Lists!$A$2:$A$20,0)),0,1),1)+IFERROR(IF(AND(LEN(K129)=10,VALUE(LEFT(K129,FIND("/",K129)-1))&gt;=1,VALUE(LEFT(K129,FIND("/",K129)-1))&lt;=31,VALUE(LEFT(MID(K129,FIND("/",K129)+1,10),FIND("/",MID(K129,FIND("/",K129)+1,10))-1))&gt;=1,VALUE(LEFT(MID(K129,FIND("/",K129)+1,10),FIND("/",MID(K129,FIND("/",K129)+1,10))-1))&lt;=12,VALUE(LEFT(K129,FIND("/",K129)-1))&lt;=DAY(EOMONTH(DATE(VALUE(MID(MID(K129,FIND("/",K129)+1,10),FIND("/",MID(K129,FIND("/",K129)+1,10))+1,4)),VALUE(LEFT(MID(K129,FIND("/",K129)+1,10),FIND("/",MID(K129,FIND("/",K129)+1,10))-1)),1),0))),0,1),1)+IFERROR(IF(M129&gt;=0,0,1),1)+IFERROR(IF(ISNUMBER(MATCH(N129,Lists!$B$2:$B$7,0)),0,1),1))=0,"OK","ERROR"))</f>
        <v>OK</v>
      </c>
      <c r="Q129" s="3" t="str">
        <f aca="false">IF(D129="","",TRIM(IF(IFERROR(IF(AND(TRIM(D129)=D129,LEN(D129)&gt;0),0,1),1)=1,"Name; ","")&amp;IF(IFERROR(IF(AND(LEN(E129)=10,ISNUMBER(VALUE(E129))),0,1),1)=1,"Phone; ","")&amp;IF(IFERROR(IF(AND(ISNUMBER(SEARCH("@",F129)),ISNUMBER(SEARCH(".",F129))),0,1),1)=1,"Email; ","")&amp;IF(IFERROR(IF(AND(LEN(J129)=6,ISNUMBER(VALUE(J129))),0,1),1)=1,"Pincode; ","")&amp;IF(IFERROR(IF(ISNUMBER(MATCH(TRIM(I129),Lists!$A$2:$A$20,0)),0,1),1)=1,"State; ","")&amp;IF(IFERROR(IF(AND(LEN(K129)=10,VALUE(LEFT(K129,FIND("/",K129)-1))&gt;=1,VALUE(LEFT(K129,FIND("/",K129)-1))&lt;=31,VALUE(LEFT(MID(K129,FIND("/",K129)+1,10),FIND("/",MID(K129,FIND("/",K129)+1,10))-1))&gt;=1,VALUE(LEFT(MID(K129,FIND("/",K129)+1,10),FIND("/",MID(K129,FIND("/",K129)+1,10))-1))&lt;=12,VALUE(LEFT(K129,FIND("/",K129)-1))&lt;=DAY(EOMONTH(DATE(VALUE(MID(MID(K129,FIND("/",K129)+1,10),FIND("/",MID(K129,FIND("/",K129)+1,10))+1,4)),VALUE(LEFT(MID(K129,FIND("/",K129)+1,10),FIND("/",MID(K129,FIND("/",K129)+1,10))-1)),1),0))),0,1),1)=1,"Date; ","")&amp;IF(IFERROR(IF(M129&gt;=0,0,1),1)=1,"Amount; ","")&amp;IF(IFERROR(IF(ISNUMBER(MATCH(N129,Lists!$B$2:$B$7,0)),0,1),1)=1,"Payment; ","")))</f>
        <v/>
      </c>
      <c r="R129" s="3" t="str">
        <f aca="false">IF(D129="","",IF(COUNTIFS($D$2:$D$701,D129,$E$2:$E$701,E129)&gt;1,"DUPLICATE","Unique"))</f>
        <v>Unique</v>
      </c>
    </row>
    <row r="130" customFormat="false" ht="15" hidden="false" customHeight="false" outlineLevel="0" collapsed="false">
      <c r="A130" s="3" t="n">
        <v>129</v>
      </c>
      <c r="B130" s="3" t="n">
        <v>3</v>
      </c>
      <c r="C130" s="3" t="s">
        <v>1033</v>
      </c>
      <c r="D130" s="3" t="s">
        <v>1034</v>
      </c>
      <c r="E130" s="3" t="s">
        <v>1035</v>
      </c>
      <c r="F130" s="3" t="s">
        <v>1036</v>
      </c>
      <c r="G130" s="3" t="s">
        <v>1037</v>
      </c>
      <c r="H130" s="3" t="s">
        <v>436</v>
      </c>
      <c r="I130" s="3" t="s">
        <v>59</v>
      </c>
      <c r="J130" s="3" t="s">
        <v>1038</v>
      </c>
      <c r="K130" s="3" t="s">
        <v>387</v>
      </c>
      <c r="L130" s="3" t="s">
        <v>47</v>
      </c>
      <c r="M130" s="3" t="n">
        <v>3155.16</v>
      </c>
      <c r="N130" s="3" t="s">
        <v>49</v>
      </c>
      <c r="O130" s="3" t="n">
        <f aca="false">IFERROR(LEN(C130&amp;D130&amp;E130&amp;F130&amp;G130&amp;H130&amp;I130&amp;J130&amp;K130&amp;L130&amp;M130&amp;N130)/5,0)</f>
        <v>24.8</v>
      </c>
      <c r="P130" s="3" t="str">
        <f aca="false">IF(OR(D130="",C130=""),"",IF((IFERROR(IF(AND(TRIM(D130)=D130,LEN(D130)&gt;0),0,1),1)+IFERROR(IF(AND(LEN(E130)=10,ISNUMBER(VALUE(E130))),0,1),1)+IFERROR(IF(AND(ISNUMBER(SEARCH("@",F130)),ISNUMBER(SEARCH(".",F130))),0,1),1)+IFERROR(IF(AND(LEN(J130)=6,ISNUMBER(VALUE(J130))),0,1),1)+IFERROR(IF(ISNUMBER(MATCH(TRIM(I130),Lists!$A$2:$A$20,0)),0,1),1)+IFERROR(IF(AND(LEN(K130)=10,VALUE(LEFT(K130,FIND("/",K130)-1))&gt;=1,VALUE(LEFT(K130,FIND("/",K130)-1))&lt;=31,VALUE(LEFT(MID(K130,FIND("/",K130)+1,10),FIND("/",MID(K130,FIND("/",K130)+1,10))-1))&gt;=1,VALUE(LEFT(MID(K130,FIND("/",K130)+1,10),FIND("/",MID(K130,FIND("/",K130)+1,10))-1))&lt;=12,VALUE(LEFT(K130,FIND("/",K130)-1))&lt;=DAY(EOMONTH(DATE(VALUE(MID(MID(K130,FIND("/",K130)+1,10),FIND("/",MID(K130,FIND("/",K130)+1,10))+1,4)),VALUE(LEFT(MID(K130,FIND("/",K130)+1,10),FIND("/",MID(K130,FIND("/",K130)+1,10))-1)),1),0))),0,1),1)+IFERROR(IF(M130&gt;=0,0,1),1)+IFERROR(IF(ISNUMBER(MATCH(N130,Lists!$B$2:$B$7,0)),0,1),1))=0,"OK","ERROR"))</f>
        <v>OK</v>
      </c>
      <c r="Q130" s="3" t="str">
        <f aca="false">IF(D130="","",TRIM(IF(IFERROR(IF(AND(TRIM(D130)=D130,LEN(D130)&gt;0),0,1),1)=1,"Name; ","")&amp;IF(IFERROR(IF(AND(LEN(E130)=10,ISNUMBER(VALUE(E130))),0,1),1)=1,"Phone; ","")&amp;IF(IFERROR(IF(AND(ISNUMBER(SEARCH("@",F130)),ISNUMBER(SEARCH(".",F130))),0,1),1)=1,"Email; ","")&amp;IF(IFERROR(IF(AND(LEN(J130)=6,ISNUMBER(VALUE(J130))),0,1),1)=1,"Pincode; ","")&amp;IF(IFERROR(IF(ISNUMBER(MATCH(TRIM(I130),Lists!$A$2:$A$20,0)),0,1),1)=1,"State; ","")&amp;IF(IFERROR(IF(AND(LEN(K130)=10,VALUE(LEFT(K130,FIND("/",K130)-1))&gt;=1,VALUE(LEFT(K130,FIND("/",K130)-1))&lt;=31,VALUE(LEFT(MID(K130,FIND("/",K130)+1,10),FIND("/",MID(K130,FIND("/",K130)+1,10))-1))&gt;=1,VALUE(LEFT(MID(K130,FIND("/",K130)+1,10),FIND("/",MID(K130,FIND("/",K130)+1,10))-1))&lt;=12,VALUE(LEFT(K130,FIND("/",K130)-1))&lt;=DAY(EOMONTH(DATE(VALUE(MID(MID(K130,FIND("/",K130)+1,10),FIND("/",MID(K130,FIND("/",K130)+1,10))+1,4)),VALUE(LEFT(MID(K130,FIND("/",K130)+1,10),FIND("/",MID(K130,FIND("/",K130)+1,10))-1)),1),0))),0,1),1)=1,"Date; ","")&amp;IF(IFERROR(IF(M130&gt;=0,0,1),1)=1,"Amount; ","")&amp;IF(IFERROR(IF(ISNUMBER(MATCH(N130,Lists!$B$2:$B$7,0)),0,1),1)=1,"Payment; ","")))</f>
        <v/>
      </c>
      <c r="R130" s="3" t="str">
        <f aca="false">IF(D130="","",IF(COUNTIFS($D$2:$D$701,D130,$E$2:$E$701,E130)&gt;1,"DUPLICATE","Unique"))</f>
        <v>Unique</v>
      </c>
    </row>
    <row r="131" customFormat="false" ht="15" hidden="false" customHeight="false" outlineLevel="0" collapsed="false">
      <c r="A131" s="3" t="n">
        <v>130</v>
      </c>
      <c r="B131" s="3" t="n">
        <v>3</v>
      </c>
      <c r="C131" s="3" t="s">
        <v>1039</v>
      </c>
      <c r="D131" s="3" t="s">
        <v>1040</v>
      </c>
      <c r="E131" s="3" t="s">
        <v>1041</v>
      </c>
      <c r="F131" s="3" t="s">
        <v>1042</v>
      </c>
      <c r="G131" s="3" t="s">
        <v>1043</v>
      </c>
      <c r="H131" s="3" t="s">
        <v>1044</v>
      </c>
      <c r="I131" s="3" t="s">
        <v>42</v>
      </c>
      <c r="J131" s="3" t="s">
        <v>1045</v>
      </c>
      <c r="K131" s="3" t="s">
        <v>1046</v>
      </c>
      <c r="L131" s="3" t="s">
        <v>53</v>
      </c>
      <c r="M131" s="3" t="n">
        <v>715.58</v>
      </c>
      <c r="N131" s="3" t="s">
        <v>43</v>
      </c>
      <c r="O131" s="3" t="n">
        <f aca="false">IFERROR(LEN(C131&amp;D131&amp;E131&amp;F131&amp;G131&amp;H131&amp;I131&amp;J131&amp;K131&amp;L131&amp;M131&amp;N131)/5,0)</f>
        <v>27.2</v>
      </c>
      <c r="P131" s="3" t="str">
        <f aca="false">IF(OR(D131="",C131=""),"",IF((IFERROR(IF(AND(TRIM(D131)=D131,LEN(D131)&gt;0),0,1),1)+IFERROR(IF(AND(LEN(E131)=10,ISNUMBER(VALUE(E131))),0,1),1)+IFERROR(IF(AND(ISNUMBER(SEARCH("@",F131)),ISNUMBER(SEARCH(".",F131))),0,1),1)+IFERROR(IF(AND(LEN(J131)=6,ISNUMBER(VALUE(J131))),0,1),1)+IFERROR(IF(ISNUMBER(MATCH(TRIM(I131),Lists!$A$2:$A$20,0)),0,1),1)+IFERROR(IF(AND(LEN(K131)=10,VALUE(LEFT(K131,FIND("/",K131)-1))&gt;=1,VALUE(LEFT(K131,FIND("/",K131)-1))&lt;=31,VALUE(LEFT(MID(K131,FIND("/",K131)+1,10),FIND("/",MID(K131,FIND("/",K131)+1,10))-1))&gt;=1,VALUE(LEFT(MID(K131,FIND("/",K131)+1,10),FIND("/",MID(K131,FIND("/",K131)+1,10))-1))&lt;=12,VALUE(LEFT(K131,FIND("/",K131)-1))&lt;=DAY(EOMONTH(DATE(VALUE(MID(MID(K131,FIND("/",K131)+1,10),FIND("/",MID(K131,FIND("/",K131)+1,10))+1,4)),VALUE(LEFT(MID(K131,FIND("/",K131)+1,10),FIND("/",MID(K131,FIND("/",K131)+1,10))-1)),1),0))),0,1),1)+IFERROR(IF(M131&gt;=0,0,1),1)+IFERROR(IF(ISNUMBER(MATCH(N131,Lists!$B$2:$B$7,0)),0,1),1))=0,"OK","ERROR"))</f>
        <v>OK</v>
      </c>
      <c r="Q131" s="3" t="str">
        <f aca="false">IF(D131="","",TRIM(IF(IFERROR(IF(AND(TRIM(D131)=D131,LEN(D131)&gt;0),0,1),1)=1,"Name; ","")&amp;IF(IFERROR(IF(AND(LEN(E131)=10,ISNUMBER(VALUE(E131))),0,1),1)=1,"Phone; ","")&amp;IF(IFERROR(IF(AND(ISNUMBER(SEARCH("@",F131)),ISNUMBER(SEARCH(".",F131))),0,1),1)=1,"Email; ","")&amp;IF(IFERROR(IF(AND(LEN(J131)=6,ISNUMBER(VALUE(J131))),0,1),1)=1,"Pincode; ","")&amp;IF(IFERROR(IF(ISNUMBER(MATCH(TRIM(I131),Lists!$A$2:$A$20,0)),0,1),1)=1,"State; ","")&amp;IF(IFERROR(IF(AND(LEN(K131)=10,VALUE(LEFT(K131,FIND("/",K131)-1))&gt;=1,VALUE(LEFT(K131,FIND("/",K131)-1))&lt;=31,VALUE(LEFT(MID(K131,FIND("/",K131)+1,10),FIND("/",MID(K131,FIND("/",K131)+1,10))-1))&gt;=1,VALUE(LEFT(MID(K131,FIND("/",K131)+1,10),FIND("/",MID(K131,FIND("/",K131)+1,10))-1))&lt;=12,VALUE(LEFT(K131,FIND("/",K131)-1))&lt;=DAY(EOMONTH(DATE(VALUE(MID(MID(K131,FIND("/",K131)+1,10),FIND("/",MID(K131,FIND("/",K131)+1,10))+1,4)),VALUE(LEFT(MID(K131,FIND("/",K131)+1,10),FIND("/",MID(K131,FIND("/",K131)+1,10))-1)),1),0))),0,1),1)=1,"Date; ","")&amp;IF(IFERROR(IF(M131&gt;=0,0,1),1)=1,"Amount; ","")&amp;IF(IFERROR(IF(ISNUMBER(MATCH(N131,Lists!$B$2:$B$7,0)),0,1),1)=1,"Payment; ","")))</f>
        <v/>
      </c>
      <c r="R131" s="3" t="str">
        <f aca="false">IF(D131="","",IF(COUNTIFS($D$2:$D$701,D131,$E$2:$E$701,E131)&gt;1,"DUPLICATE","Unique"))</f>
        <v>Unique</v>
      </c>
    </row>
    <row r="132" customFormat="false" ht="15" hidden="false" customHeight="false" outlineLevel="0" collapsed="false">
      <c r="A132" s="3" t="n">
        <v>131</v>
      </c>
      <c r="B132" s="3" t="n">
        <v>3</v>
      </c>
      <c r="C132" s="3" t="s">
        <v>1047</v>
      </c>
      <c r="D132" s="3" t="s">
        <v>1048</v>
      </c>
      <c r="E132" s="3" t="s">
        <v>1049</v>
      </c>
      <c r="F132" s="3" t="s">
        <v>1050</v>
      </c>
      <c r="G132" s="3" t="s">
        <v>1051</v>
      </c>
      <c r="H132" s="3" t="s">
        <v>227</v>
      </c>
      <c r="I132" s="3" t="s">
        <v>77</v>
      </c>
      <c r="J132" s="3" t="s">
        <v>1052</v>
      </c>
      <c r="K132" s="3" t="s">
        <v>1053</v>
      </c>
      <c r="L132" s="3" t="s">
        <v>44</v>
      </c>
      <c r="M132" s="3" t="n">
        <v>11827.62</v>
      </c>
      <c r="N132" s="3" t="s">
        <v>55</v>
      </c>
      <c r="O132" s="3" t="n">
        <f aca="false">IFERROR(LEN(C132&amp;D132&amp;E132&amp;F132&amp;G132&amp;H132&amp;I132&amp;J132&amp;K132&amp;L132&amp;M132&amp;N132)/5,0)</f>
        <v>26</v>
      </c>
      <c r="P132" s="3" t="str">
        <f aca="false">IF(OR(D132="",C132=""),"",IF((IFERROR(IF(AND(TRIM(D132)=D132,LEN(D132)&gt;0),0,1),1)+IFERROR(IF(AND(LEN(E132)=10,ISNUMBER(VALUE(E132))),0,1),1)+IFERROR(IF(AND(ISNUMBER(SEARCH("@",F132)),ISNUMBER(SEARCH(".",F132))),0,1),1)+IFERROR(IF(AND(LEN(J132)=6,ISNUMBER(VALUE(J132))),0,1),1)+IFERROR(IF(ISNUMBER(MATCH(TRIM(I132),Lists!$A$2:$A$20,0)),0,1),1)+IFERROR(IF(AND(LEN(K132)=10,VALUE(LEFT(K132,FIND("/",K132)-1))&gt;=1,VALUE(LEFT(K132,FIND("/",K132)-1))&lt;=31,VALUE(LEFT(MID(K132,FIND("/",K132)+1,10),FIND("/",MID(K132,FIND("/",K132)+1,10))-1))&gt;=1,VALUE(LEFT(MID(K132,FIND("/",K132)+1,10),FIND("/",MID(K132,FIND("/",K132)+1,10))-1))&lt;=12,VALUE(LEFT(K132,FIND("/",K132)-1))&lt;=DAY(EOMONTH(DATE(VALUE(MID(MID(K132,FIND("/",K132)+1,10),FIND("/",MID(K132,FIND("/",K132)+1,10))+1,4)),VALUE(LEFT(MID(K132,FIND("/",K132)+1,10),FIND("/",MID(K132,FIND("/",K132)+1,10))-1)),1),0))),0,1),1)+IFERROR(IF(M132&gt;=0,0,1),1)+IFERROR(IF(ISNUMBER(MATCH(N132,Lists!$B$2:$B$7,0)),0,1),1))=0,"OK","ERROR"))</f>
        <v>OK</v>
      </c>
      <c r="Q132" s="3" t="str">
        <f aca="false">IF(D132="","",TRIM(IF(IFERROR(IF(AND(TRIM(D132)=D132,LEN(D132)&gt;0),0,1),1)=1,"Name; ","")&amp;IF(IFERROR(IF(AND(LEN(E132)=10,ISNUMBER(VALUE(E132))),0,1),1)=1,"Phone; ","")&amp;IF(IFERROR(IF(AND(ISNUMBER(SEARCH("@",F132)),ISNUMBER(SEARCH(".",F132))),0,1),1)=1,"Email; ","")&amp;IF(IFERROR(IF(AND(LEN(J132)=6,ISNUMBER(VALUE(J132))),0,1),1)=1,"Pincode; ","")&amp;IF(IFERROR(IF(ISNUMBER(MATCH(TRIM(I132),Lists!$A$2:$A$20,0)),0,1),1)=1,"State; ","")&amp;IF(IFERROR(IF(AND(LEN(K132)=10,VALUE(LEFT(K132,FIND("/",K132)-1))&gt;=1,VALUE(LEFT(K132,FIND("/",K132)-1))&lt;=31,VALUE(LEFT(MID(K132,FIND("/",K132)+1,10),FIND("/",MID(K132,FIND("/",K132)+1,10))-1))&gt;=1,VALUE(LEFT(MID(K132,FIND("/",K132)+1,10),FIND("/",MID(K132,FIND("/",K132)+1,10))-1))&lt;=12,VALUE(LEFT(K132,FIND("/",K132)-1))&lt;=DAY(EOMONTH(DATE(VALUE(MID(MID(K132,FIND("/",K132)+1,10),FIND("/",MID(K132,FIND("/",K132)+1,10))+1,4)),VALUE(LEFT(MID(K132,FIND("/",K132)+1,10),FIND("/",MID(K132,FIND("/",K132)+1,10))-1)),1),0))),0,1),1)=1,"Date; ","")&amp;IF(IFERROR(IF(M132&gt;=0,0,1),1)=1,"Amount; ","")&amp;IF(IFERROR(IF(ISNUMBER(MATCH(N132,Lists!$B$2:$B$7,0)),0,1),1)=1,"Payment; ","")))</f>
        <v/>
      </c>
      <c r="R132" s="3" t="str">
        <f aca="false">IF(D132="","",IF(COUNTIFS($D$2:$D$701,D132,$E$2:$E$701,E132)&gt;1,"DUPLICATE","Unique"))</f>
        <v>Unique</v>
      </c>
    </row>
    <row r="133" customFormat="false" ht="15" hidden="false" customHeight="false" outlineLevel="0" collapsed="false">
      <c r="A133" s="3" t="n">
        <v>132</v>
      </c>
      <c r="B133" s="3" t="n">
        <v>3</v>
      </c>
      <c r="C133" s="3" t="s">
        <v>1054</v>
      </c>
      <c r="D133" s="3" t="s">
        <v>1055</v>
      </c>
      <c r="E133" s="3" t="s">
        <v>1056</v>
      </c>
      <c r="F133" s="3" t="s">
        <v>1057</v>
      </c>
      <c r="G133" s="3" t="s">
        <v>1058</v>
      </c>
      <c r="H133" s="3" t="s">
        <v>436</v>
      </c>
      <c r="I133" s="3" t="s">
        <v>59</v>
      </c>
      <c r="J133" s="3" t="s">
        <v>1059</v>
      </c>
      <c r="K133" s="3" t="s">
        <v>1060</v>
      </c>
      <c r="L133" s="3" t="s">
        <v>70</v>
      </c>
      <c r="M133" s="3" t="n">
        <v>3463.59</v>
      </c>
      <c r="N133" s="3" t="s">
        <v>43</v>
      </c>
      <c r="O133" s="3" t="n">
        <f aca="false">IFERROR(LEN(C133&amp;D133&amp;E133&amp;F133&amp;G133&amp;H133&amp;I133&amp;J133&amp;K133&amp;L133&amp;M133&amp;N133)/5,0)</f>
        <v>27.6</v>
      </c>
      <c r="P133" s="3" t="str">
        <f aca="false">IF(OR(D133="",C133=""),"",IF((IFERROR(IF(AND(TRIM(D133)=D133,LEN(D133)&gt;0),0,1),1)+IFERROR(IF(AND(LEN(E133)=10,ISNUMBER(VALUE(E133))),0,1),1)+IFERROR(IF(AND(ISNUMBER(SEARCH("@",F133)),ISNUMBER(SEARCH(".",F133))),0,1),1)+IFERROR(IF(AND(LEN(J133)=6,ISNUMBER(VALUE(J133))),0,1),1)+IFERROR(IF(ISNUMBER(MATCH(TRIM(I133),Lists!$A$2:$A$20,0)),0,1),1)+IFERROR(IF(AND(LEN(K133)=10,VALUE(LEFT(K133,FIND("/",K133)-1))&gt;=1,VALUE(LEFT(K133,FIND("/",K133)-1))&lt;=31,VALUE(LEFT(MID(K133,FIND("/",K133)+1,10),FIND("/",MID(K133,FIND("/",K133)+1,10))-1))&gt;=1,VALUE(LEFT(MID(K133,FIND("/",K133)+1,10),FIND("/",MID(K133,FIND("/",K133)+1,10))-1))&lt;=12,VALUE(LEFT(K133,FIND("/",K133)-1))&lt;=DAY(EOMONTH(DATE(VALUE(MID(MID(K133,FIND("/",K133)+1,10),FIND("/",MID(K133,FIND("/",K133)+1,10))+1,4)),VALUE(LEFT(MID(K133,FIND("/",K133)+1,10),FIND("/",MID(K133,FIND("/",K133)+1,10))-1)),1),0))),0,1),1)+IFERROR(IF(M133&gt;=0,0,1),1)+IFERROR(IF(ISNUMBER(MATCH(N133,Lists!$B$2:$B$7,0)),0,1),1))=0,"OK","ERROR"))</f>
        <v>OK</v>
      </c>
      <c r="Q133" s="3" t="str">
        <f aca="false">IF(D133="","",TRIM(IF(IFERROR(IF(AND(TRIM(D133)=D133,LEN(D133)&gt;0),0,1),1)=1,"Name; ","")&amp;IF(IFERROR(IF(AND(LEN(E133)=10,ISNUMBER(VALUE(E133))),0,1),1)=1,"Phone; ","")&amp;IF(IFERROR(IF(AND(ISNUMBER(SEARCH("@",F133)),ISNUMBER(SEARCH(".",F133))),0,1),1)=1,"Email; ","")&amp;IF(IFERROR(IF(AND(LEN(J133)=6,ISNUMBER(VALUE(J133))),0,1),1)=1,"Pincode; ","")&amp;IF(IFERROR(IF(ISNUMBER(MATCH(TRIM(I133),Lists!$A$2:$A$20,0)),0,1),1)=1,"State; ","")&amp;IF(IFERROR(IF(AND(LEN(K133)=10,VALUE(LEFT(K133,FIND("/",K133)-1))&gt;=1,VALUE(LEFT(K133,FIND("/",K133)-1))&lt;=31,VALUE(LEFT(MID(K133,FIND("/",K133)+1,10),FIND("/",MID(K133,FIND("/",K133)+1,10))-1))&gt;=1,VALUE(LEFT(MID(K133,FIND("/",K133)+1,10),FIND("/",MID(K133,FIND("/",K133)+1,10))-1))&lt;=12,VALUE(LEFT(K133,FIND("/",K133)-1))&lt;=DAY(EOMONTH(DATE(VALUE(MID(MID(K133,FIND("/",K133)+1,10),FIND("/",MID(K133,FIND("/",K133)+1,10))+1,4)),VALUE(LEFT(MID(K133,FIND("/",K133)+1,10),FIND("/",MID(K133,FIND("/",K133)+1,10))-1)),1),0))),0,1),1)=1,"Date; ","")&amp;IF(IFERROR(IF(M133&gt;=0,0,1),1)=1,"Amount; ","")&amp;IF(IFERROR(IF(ISNUMBER(MATCH(N133,Lists!$B$2:$B$7,0)),0,1),1)=1,"Payment; ","")))</f>
        <v/>
      </c>
      <c r="R133" s="3" t="str">
        <f aca="false">IF(D133="","",IF(COUNTIFS($D$2:$D$701,D133,$E$2:$E$701,E133)&gt;1,"DUPLICATE","Unique"))</f>
        <v>Unique</v>
      </c>
    </row>
    <row r="134" customFormat="false" ht="15" hidden="false" customHeight="false" outlineLevel="0" collapsed="false">
      <c r="A134" s="3" t="n">
        <v>133</v>
      </c>
      <c r="B134" s="3" t="n">
        <v>3</v>
      </c>
      <c r="C134" s="3" t="s">
        <v>1061</v>
      </c>
      <c r="D134" s="3" t="s">
        <v>1062</v>
      </c>
      <c r="E134" s="3" t="s">
        <v>1063</v>
      </c>
      <c r="F134" s="3" t="s">
        <v>1064</v>
      </c>
      <c r="G134" s="3" t="s">
        <v>1065</v>
      </c>
      <c r="H134" s="3" t="s">
        <v>1044</v>
      </c>
      <c r="I134" s="3" t="s">
        <v>42</v>
      </c>
      <c r="J134" s="3" t="s">
        <v>1066</v>
      </c>
      <c r="K134" s="3" t="s">
        <v>1067</v>
      </c>
      <c r="L134" s="3" t="s">
        <v>50</v>
      </c>
      <c r="M134" s="3" t="n">
        <v>2509.65</v>
      </c>
      <c r="N134" s="3" t="s">
        <v>46</v>
      </c>
      <c r="O134" s="3" t="n">
        <f aca="false">IFERROR(LEN(C134&amp;D134&amp;E134&amp;F134&amp;G134&amp;H134&amp;I134&amp;J134&amp;K134&amp;L134&amp;M134&amp;N134)/5,0)</f>
        <v>29.2</v>
      </c>
      <c r="P134" s="3" t="str">
        <f aca="false">IF(OR(D134="",C134=""),"",IF((IFERROR(IF(AND(TRIM(D134)=D134,LEN(D134)&gt;0),0,1),1)+IFERROR(IF(AND(LEN(E134)=10,ISNUMBER(VALUE(E134))),0,1),1)+IFERROR(IF(AND(ISNUMBER(SEARCH("@",F134)),ISNUMBER(SEARCH(".",F134))),0,1),1)+IFERROR(IF(AND(LEN(J134)=6,ISNUMBER(VALUE(J134))),0,1),1)+IFERROR(IF(ISNUMBER(MATCH(TRIM(I134),Lists!$A$2:$A$20,0)),0,1),1)+IFERROR(IF(AND(LEN(K134)=10,VALUE(LEFT(K134,FIND("/",K134)-1))&gt;=1,VALUE(LEFT(K134,FIND("/",K134)-1))&lt;=31,VALUE(LEFT(MID(K134,FIND("/",K134)+1,10),FIND("/",MID(K134,FIND("/",K134)+1,10))-1))&gt;=1,VALUE(LEFT(MID(K134,FIND("/",K134)+1,10),FIND("/",MID(K134,FIND("/",K134)+1,10))-1))&lt;=12,VALUE(LEFT(K134,FIND("/",K134)-1))&lt;=DAY(EOMONTH(DATE(VALUE(MID(MID(K134,FIND("/",K134)+1,10),FIND("/",MID(K134,FIND("/",K134)+1,10))+1,4)),VALUE(LEFT(MID(K134,FIND("/",K134)+1,10),FIND("/",MID(K134,FIND("/",K134)+1,10))-1)),1),0))),0,1),1)+IFERROR(IF(M134&gt;=0,0,1),1)+IFERROR(IF(ISNUMBER(MATCH(N134,Lists!$B$2:$B$7,0)),0,1),1))=0,"OK","ERROR"))</f>
        <v>OK</v>
      </c>
      <c r="Q134" s="3" t="str">
        <f aca="false">IF(D134="","",TRIM(IF(IFERROR(IF(AND(TRIM(D134)=D134,LEN(D134)&gt;0),0,1),1)=1,"Name; ","")&amp;IF(IFERROR(IF(AND(LEN(E134)=10,ISNUMBER(VALUE(E134))),0,1),1)=1,"Phone; ","")&amp;IF(IFERROR(IF(AND(ISNUMBER(SEARCH("@",F134)),ISNUMBER(SEARCH(".",F134))),0,1),1)=1,"Email; ","")&amp;IF(IFERROR(IF(AND(LEN(J134)=6,ISNUMBER(VALUE(J134))),0,1),1)=1,"Pincode; ","")&amp;IF(IFERROR(IF(ISNUMBER(MATCH(TRIM(I134),Lists!$A$2:$A$20,0)),0,1),1)=1,"State; ","")&amp;IF(IFERROR(IF(AND(LEN(K134)=10,VALUE(LEFT(K134,FIND("/",K134)-1))&gt;=1,VALUE(LEFT(K134,FIND("/",K134)-1))&lt;=31,VALUE(LEFT(MID(K134,FIND("/",K134)+1,10),FIND("/",MID(K134,FIND("/",K134)+1,10))-1))&gt;=1,VALUE(LEFT(MID(K134,FIND("/",K134)+1,10),FIND("/",MID(K134,FIND("/",K134)+1,10))-1))&lt;=12,VALUE(LEFT(K134,FIND("/",K134)-1))&lt;=DAY(EOMONTH(DATE(VALUE(MID(MID(K134,FIND("/",K134)+1,10),FIND("/",MID(K134,FIND("/",K134)+1,10))+1,4)),VALUE(LEFT(MID(K134,FIND("/",K134)+1,10),FIND("/",MID(K134,FIND("/",K134)+1,10))-1)),1),0))),0,1),1)=1,"Date; ","")&amp;IF(IFERROR(IF(M134&gt;=0,0,1),1)=1,"Amount; ","")&amp;IF(IFERROR(IF(ISNUMBER(MATCH(N134,Lists!$B$2:$B$7,0)),0,1),1)=1,"Payment; ","")))</f>
        <v/>
      </c>
      <c r="R134" s="3" t="str">
        <f aca="false">IF(D134="","",IF(COUNTIFS($D$2:$D$701,D134,$E$2:$E$701,E134)&gt;1,"DUPLICATE","Unique"))</f>
        <v>Unique</v>
      </c>
    </row>
    <row r="135" customFormat="false" ht="15" hidden="false" customHeight="false" outlineLevel="0" collapsed="false">
      <c r="A135" s="3" t="n">
        <v>134</v>
      </c>
      <c r="B135" s="3" t="n">
        <v>3</v>
      </c>
      <c r="C135" s="3" t="s">
        <v>1068</v>
      </c>
      <c r="D135" s="3" t="s">
        <v>1069</v>
      </c>
      <c r="E135" s="3" t="s">
        <v>1070</v>
      </c>
      <c r="F135" s="3" t="s">
        <v>1071</v>
      </c>
      <c r="G135" s="3" t="s">
        <v>1072</v>
      </c>
      <c r="H135" s="3" t="s">
        <v>641</v>
      </c>
      <c r="I135" s="3" t="s">
        <v>59</v>
      </c>
      <c r="J135" s="3" t="s">
        <v>1073</v>
      </c>
      <c r="K135" s="3" t="s">
        <v>1074</v>
      </c>
      <c r="L135" s="3" t="s">
        <v>72</v>
      </c>
      <c r="M135" s="3" t="n">
        <v>12430.34</v>
      </c>
      <c r="N135" s="3" t="s">
        <v>55</v>
      </c>
      <c r="O135" s="3" t="n">
        <f aca="false">IFERROR(LEN(C135&amp;D135&amp;E135&amp;F135&amp;G135&amp;H135&amp;I135&amp;J135&amp;K135&amp;L135&amp;M135&amp;N135)/5,0)</f>
        <v>26</v>
      </c>
      <c r="P135" s="3" t="str">
        <f aca="false">IF(OR(D135="",C135=""),"",IF((IFERROR(IF(AND(TRIM(D135)=D135,LEN(D135)&gt;0),0,1),1)+IFERROR(IF(AND(LEN(E135)=10,ISNUMBER(VALUE(E135))),0,1),1)+IFERROR(IF(AND(ISNUMBER(SEARCH("@",F135)),ISNUMBER(SEARCH(".",F135))),0,1),1)+IFERROR(IF(AND(LEN(J135)=6,ISNUMBER(VALUE(J135))),0,1),1)+IFERROR(IF(ISNUMBER(MATCH(TRIM(I135),Lists!$A$2:$A$20,0)),0,1),1)+IFERROR(IF(AND(LEN(K135)=10,VALUE(LEFT(K135,FIND("/",K135)-1))&gt;=1,VALUE(LEFT(K135,FIND("/",K135)-1))&lt;=31,VALUE(LEFT(MID(K135,FIND("/",K135)+1,10),FIND("/",MID(K135,FIND("/",K135)+1,10))-1))&gt;=1,VALUE(LEFT(MID(K135,FIND("/",K135)+1,10),FIND("/",MID(K135,FIND("/",K135)+1,10))-1))&lt;=12,VALUE(LEFT(K135,FIND("/",K135)-1))&lt;=DAY(EOMONTH(DATE(VALUE(MID(MID(K135,FIND("/",K135)+1,10),FIND("/",MID(K135,FIND("/",K135)+1,10))+1,4)),VALUE(LEFT(MID(K135,FIND("/",K135)+1,10),FIND("/",MID(K135,FIND("/",K135)+1,10))-1)),1),0))),0,1),1)+IFERROR(IF(M135&gt;=0,0,1),1)+IFERROR(IF(ISNUMBER(MATCH(N135,Lists!$B$2:$B$7,0)),0,1),1))=0,"OK","ERROR"))</f>
        <v>OK</v>
      </c>
      <c r="Q135" s="3" t="str">
        <f aca="false">IF(D135="","",TRIM(IF(IFERROR(IF(AND(TRIM(D135)=D135,LEN(D135)&gt;0),0,1),1)=1,"Name; ","")&amp;IF(IFERROR(IF(AND(LEN(E135)=10,ISNUMBER(VALUE(E135))),0,1),1)=1,"Phone; ","")&amp;IF(IFERROR(IF(AND(ISNUMBER(SEARCH("@",F135)),ISNUMBER(SEARCH(".",F135))),0,1),1)=1,"Email; ","")&amp;IF(IFERROR(IF(AND(LEN(J135)=6,ISNUMBER(VALUE(J135))),0,1),1)=1,"Pincode; ","")&amp;IF(IFERROR(IF(ISNUMBER(MATCH(TRIM(I135),Lists!$A$2:$A$20,0)),0,1),1)=1,"State; ","")&amp;IF(IFERROR(IF(AND(LEN(K135)=10,VALUE(LEFT(K135,FIND("/",K135)-1))&gt;=1,VALUE(LEFT(K135,FIND("/",K135)-1))&lt;=31,VALUE(LEFT(MID(K135,FIND("/",K135)+1,10),FIND("/",MID(K135,FIND("/",K135)+1,10))-1))&gt;=1,VALUE(LEFT(MID(K135,FIND("/",K135)+1,10),FIND("/",MID(K135,FIND("/",K135)+1,10))-1))&lt;=12,VALUE(LEFT(K135,FIND("/",K135)-1))&lt;=DAY(EOMONTH(DATE(VALUE(MID(MID(K135,FIND("/",K135)+1,10),FIND("/",MID(K135,FIND("/",K135)+1,10))+1,4)),VALUE(LEFT(MID(K135,FIND("/",K135)+1,10),FIND("/",MID(K135,FIND("/",K135)+1,10))-1)),1),0))),0,1),1)=1,"Date; ","")&amp;IF(IFERROR(IF(M135&gt;=0,0,1),1)=1,"Amount; ","")&amp;IF(IFERROR(IF(ISNUMBER(MATCH(N135,Lists!$B$2:$B$7,0)),0,1),1)=1,"Payment; ","")))</f>
        <v/>
      </c>
      <c r="R135" s="3" t="str">
        <f aca="false">IF(D135="","",IF(COUNTIFS($D$2:$D$701,D135,$E$2:$E$701,E135)&gt;1,"DUPLICATE","Unique"))</f>
        <v>Unique</v>
      </c>
    </row>
    <row r="136" customFormat="false" ht="15" hidden="false" customHeight="false" outlineLevel="0" collapsed="false">
      <c r="A136" s="3" t="n">
        <v>135</v>
      </c>
      <c r="B136" s="3" t="n">
        <v>3</v>
      </c>
      <c r="C136" s="3" t="s">
        <v>1075</v>
      </c>
      <c r="D136" s="3" t="s">
        <v>1076</v>
      </c>
      <c r="E136" s="3" t="s">
        <v>1077</v>
      </c>
      <c r="F136" s="3" t="s">
        <v>1078</v>
      </c>
      <c r="G136" s="3" t="s">
        <v>1079</v>
      </c>
      <c r="H136" s="3" t="s">
        <v>126</v>
      </c>
      <c r="I136" s="3" t="s">
        <v>45</v>
      </c>
      <c r="J136" s="3" t="s">
        <v>1080</v>
      </c>
      <c r="K136" s="3" t="s">
        <v>1081</v>
      </c>
      <c r="L136" s="3" t="s">
        <v>74</v>
      </c>
      <c r="M136" s="3" t="n">
        <v>10983.32</v>
      </c>
      <c r="N136" s="3" t="s">
        <v>40</v>
      </c>
      <c r="O136" s="3" t="n">
        <f aca="false">IFERROR(LEN(C136&amp;D136&amp;E136&amp;F136&amp;G136&amp;H136&amp;I136&amp;J136&amp;K136&amp;L136&amp;M136&amp;N136)/5,0)</f>
        <v>25.6</v>
      </c>
      <c r="P136" s="3" t="str">
        <f aca="false">IF(OR(D136="",C136=""),"",IF((IFERROR(IF(AND(TRIM(D136)=D136,LEN(D136)&gt;0),0,1),1)+IFERROR(IF(AND(LEN(E136)=10,ISNUMBER(VALUE(E136))),0,1),1)+IFERROR(IF(AND(ISNUMBER(SEARCH("@",F136)),ISNUMBER(SEARCH(".",F136))),0,1),1)+IFERROR(IF(AND(LEN(J136)=6,ISNUMBER(VALUE(J136))),0,1),1)+IFERROR(IF(ISNUMBER(MATCH(TRIM(I136),Lists!$A$2:$A$20,0)),0,1),1)+IFERROR(IF(AND(LEN(K136)=10,VALUE(LEFT(K136,FIND("/",K136)-1))&gt;=1,VALUE(LEFT(K136,FIND("/",K136)-1))&lt;=31,VALUE(LEFT(MID(K136,FIND("/",K136)+1,10),FIND("/",MID(K136,FIND("/",K136)+1,10))-1))&gt;=1,VALUE(LEFT(MID(K136,FIND("/",K136)+1,10),FIND("/",MID(K136,FIND("/",K136)+1,10))-1))&lt;=12,VALUE(LEFT(K136,FIND("/",K136)-1))&lt;=DAY(EOMONTH(DATE(VALUE(MID(MID(K136,FIND("/",K136)+1,10),FIND("/",MID(K136,FIND("/",K136)+1,10))+1,4)),VALUE(LEFT(MID(K136,FIND("/",K136)+1,10),FIND("/",MID(K136,FIND("/",K136)+1,10))-1)),1),0))),0,1),1)+IFERROR(IF(M136&gt;=0,0,1),1)+IFERROR(IF(ISNUMBER(MATCH(N136,Lists!$B$2:$B$7,0)),0,1),1))=0,"OK","ERROR"))</f>
        <v>OK</v>
      </c>
      <c r="Q136" s="3" t="str">
        <f aca="false">IF(D136="","",TRIM(IF(IFERROR(IF(AND(TRIM(D136)=D136,LEN(D136)&gt;0),0,1),1)=1,"Name; ","")&amp;IF(IFERROR(IF(AND(LEN(E136)=10,ISNUMBER(VALUE(E136))),0,1),1)=1,"Phone; ","")&amp;IF(IFERROR(IF(AND(ISNUMBER(SEARCH("@",F136)),ISNUMBER(SEARCH(".",F136))),0,1),1)=1,"Email; ","")&amp;IF(IFERROR(IF(AND(LEN(J136)=6,ISNUMBER(VALUE(J136))),0,1),1)=1,"Pincode; ","")&amp;IF(IFERROR(IF(ISNUMBER(MATCH(TRIM(I136),Lists!$A$2:$A$20,0)),0,1),1)=1,"State; ","")&amp;IF(IFERROR(IF(AND(LEN(K136)=10,VALUE(LEFT(K136,FIND("/",K136)-1))&gt;=1,VALUE(LEFT(K136,FIND("/",K136)-1))&lt;=31,VALUE(LEFT(MID(K136,FIND("/",K136)+1,10),FIND("/",MID(K136,FIND("/",K136)+1,10))-1))&gt;=1,VALUE(LEFT(MID(K136,FIND("/",K136)+1,10),FIND("/",MID(K136,FIND("/",K136)+1,10))-1))&lt;=12,VALUE(LEFT(K136,FIND("/",K136)-1))&lt;=DAY(EOMONTH(DATE(VALUE(MID(MID(K136,FIND("/",K136)+1,10),FIND("/",MID(K136,FIND("/",K136)+1,10))+1,4)),VALUE(LEFT(MID(K136,FIND("/",K136)+1,10),FIND("/",MID(K136,FIND("/",K136)+1,10))-1)),1),0))),0,1),1)=1,"Date; ","")&amp;IF(IFERROR(IF(M136&gt;=0,0,1),1)=1,"Amount; ","")&amp;IF(IFERROR(IF(ISNUMBER(MATCH(N136,Lists!$B$2:$B$7,0)),0,1),1)=1,"Payment; ","")))</f>
        <v/>
      </c>
      <c r="R136" s="3" t="str">
        <f aca="false">IF(D136="","",IF(COUNTIFS($D$2:$D$701,D136,$E$2:$E$701,E136)&gt;1,"DUPLICATE","Unique"))</f>
        <v>Unique</v>
      </c>
    </row>
    <row r="137" customFormat="false" ht="15" hidden="false" customHeight="false" outlineLevel="0" collapsed="false">
      <c r="A137" s="3" t="n">
        <v>136</v>
      </c>
      <c r="B137" s="3" t="n">
        <v>3</v>
      </c>
      <c r="C137" s="3" t="s">
        <v>1082</v>
      </c>
      <c r="D137" s="3" t="s">
        <v>1083</v>
      </c>
      <c r="E137" s="3" t="s">
        <v>1084</v>
      </c>
      <c r="F137" s="3" t="s">
        <v>1085</v>
      </c>
      <c r="G137" s="3" t="s">
        <v>1086</v>
      </c>
      <c r="H137" s="3" t="s">
        <v>180</v>
      </c>
      <c r="I137" s="3" t="s">
        <v>42</v>
      </c>
      <c r="J137" s="3" t="s">
        <v>1087</v>
      </c>
      <c r="K137" s="3" t="s">
        <v>1088</v>
      </c>
      <c r="L137" s="3" t="s">
        <v>56</v>
      </c>
      <c r="M137" s="3" t="n">
        <v>10698.24</v>
      </c>
      <c r="N137" s="3" t="s">
        <v>55</v>
      </c>
      <c r="O137" s="3" t="n">
        <f aca="false">IFERROR(LEN(C137&amp;D137&amp;E137&amp;F137&amp;G137&amp;H137&amp;I137&amp;J137&amp;K137&amp;L137&amp;M137&amp;N137)/5,0)</f>
        <v>32</v>
      </c>
      <c r="P137" s="3" t="str">
        <f aca="false">IF(OR(D137="",C137=""),"",IF((IFERROR(IF(AND(TRIM(D137)=D137,LEN(D137)&gt;0),0,1),1)+IFERROR(IF(AND(LEN(E137)=10,ISNUMBER(VALUE(E137))),0,1),1)+IFERROR(IF(AND(ISNUMBER(SEARCH("@",F137)),ISNUMBER(SEARCH(".",F137))),0,1),1)+IFERROR(IF(AND(LEN(J137)=6,ISNUMBER(VALUE(J137))),0,1),1)+IFERROR(IF(ISNUMBER(MATCH(TRIM(I137),Lists!$A$2:$A$20,0)),0,1),1)+IFERROR(IF(AND(LEN(K137)=10,VALUE(LEFT(K137,FIND("/",K137)-1))&gt;=1,VALUE(LEFT(K137,FIND("/",K137)-1))&lt;=31,VALUE(LEFT(MID(K137,FIND("/",K137)+1,10),FIND("/",MID(K137,FIND("/",K137)+1,10))-1))&gt;=1,VALUE(LEFT(MID(K137,FIND("/",K137)+1,10),FIND("/",MID(K137,FIND("/",K137)+1,10))-1))&lt;=12,VALUE(LEFT(K137,FIND("/",K137)-1))&lt;=DAY(EOMONTH(DATE(VALUE(MID(MID(K137,FIND("/",K137)+1,10),FIND("/",MID(K137,FIND("/",K137)+1,10))+1,4)),VALUE(LEFT(MID(K137,FIND("/",K137)+1,10),FIND("/",MID(K137,FIND("/",K137)+1,10))-1)),1),0))),0,1),1)+IFERROR(IF(M137&gt;=0,0,1),1)+IFERROR(IF(ISNUMBER(MATCH(N137,Lists!$B$2:$B$7,0)),0,1),1))=0,"OK","ERROR"))</f>
        <v>OK</v>
      </c>
      <c r="Q137" s="3" t="str">
        <f aca="false">IF(D137="","",TRIM(IF(IFERROR(IF(AND(TRIM(D137)=D137,LEN(D137)&gt;0),0,1),1)=1,"Name; ","")&amp;IF(IFERROR(IF(AND(LEN(E137)=10,ISNUMBER(VALUE(E137))),0,1),1)=1,"Phone; ","")&amp;IF(IFERROR(IF(AND(ISNUMBER(SEARCH("@",F137)),ISNUMBER(SEARCH(".",F137))),0,1),1)=1,"Email; ","")&amp;IF(IFERROR(IF(AND(LEN(J137)=6,ISNUMBER(VALUE(J137))),0,1),1)=1,"Pincode; ","")&amp;IF(IFERROR(IF(ISNUMBER(MATCH(TRIM(I137),Lists!$A$2:$A$20,0)),0,1),1)=1,"State; ","")&amp;IF(IFERROR(IF(AND(LEN(K137)=10,VALUE(LEFT(K137,FIND("/",K137)-1))&gt;=1,VALUE(LEFT(K137,FIND("/",K137)-1))&lt;=31,VALUE(LEFT(MID(K137,FIND("/",K137)+1,10),FIND("/",MID(K137,FIND("/",K137)+1,10))-1))&gt;=1,VALUE(LEFT(MID(K137,FIND("/",K137)+1,10),FIND("/",MID(K137,FIND("/",K137)+1,10))-1))&lt;=12,VALUE(LEFT(K137,FIND("/",K137)-1))&lt;=DAY(EOMONTH(DATE(VALUE(MID(MID(K137,FIND("/",K137)+1,10),FIND("/",MID(K137,FIND("/",K137)+1,10))+1,4)),VALUE(LEFT(MID(K137,FIND("/",K137)+1,10),FIND("/",MID(K137,FIND("/",K137)+1,10))-1)),1),0))),0,1),1)=1,"Date; ","")&amp;IF(IFERROR(IF(M137&gt;=0,0,1),1)=1,"Amount; ","")&amp;IF(IFERROR(IF(ISNUMBER(MATCH(N137,Lists!$B$2:$B$7,0)),0,1),1)=1,"Payment; ","")))</f>
        <v/>
      </c>
      <c r="R137" s="3" t="str">
        <f aca="false">IF(D137="","",IF(COUNTIFS($D$2:$D$701,D137,$E$2:$E$701,E137)&gt;1,"DUPLICATE","Unique"))</f>
        <v>Unique</v>
      </c>
    </row>
    <row r="138" customFormat="false" ht="15" hidden="false" customHeight="false" outlineLevel="0" collapsed="false">
      <c r="A138" s="3" t="n">
        <v>137</v>
      </c>
      <c r="B138" s="3" t="n">
        <v>3</v>
      </c>
      <c r="C138" s="3" t="s">
        <v>1089</v>
      </c>
      <c r="D138" s="3" t="s">
        <v>1090</v>
      </c>
      <c r="E138" s="3" t="s">
        <v>1091</v>
      </c>
      <c r="F138" s="3" t="s">
        <v>1092</v>
      </c>
      <c r="G138" s="3" t="s">
        <v>1093</v>
      </c>
      <c r="H138" s="3" t="s">
        <v>1094</v>
      </c>
      <c r="I138" s="3" t="s">
        <v>54</v>
      </c>
      <c r="J138" s="3" t="s">
        <v>1095</v>
      </c>
      <c r="K138" s="3" t="s">
        <v>1096</v>
      </c>
      <c r="L138" s="3" t="s">
        <v>72</v>
      </c>
      <c r="M138" s="3" t="n">
        <v>6871.56</v>
      </c>
      <c r="N138" s="3" t="s">
        <v>43</v>
      </c>
      <c r="O138" s="3" t="n">
        <f aca="false">IFERROR(LEN(C138&amp;D138&amp;E138&amp;F138&amp;G138&amp;H138&amp;I138&amp;J138&amp;K138&amp;L138&amp;M138&amp;N138)/5,0)</f>
        <v>27.6</v>
      </c>
      <c r="P138" s="3" t="str">
        <f aca="false">IF(OR(D138="",C138=""),"",IF((IFERROR(IF(AND(TRIM(D138)=D138,LEN(D138)&gt;0),0,1),1)+IFERROR(IF(AND(LEN(E138)=10,ISNUMBER(VALUE(E138))),0,1),1)+IFERROR(IF(AND(ISNUMBER(SEARCH("@",F138)),ISNUMBER(SEARCH(".",F138))),0,1),1)+IFERROR(IF(AND(LEN(J138)=6,ISNUMBER(VALUE(J138))),0,1),1)+IFERROR(IF(ISNUMBER(MATCH(TRIM(I138),Lists!$A$2:$A$20,0)),0,1),1)+IFERROR(IF(AND(LEN(K138)=10,VALUE(LEFT(K138,FIND("/",K138)-1))&gt;=1,VALUE(LEFT(K138,FIND("/",K138)-1))&lt;=31,VALUE(LEFT(MID(K138,FIND("/",K138)+1,10),FIND("/",MID(K138,FIND("/",K138)+1,10))-1))&gt;=1,VALUE(LEFT(MID(K138,FIND("/",K138)+1,10),FIND("/",MID(K138,FIND("/",K138)+1,10))-1))&lt;=12,VALUE(LEFT(K138,FIND("/",K138)-1))&lt;=DAY(EOMONTH(DATE(VALUE(MID(MID(K138,FIND("/",K138)+1,10),FIND("/",MID(K138,FIND("/",K138)+1,10))+1,4)),VALUE(LEFT(MID(K138,FIND("/",K138)+1,10),FIND("/",MID(K138,FIND("/",K138)+1,10))-1)),1),0))),0,1),1)+IFERROR(IF(M138&gt;=0,0,1),1)+IFERROR(IF(ISNUMBER(MATCH(N138,Lists!$B$2:$B$7,0)),0,1),1))=0,"OK","ERROR"))</f>
        <v>OK</v>
      </c>
      <c r="Q138" s="3" t="str">
        <f aca="false">IF(D138="","",TRIM(IF(IFERROR(IF(AND(TRIM(D138)=D138,LEN(D138)&gt;0),0,1),1)=1,"Name; ","")&amp;IF(IFERROR(IF(AND(LEN(E138)=10,ISNUMBER(VALUE(E138))),0,1),1)=1,"Phone; ","")&amp;IF(IFERROR(IF(AND(ISNUMBER(SEARCH("@",F138)),ISNUMBER(SEARCH(".",F138))),0,1),1)=1,"Email; ","")&amp;IF(IFERROR(IF(AND(LEN(J138)=6,ISNUMBER(VALUE(J138))),0,1),1)=1,"Pincode; ","")&amp;IF(IFERROR(IF(ISNUMBER(MATCH(TRIM(I138),Lists!$A$2:$A$20,0)),0,1),1)=1,"State; ","")&amp;IF(IFERROR(IF(AND(LEN(K138)=10,VALUE(LEFT(K138,FIND("/",K138)-1))&gt;=1,VALUE(LEFT(K138,FIND("/",K138)-1))&lt;=31,VALUE(LEFT(MID(K138,FIND("/",K138)+1,10),FIND("/",MID(K138,FIND("/",K138)+1,10))-1))&gt;=1,VALUE(LEFT(MID(K138,FIND("/",K138)+1,10),FIND("/",MID(K138,FIND("/",K138)+1,10))-1))&lt;=12,VALUE(LEFT(K138,FIND("/",K138)-1))&lt;=DAY(EOMONTH(DATE(VALUE(MID(MID(K138,FIND("/",K138)+1,10),FIND("/",MID(K138,FIND("/",K138)+1,10))+1,4)),VALUE(LEFT(MID(K138,FIND("/",K138)+1,10),FIND("/",MID(K138,FIND("/",K138)+1,10))-1)),1),0))),0,1),1)=1,"Date; ","")&amp;IF(IFERROR(IF(M138&gt;=0,0,1),1)=1,"Amount; ","")&amp;IF(IFERROR(IF(ISNUMBER(MATCH(N138,Lists!$B$2:$B$7,0)),0,1),1)=1,"Payment; ","")))</f>
        <v/>
      </c>
      <c r="R138" s="3" t="str">
        <f aca="false">IF(D138="","",IF(COUNTIFS($D$2:$D$701,D138,$E$2:$E$701,E138)&gt;1,"DUPLICATE","Unique"))</f>
        <v>Unique</v>
      </c>
    </row>
    <row r="139" customFormat="false" ht="15" hidden="false" customHeight="false" outlineLevel="0" collapsed="false">
      <c r="A139" s="3" t="n">
        <v>138</v>
      </c>
      <c r="B139" s="3" t="n">
        <v>3</v>
      </c>
      <c r="C139" s="3" t="s">
        <v>1097</v>
      </c>
      <c r="D139" s="3" t="s">
        <v>1098</v>
      </c>
      <c r="E139" s="3" t="s">
        <v>1099</v>
      </c>
      <c r="F139" s="3" t="s">
        <v>1100</v>
      </c>
      <c r="G139" s="3" t="s">
        <v>1101</v>
      </c>
      <c r="H139" s="3" t="s">
        <v>819</v>
      </c>
      <c r="I139" s="3" t="s">
        <v>75</v>
      </c>
      <c r="J139" s="3" t="s">
        <v>1102</v>
      </c>
      <c r="K139" s="3" t="s">
        <v>1103</v>
      </c>
      <c r="L139" s="3" t="s">
        <v>60</v>
      </c>
      <c r="M139" s="3" t="n">
        <v>5747.77</v>
      </c>
      <c r="N139" s="3" t="s">
        <v>43</v>
      </c>
      <c r="O139" s="3" t="n">
        <f aca="false">IFERROR(LEN(C139&amp;D139&amp;E139&amp;F139&amp;G139&amp;H139&amp;I139&amp;J139&amp;K139&amp;L139&amp;M139&amp;N139)/5,0)</f>
        <v>26.6</v>
      </c>
      <c r="P139" s="3" t="str">
        <f aca="false">IF(OR(D139="",C139=""),"",IF((IFERROR(IF(AND(TRIM(D139)=D139,LEN(D139)&gt;0),0,1),1)+IFERROR(IF(AND(LEN(E139)=10,ISNUMBER(VALUE(E139))),0,1),1)+IFERROR(IF(AND(ISNUMBER(SEARCH("@",F139)),ISNUMBER(SEARCH(".",F139))),0,1),1)+IFERROR(IF(AND(LEN(J139)=6,ISNUMBER(VALUE(J139))),0,1),1)+IFERROR(IF(ISNUMBER(MATCH(TRIM(I139),Lists!$A$2:$A$20,0)),0,1),1)+IFERROR(IF(AND(LEN(K139)=10,VALUE(LEFT(K139,FIND("/",K139)-1))&gt;=1,VALUE(LEFT(K139,FIND("/",K139)-1))&lt;=31,VALUE(LEFT(MID(K139,FIND("/",K139)+1,10),FIND("/",MID(K139,FIND("/",K139)+1,10))-1))&gt;=1,VALUE(LEFT(MID(K139,FIND("/",K139)+1,10),FIND("/",MID(K139,FIND("/",K139)+1,10))-1))&lt;=12,VALUE(LEFT(K139,FIND("/",K139)-1))&lt;=DAY(EOMONTH(DATE(VALUE(MID(MID(K139,FIND("/",K139)+1,10),FIND("/",MID(K139,FIND("/",K139)+1,10))+1,4)),VALUE(LEFT(MID(K139,FIND("/",K139)+1,10),FIND("/",MID(K139,FIND("/",K139)+1,10))-1)),1),0))),0,1),1)+IFERROR(IF(M139&gt;=0,0,1),1)+IFERROR(IF(ISNUMBER(MATCH(N139,Lists!$B$2:$B$7,0)),0,1),1))=0,"OK","ERROR"))</f>
        <v>OK</v>
      </c>
      <c r="Q139" s="3" t="str">
        <f aca="false">IF(D139="","",TRIM(IF(IFERROR(IF(AND(TRIM(D139)=D139,LEN(D139)&gt;0),0,1),1)=1,"Name; ","")&amp;IF(IFERROR(IF(AND(LEN(E139)=10,ISNUMBER(VALUE(E139))),0,1),1)=1,"Phone; ","")&amp;IF(IFERROR(IF(AND(ISNUMBER(SEARCH("@",F139)),ISNUMBER(SEARCH(".",F139))),0,1),1)=1,"Email; ","")&amp;IF(IFERROR(IF(AND(LEN(J139)=6,ISNUMBER(VALUE(J139))),0,1),1)=1,"Pincode; ","")&amp;IF(IFERROR(IF(ISNUMBER(MATCH(TRIM(I139),Lists!$A$2:$A$20,0)),0,1),1)=1,"State; ","")&amp;IF(IFERROR(IF(AND(LEN(K139)=10,VALUE(LEFT(K139,FIND("/",K139)-1))&gt;=1,VALUE(LEFT(K139,FIND("/",K139)-1))&lt;=31,VALUE(LEFT(MID(K139,FIND("/",K139)+1,10),FIND("/",MID(K139,FIND("/",K139)+1,10))-1))&gt;=1,VALUE(LEFT(MID(K139,FIND("/",K139)+1,10),FIND("/",MID(K139,FIND("/",K139)+1,10))-1))&lt;=12,VALUE(LEFT(K139,FIND("/",K139)-1))&lt;=DAY(EOMONTH(DATE(VALUE(MID(MID(K139,FIND("/",K139)+1,10),FIND("/",MID(K139,FIND("/",K139)+1,10))+1,4)),VALUE(LEFT(MID(K139,FIND("/",K139)+1,10),FIND("/",MID(K139,FIND("/",K139)+1,10))-1)),1),0))),0,1),1)=1,"Date; ","")&amp;IF(IFERROR(IF(M139&gt;=0,0,1),1)=1,"Amount; ","")&amp;IF(IFERROR(IF(ISNUMBER(MATCH(N139,Lists!$B$2:$B$7,0)),0,1),1)=1,"Payment; ","")))</f>
        <v/>
      </c>
      <c r="R139" s="3" t="str">
        <f aca="false">IF(D139="","",IF(COUNTIFS($D$2:$D$701,D139,$E$2:$E$701,E139)&gt;1,"DUPLICATE","Unique"))</f>
        <v>Unique</v>
      </c>
    </row>
    <row r="140" customFormat="false" ht="15" hidden="false" customHeight="false" outlineLevel="0" collapsed="false">
      <c r="A140" s="3" t="n">
        <v>139</v>
      </c>
      <c r="B140" s="3" t="n">
        <v>3</v>
      </c>
      <c r="C140" s="3" t="s">
        <v>1104</v>
      </c>
      <c r="D140" s="3" t="s">
        <v>1105</v>
      </c>
      <c r="E140" s="3" t="s">
        <v>1106</v>
      </c>
      <c r="F140" s="3" t="s">
        <v>1107</v>
      </c>
      <c r="G140" s="3" t="s">
        <v>1108</v>
      </c>
      <c r="H140" s="3" t="s">
        <v>281</v>
      </c>
      <c r="I140" s="3" t="s">
        <v>51</v>
      </c>
      <c r="J140" s="3" t="s">
        <v>1109</v>
      </c>
      <c r="K140" s="3" t="s">
        <v>1110</v>
      </c>
      <c r="L140" s="3" t="s">
        <v>64</v>
      </c>
      <c r="M140" s="3" t="n">
        <v>9679.12</v>
      </c>
      <c r="N140" s="3" t="s">
        <v>52</v>
      </c>
      <c r="O140" s="3" t="n">
        <f aca="false">IFERROR(LEN(C140&amp;D140&amp;E140&amp;F140&amp;G140&amp;H140&amp;I140&amp;J140&amp;K140&amp;L140&amp;M140&amp;N140)/5,0)</f>
        <v>25.4</v>
      </c>
      <c r="P140" s="3" t="str">
        <f aca="false">IF(OR(D140="",C140=""),"",IF((IFERROR(IF(AND(TRIM(D140)=D140,LEN(D140)&gt;0),0,1),1)+IFERROR(IF(AND(LEN(E140)=10,ISNUMBER(VALUE(E140))),0,1),1)+IFERROR(IF(AND(ISNUMBER(SEARCH("@",F140)),ISNUMBER(SEARCH(".",F140))),0,1),1)+IFERROR(IF(AND(LEN(J140)=6,ISNUMBER(VALUE(J140))),0,1),1)+IFERROR(IF(ISNUMBER(MATCH(TRIM(I140),Lists!$A$2:$A$20,0)),0,1),1)+IFERROR(IF(AND(LEN(K140)=10,VALUE(LEFT(K140,FIND("/",K140)-1))&gt;=1,VALUE(LEFT(K140,FIND("/",K140)-1))&lt;=31,VALUE(LEFT(MID(K140,FIND("/",K140)+1,10),FIND("/",MID(K140,FIND("/",K140)+1,10))-1))&gt;=1,VALUE(LEFT(MID(K140,FIND("/",K140)+1,10),FIND("/",MID(K140,FIND("/",K140)+1,10))-1))&lt;=12,VALUE(LEFT(K140,FIND("/",K140)-1))&lt;=DAY(EOMONTH(DATE(VALUE(MID(MID(K140,FIND("/",K140)+1,10),FIND("/",MID(K140,FIND("/",K140)+1,10))+1,4)),VALUE(LEFT(MID(K140,FIND("/",K140)+1,10),FIND("/",MID(K140,FIND("/",K140)+1,10))-1)),1),0))),0,1),1)+IFERROR(IF(M140&gt;=0,0,1),1)+IFERROR(IF(ISNUMBER(MATCH(N140,Lists!$B$2:$B$7,0)),0,1),1))=0,"OK","ERROR"))</f>
        <v>OK</v>
      </c>
      <c r="Q140" s="3" t="str">
        <f aca="false">IF(D140="","",TRIM(IF(IFERROR(IF(AND(TRIM(D140)=D140,LEN(D140)&gt;0),0,1),1)=1,"Name; ","")&amp;IF(IFERROR(IF(AND(LEN(E140)=10,ISNUMBER(VALUE(E140))),0,1),1)=1,"Phone; ","")&amp;IF(IFERROR(IF(AND(ISNUMBER(SEARCH("@",F140)),ISNUMBER(SEARCH(".",F140))),0,1),1)=1,"Email; ","")&amp;IF(IFERROR(IF(AND(LEN(J140)=6,ISNUMBER(VALUE(J140))),0,1),1)=1,"Pincode; ","")&amp;IF(IFERROR(IF(ISNUMBER(MATCH(TRIM(I140),Lists!$A$2:$A$20,0)),0,1),1)=1,"State; ","")&amp;IF(IFERROR(IF(AND(LEN(K140)=10,VALUE(LEFT(K140,FIND("/",K140)-1))&gt;=1,VALUE(LEFT(K140,FIND("/",K140)-1))&lt;=31,VALUE(LEFT(MID(K140,FIND("/",K140)+1,10),FIND("/",MID(K140,FIND("/",K140)+1,10))-1))&gt;=1,VALUE(LEFT(MID(K140,FIND("/",K140)+1,10),FIND("/",MID(K140,FIND("/",K140)+1,10))-1))&lt;=12,VALUE(LEFT(K140,FIND("/",K140)-1))&lt;=DAY(EOMONTH(DATE(VALUE(MID(MID(K140,FIND("/",K140)+1,10),FIND("/",MID(K140,FIND("/",K140)+1,10))+1,4)),VALUE(LEFT(MID(K140,FIND("/",K140)+1,10),FIND("/",MID(K140,FIND("/",K140)+1,10))-1)),1),0))),0,1),1)=1,"Date; ","")&amp;IF(IFERROR(IF(M140&gt;=0,0,1),1)=1,"Amount; ","")&amp;IF(IFERROR(IF(ISNUMBER(MATCH(N140,Lists!$B$2:$B$7,0)),0,1),1)=1,"Payment; ","")))</f>
        <v/>
      </c>
      <c r="R140" s="3" t="str">
        <f aca="false">IF(D140="","",IF(COUNTIFS($D$2:$D$701,D140,$E$2:$E$701,E140)&gt;1,"DUPLICATE","Unique"))</f>
        <v>Unique</v>
      </c>
    </row>
    <row r="141" customFormat="false" ht="15" hidden="false" customHeight="false" outlineLevel="0" collapsed="false">
      <c r="A141" s="3" t="n">
        <v>140</v>
      </c>
      <c r="B141" s="3" t="n">
        <v>3</v>
      </c>
      <c r="C141" s="3" t="s">
        <v>1111</v>
      </c>
      <c r="D141" s="3" t="s">
        <v>1112</v>
      </c>
      <c r="E141" s="3" t="s">
        <v>1113</v>
      </c>
      <c r="F141" s="3" t="s">
        <v>1114</v>
      </c>
      <c r="G141" s="3" t="s">
        <v>1115</v>
      </c>
      <c r="H141" s="3" t="s">
        <v>258</v>
      </c>
      <c r="I141" s="3" t="s">
        <v>63</v>
      </c>
      <c r="J141" s="3" t="s">
        <v>1116</v>
      </c>
      <c r="K141" s="3" t="s">
        <v>1117</v>
      </c>
      <c r="L141" s="3" t="s">
        <v>62</v>
      </c>
      <c r="M141" s="3" t="n">
        <v>14240.85</v>
      </c>
      <c r="N141" s="3" t="s">
        <v>40</v>
      </c>
      <c r="O141" s="3" t="n">
        <f aca="false">IFERROR(LEN(C141&amp;D141&amp;E141&amp;F141&amp;G141&amp;H141&amp;I141&amp;J141&amp;K141&amp;L141&amp;M141&amp;N141)/5,0)</f>
        <v>25.8</v>
      </c>
      <c r="P141" s="3" t="str">
        <f aca="false">IF(OR(D141="",C141=""),"",IF((IFERROR(IF(AND(TRIM(D141)=D141,LEN(D141)&gt;0),0,1),1)+IFERROR(IF(AND(LEN(E141)=10,ISNUMBER(VALUE(E141))),0,1),1)+IFERROR(IF(AND(ISNUMBER(SEARCH("@",F141)),ISNUMBER(SEARCH(".",F141))),0,1),1)+IFERROR(IF(AND(LEN(J141)=6,ISNUMBER(VALUE(J141))),0,1),1)+IFERROR(IF(ISNUMBER(MATCH(TRIM(I141),Lists!$A$2:$A$20,0)),0,1),1)+IFERROR(IF(AND(LEN(K141)=10,VALUE(LEFT(K141,FIND("/",K141)-1))&gt;=1,VALUE(LEFT(K141,FIND("/",K141)-1))&lt;=31,VALUE(LEFT(MID(K141,FIND("/",K141)+1,10),FIND("/",MID(K141,FIND("/",K141)+1,10))-1))&gt;=1,VALUE(LEFT(MID(K141,FIND("/",K141)+1,10),FIND("/",MID(K141,FIND("/",K141)+1,10))-1))&lt;=12,VALUE(LEFT(K141,FIND("/",K141)-1))&lt;=DAY(EOMONTH(DATE(VALUE(MID(MID(K141,FIND("/",K141)+1,10),FIND("/",MID(K141,FIND("/",K141)+1,10))+1,4)),VALUE(LEFT(MID(K141,FIND("/",K141)+1,10),FIND("/",MID(K141,FIND("/",K141)+1,10))-1)),1),0))),0,1),1)+IFERROR(IF(M141&gt;=0,0,1),1)+IFERROR(IF(ISNUMBER(MATCH(N141,Lists!$B$2:$B$7,0)),0,1),1))=0,"OK","ERROR"))</f>
        <v>OK</v>
      </c>
      <c r="Q141" s="3" t="str">
        <f aca="false">IF(D141="","",TRIM(IF(IFERROR(IF(AND(TRIM(D141)=D141,LEN(D141)&gt;0),0,1),1)=1,"Name; ","")&amp;IF(IFERROR(IF(AND(LEN(E141)=10,ISNUMBER(VALUE(E141))),0,1),1)=1,"Phone; ","")&amp;IF(IFERROR(IF(AND(ISNUMBER(SEARCH("@",F141)),ISNUMBER(SEARCH(".",F141))),0,1),1)=1,"Email; ","")&amp;IF(IFERROR(IF(AND(LEN(J141)=6,ISNUMBER(VALUE(J141))),0,1),1)=1,"Pincode; ","")&amp;IF(IFERROR(IF(ISNUMBER(MATCH(TRIM(I141),Lists!$A$2:$A$20,0)),0,1),1)=1,"State; ","")&amp;IF(IFERROR(IF(AND(LEN(K141)=10,VALUE(LEFT(K141,FIND("/",K141)-1))&gt;=1,VALUE(LEFT(K141,FIND("/",K141)-1))&lt;=31,VALUE(LEFT(MID(K141,FIND("/",K141)+1,10),FIND("/",MID(K141,FIND("/",K141)+1,10))-1))&gt;=1,VALUE(LEFT(MID(K141,FIND("/",K141)+1,10),FIND("/",MID(K141,FIND("/",K141)+1,10))-1))&lt;=12,VALUE(LEFT(K141,FIND("/",K141)-1))&lt;=DAY(EOMONTH(DATE(VALUE(MID(MID(K141,FIND("/",K141)+1,10),FIND("/",MID(K141,FIND("/",K141)+1,10))+1,4)),VALUE(LEFT(MID(K141,FIND("/",K141)+1,10),FIND("/",MID(K141,FIND("/",K141)+1,10))-1)),1),0))),0,1),1)=1,"Date; ","")&amp;IF(IFERROR(IF(M141&gt;=0,0,1),1)=1,"Amount; ","")&amp;IF(IFERROR(IF(ISNUMBER(MATCH(N141,Lists!$B$2:$B$7,0)),0,1),1)=1,"Payment; ","")))</f>
        <v/>
      </c>
      <c r="R141" s="3" t="str">
        <f aca="false">IF(D141="","",IF(COUNTIFS($D$2:$D$701,D141,$E$2:$E$701,E141)&gt;1,"DUPLICATE","Unique"))</f>
        <v>Unique</v>
      </c>
    </row>
    <row r="142" customFormat="false" ht="15" hidden="false" customHeight="false" outlineLevel="0" collapsed="false">
      <c r="A142" s="3" t="n">
        <v>141</v>
      </c>
      <c r="B142" s="3" t="n">
        <v>3</v>
      </c>
      <c r="C142" s="3" t="s">
        <v>1118</v>
      </c>
      <c r="D142" s="3" t="s">
        <v>1119</v>
      </c>
      <c r="E142" s="3" t="s">
        <v>1120</v>
      </c>
      <c r="F142" s="3" t="s">
        <v>1121</v>
      </c>
      <c r="G142" s="3" t="s">
        <v>1122</v>
      </c>
      <c r="H142" s="3" t="s">
        <v>548</v>
      </c>
      <c r="I142" s="3" t="s">
        <v>67</v>
      </c>
      <c r="J142" s="3" t="s">
        <v>1123</v>
      </c>
      <c r="K142" s="3" t="s">
        <v>1124</v>
      </c>
      <c r="L142" s="3" t="s">
        <v>66</v>
      </c>
      <c r="M142" s="3" t="n">
        <v>11458.54</v>
      </c>
      <c r="N142" s="3" t="s">
        <v>49</v>
      </c>
      <c r="O142" s="3" t="n">
        <f aca="false">IFERROR(LEN(C142&amp;D142&amp;E142&amp;F142&amp;G142&amp;H142&amp;I142&amp;J142&amp;K142&amp;L142&amp;M142&amp;N142)/5,0)</f>
        <v>29</v>
      </c>
      <c r="P142" s="3" t="str">
        <f aca="false">IF(OR(D142="",C142=""),"",IF((IFERROR(IF(AND(TRIM(D142)=D142,LEN(D142)&gt;0),0,1),1)+IFERROR(IF(AND(LEN(E142)=10,ISNUMBER(VALUE(E142))),0,1),1)+IFERROR(IF(AND(ISNUMBER(SEARCH("@",F142)),ISNUMBER(SEARCH(".",F142))),0,1),1)+IFERROR(IF(AND(LEN(J142)=6,ISNUMBER(VALUE(J142))),0,1),1)+IFERROR(IF(ISNUMBER(MATCH(TRIM(I142),Lists!$A$2:$A$20,0)),0,1),1)+IFERROR(IF(AND(LEN(K142)=10,VALUE(LEFT(K142,FIND("/",K142)-1))&gt;=1,VALUE(LEFT(K142,FIND("/",K142)-1))&lt;=31,VALUE(LEFT(MID(K142,FIND("/",K142)+1,10),FIND("/",MID(K142,FIND("/",K142)+1,10))-1))&gt;=1,VALUE(LEFT(MID(K142,FIND("/",K142)+1,10),FIND("/",MID(K142,FIND("/",K142)+1,10))-1))&lt;=12,VALUE(LEFT(K142,FIND("/",K142)-1))&lt;=DAY(EOMONTH(DATE(VALUE(MID(MID(K142,FIND("/",K142)+1,10),FIND("/",MID(K142,FIND("/",K142)+1,10))+1,4)),VALUE(LEFT(MID(K142,FIND("/",K142)+1,10),FIND("/",MID(K142,FIND("/",K142)+1,10))-1)),1),0))),0,1),1)+IFERROR(IF(M142&gt;=0,0,1),1)+IFERROR(IF(ISNUMBER(MATCH(N142,Lists!$B$2:$B$7,0)),0,1),1))=0,"OK","ERROR"))</f>
        <v>OK</v>
      </c>
      <c r="Q142" s="3" t="str">
        <f aca="false">IF(D142="","",TRIM(IF(IFERROR(IF(AND(TRIM(D142)=D142,LEN(D142)&gt;0),0,1),1)=1,"Name; ","")&amp;IF(IFERROR(IF(AND(LEN(E142)=10,ISNUMBER(VALUE(E142))),0,1),1)=1,"Phone; ","")&amp;IF(IFERROR(IF(AND(ISNUMBER(SEARCH("@",F142)),ISNUMBER(SEARCH(".",F142))),0,1),1)=1,"Email; ","")&amp;IF(IFERROR(IF(AND(LEN(J142)=6,ISNUMBER(VALUE(J142))),0,1),1)=1,"Pincode; ","")&amp;IF(IFERROR(IF(ISNUMBER(MATCH(TRIM(I142),Lists!$A$2:$A$20,0)),0,1),1)=1,"State; ","")&amp;IF(IFERROR(IF(AND(LEN(K142)=10,VALUE(LEFT(K142,FIND("/",K142)-1))&gt;=1,VALUE(LEFT(K142,FIND("/",K142)-1))&lt;=31,VALUE(LEFT(MID(K142,FIND("/",K142)+1,10),FIND("/",MID(K142,FIND("/",K142)+1,10))-1))&gt;=1,VALUE(LEFT(MID(K142,FIND("/",K142)+1,10),FIND("/",MID(K142,FIND("/",K142)+1,10))-1))&lt;=12,VALUE(LEFT(K142,FIND("/",K142)-1))&lt;=DAY(EOMONTH(DATE(VALUE(MID(MID(K142,FIND("/",K142)+1,10),FIND("/",MID(K142,FIND("/",K142)+1,10))+1,4)),VALUE(LEFT(MID(K142,FIND("/",K142)+1,10),FIND("/",MID(K142,FIND("/",K142)+1,10))-1)),1),0))),0,1),1)=1,"Date; ","")&amp;IF(IFERROR(IF(M142&gt;=0,0,1),1)=1,"Amount; ","")&amp;IF(IFERROR(IF(ISNUMBER(MATCH(N142,Lists!$B$2:$B$7,0)),0,1),1)=1,"Payment; ","")))</f>
        <v/>
      </c>
      <c r="R142" s="3" t="str">
        <f aca="false">IF(D142="","",IF(COUNTIFS($D$2:$D$701,D142,$E$2:$E$701,E142)&gt;1,"DUPLICATE","Unique"))</f>
        <v>Unique</v>
      </c>
    </row>
    <row r="143" customFormat="false" ht="15" hidden="false" customHeight="false" outlineLevel="0" collapsed="false">
      <c r="A143" s="3" t="n">
        <v>142</v>
      </c>
      <c r="B143" s="3" t="n">
        <v>3</v>
      </c>
      <c r="C143" s="3" t="s">
        <v>1125</v>
      </c>
      <c r="D143" s="3" t="s">
        <v>1126</v>
      </c>
      <c r="E143" s="3" t="s">
        <v>1127</v>
      </c>
      <c r="F143" s="3" t="s">
        <v>1128</v>
      </c>
      <c r="G143" s="3" t="s">
        <v>1129</v>
      </c>
      <c r="H143" s="3" t="s">
        <v>235</v>
      </c>
      <c r="I143" s="3" t="s">
        <v>71</v>
      </c>
      <c r="J143" s="3" t="s">
        <v>1130</v>
      </c>
      <c r="K143" s="3" t="s">
        <v>1131</v>
      </c>
      <c r="L143" s="3" t="s">
        <v>68</v>
      </c>
      <c r="M143" s="3" t="n">
        <v>7111.28</v>
      </c>
      <c r="N143" s="3" t="s">
        <v>43</v>
      </c>
      <c r="O143" s="3" t="n">
        <f aca="false">IFERROR(LEN(C143&amp;D143&amp;E143&amp;F143&amp;G143&amp;H143&amp;I143&amp;J143&amp;K143&amp;L143&amp;M143&amp;N143)/5,0)</f>
        <v>25.4</v>
      </c>
      <c r="P143" s="3" t="str">
        <f aca="false">IF(OR(D143="",C143=""),"",IF((IFERROR(IF(AND(TRIM(D143)=D143,LEN(D143)&gt;0),0,1),1)+IFERROR(IF(AND(LEN(E143)=10,ISNUMBER(VALUE(E143))),0,1),1)+IFERROR(IF(AND(ISNUMBER(SEARCH("@",F143)),ISNUMBER(SEARCH(".",F143))),0,1),1)+IFERROR(IF(AND(LEN(J143)=6,ISNUMBER(VALUE(J143))),0,1),1)+IFERROR(IF(ISNUMBER(MATCH(TRIM(I143),Lists!$A$2:$A$20,0)),0,1),1)+IFERROR(IF(AND(LEN(K143)=10,VALUE(LEFT(K143,FIND("/",K143)-1))&gt;=1,VALUE(LEFT(K143,FIND("/",K143)-1))&lt;=31,VALUE(LEFT(MID(K143,FIND("/",K143)+1,10),FIND("/",MID(K143,FIND("/",K143)+1,10))-1))&gt;=1,VALUE(LEFT(MID(K143,FIND("/",K143)+1,10),FIND("/",MID(K143,FIND("/",K143)+1,10))-1))&lt;=12,VALUE(LEFT(K143,FIND("/",K143)-1))&lt;=DAY(EOMONTH(DATE(VALUE(MID(MID(K143,FIND("/",K143)+1,10),FIND("/",MID(K143,FIND("/",K143)+1,10))+1,4)),VALUE(LEFT(MID(K143,FIND("/",K143)+1,10),FIND("/",MID(K143,FIND("/",K143)+1,10))-1)),1),0))),0,1),1)+IFERROR(IF(M143&gt;=0,0,1),1)+IFERROR(IF(ISNUMBER(MATCH(N143,Lists!$B$2:$B$7,0)),0,1),1))=0,"OK","ERROR"))</f>
        <v>OK</v>
      </c>
      <c r="Q143" s="3" t="str">
        <f aca="false">IF(D143="","",TRIM(IF(IFERROR(IF(AND(TRIM(D143)=D143,LEN(D143)&gt;0),0,1),1)=1,"Name; ","")&amp;IF(IFERROR(IF(AND(LEN(E143)=10,ISNUMBER(VALUE(E143))),0,1),1)=1,"Phone; ","")&amp;IF(IFERROR(IF(AND(ISNUMBER(SEARCH("@",F143)),ISNUMBER(SEARCH(".",F143))),0,1),1)=1,"Email; ","")&amp;IF(IFERROR(IF(AND(LEN(J143)=6,ISNUMBER(VALUE(J143))),0,1),1)=1,"Pincode; ","")&amp;IF(IFERROR(IF(ISNUMBER(MATCH(TRIM(I143),Lists!$A$2:$A$20,0)),0,1),1)=1,"State; ","")&amp;IF(IFERROR(IF(AND(LEN(K143)=10,VALUE(LEFT(K143,FIND("/",K143)-1))&gt;=1,VALUE(LEFT(K143,FIND("/",K143)-1))&lt;=31,VALUE(LEFT(MID(K143,FIND("/",K143)+1,10),FIND("/",MID(K143,FIND("/",K143)+1,10))-1))&gt;=1,VALUE(LEFT(MID(K143,FIND("/",K143)+1,10),FIND("/",MID(K143,FIND("/",K143)+1,10))-1))&lt;=12,VALUE(LEFT(K143,FIND("/",K143)-1))&lt;=DAY(EOMONTH(DATE(VALUE(MID(MID(K143,FIND("/",K143)+1,10),FIND("/",MID(K143,FIND("/",K143)+1,10))+1,4)),VALUE(LEFT(MID(K143,FIND("/",K143)+1,10),FIND("/",MID(K143,FIND("/",K143)+1,10))-1)),1),0))),0,1),1)=1,"Date; ","")&amp;IF(IFERROR(IF(M143&gt;=0,0,1),1)=1,"Amount; ","")&amp;IF(IFERROR(IF(ISNUMBER(MATCH(N143,Lists!$B$2:$B$7,0)),0,1),1)=1,"Payment; ","")))</f>
        <v/>
      </c>
      <c r="R143" s="3" t="str">
        <f aca="false">IF(D143="","",IF(COUNTIFS($D$2:$D$701,D143,$E$2:$E$701,E143)&gt;1,"DUPLICATE","Unique"))</f>
        <v>Unique</v>
      </c>
    </row>
    <row r="144" customFormat="false" ht="15" hidden="false" customHeight="false" outlineLevel="0" collapsed="false">
      <c r="A144" s="3" t="n">
        <v>143</v>
      </c>
      <c r="B144" s="3" t="n">
        <v>3</v>
      </c>
      <c r="C144" s="3" t="s">
        <v>1132</v>
      </c>
      <c r="D144" s="3" t="s">
        <v>1133</v>
      </c>
      <c r="E144" s="3" t="s">
        <v>1134</v>
      </c>
      <c r="F144" s="3" t="s">
        <v>1135</v>
      </c>
      <c r="G144" s="3" t="s">
        <v>1136</v>
      </c>
      <c r="H144" s="3" t="s">
        <v>370</v>
      </c>
      <c r="I144" s="3" t="s">
        <v>42</v>
      </c>
      <c r="J144" s="3" t="s">
        <v>1137</v>
      </c>
      <c r="K144" s="3" t="s">
        <v>1138</v>
      </c>
      <c r="L144" s="3" t="s">
        <v>70</v>
      </c>
      <c r="M144" s="3" t="n">
        <v>13194.61</v>
      </c>
      <c r="N144" s="3" t="s">
        <v>46</v>
      </c>
      <c r="O144" s="3" t="n">
        <f aca="false">IFERROR(LEN(C144&amp;D144&amp;E144&amp;F144&amp;G144&amp;H144&amp;I144&amp;J144&amp;K144&amp;L144&amp;M144&amp;N144)/5,0)</f>
        <v>27.8</v>
      </c>
      <c r="P144" s="3" t="str">
        <f aca="false">IF(OR(D144="",C144=""),"",IF((IFERROR(IF(AND(TRIM(D144)=D144,LEN(D144)&gt;0),0,1),1)+IFERROR(IF(AND(LEN(E144)=10,ISNUMBER(VALUE(E144))),0,1),1)+IFERROR(IF(AND(ISNUMBER(SEARCH("@",F144)),ISNUMBER(SEARCH(".",F144))),0,1),1)+IFERROR(IF(AND(LEN(J144)=6,ISNUMBER(VALUE(J144))),0,1),1)+IFERROR(IF(ISNUMBER(MATCH(TRIM(I144),Lists!$A$2:$A$20,0)),0,1),1)+IFERROR(IF(AND(LEN(K144)=10,VALUE(LEFT(K144,FIND("/",K144)-1))&gt;=1,VALUE(LEFT(K144,FIND("/",K144)-1))&lt;=31,VALUE(LEFT(MID(K144,FIND("/",K144)+1,10),FIND("/",MID(K144,FIND("/",K144)+1,10))-1))&gt;=1,VALUE(LEFT(MID(K144,FIND("/",K144)+1,10),FIND("/",MID(K144,FIND("/",K144)+1,10))-1))&lt;=12,VALUE(LEFT(K144,FIND("/",K144)-1))&lt;=DAY(EOMONTH(DATE(VALUE(MID(MID(K144,FIND("/",K144)+1,10),FIND("/",MID(K144,FIND("/",K144)+1,10))+1,4)),VALUE(LEFT(MID(K144,FIND("/",K144)+1,10),FIND("/",MID(K144,FIND("/",K144)+1,10))-1)),1),0))),0,1),1)+IFERROR(IF(M144&gt;=0,0,1),1)+IFERROR(IF(ISNUMBER(MATCH(N144,Lists!$B$2:$B$7,0)),0,1),1))=0,"OK","ERROR"))</f>
        <v>OK</v>
      </c>
      <c r="Q144" s="3" t="str">
        <f aca="false">IF(D144="","",TRIM(IF(IFERROR(IF(AND(TRIM(D144)=D144,LEN(D144)&gt;0),0,1),1)=1,"Name; ","")&amp;IF(IFERROR(IF(AND(LEN(E144)=10,ISNUMBER(VALUE(E144))),0,1),1)=1,"Phone; ","")&amp;IF(IFERROR(IF(AND(ISNUMBER(SEARCH("@",F144)),ISNUMBER(SEARCH(".",F144))),0,1),1)=1,"Email; ","")&amp;IF(IFERROR(IF(AND(LEN(J144)=6,ISNUMBER(VALUE(J144))),0,1),1)=1,"Pincode; ","")&amp;IF(IFERROR(IF(ISNUMBER(MATCH(TRIM(I144),Lists!$A$2:$A$20,0)),0,1),1)=1,"State; ","")&amp;IF(IFERROR(IF(AND(LEN(K144)=10,VALUE(LEFT(K144,FIND("/",K144)-1))&gt;=1,VALUE(LEFT(K144,FIND("/",K144)-1))&lt;=31,VALUE(LEFT(MID(K144,FIND("/",K144)+1,10),FIND("/",MID(K144,FIND("/",K144)+1,10))-1))&gt;=1,VALUE(LEFT(MID(K144,FIND("/",K144)+1,10),FIND("/",MID(K144,FIND("/",K144)+1,10))-1))&lt;=12,VALUE(LEFT(K144,FIND("/",K144)-1))&lt;=DAY(EOMONTH(DATE(VALUE(MID(MID(K144,FIND("/",K144)+1,10),FIND("/",MID(K144,FIND("/",K144)+1,10))+1,4)),VALUE(LEFT(MID(K144,FIND("/",K144)+1,10),FIND("/",MID(K144,FIND("/",K144)+1,10))-1)),1),0))),0,1),1)=1,"Date; ","")&amp;IF(IFERROR(IF(M144&gt;=0,0,1),1)=1,"Amount; ","")&amp;IF(IFERROR(IF(ISNUMBER(MATCH(N144,Lists!$B$2:$B$7,0)),0,1),1)=1,"Payment; ","")))</f>
        <v/>
      </c>
      <c r="R144" s="3" t="str">
        <f aca="false">IF(D144="","",IF(COUNTIFS($D$2:$D$701,D144,$E$2:$E$701,E144)&gt;1,"DUPLICATE","Unique"))</f>
        <v>Unique</v>
      </c>
    </row>
    <row r="145" customFormat="false" ht="15" hidden="false" customHeight="false" outlineLevel="0" collapsed="false">
      <c r="A145" s="3" t="n">
        <v>144</v>
      </c>
      <c r="B145" s="3" t="n">
        <v>3</v>
      </c>
      <c r="C145" s="3" t="s">
        <v>1139</v>
      </c>
      <c r="D145" s="3" t="s">
        <v>1140</v>
      </c>
      <c r="E145" s="3" t="s">
        <v>1141</v>
      </c>
      <c r="F145" s="3" t="s">
        <v>1142</v>
      </c>
      <c r="G145" s="3" t="s">
        <v>1143</v>
      </c>
      <c r="H145" s="3" t="s">
        <v>720</v>
      </c>
      <c r="I145" s="3" t="s">
        <v>54</v>
      </c>
      <c r="J145" s="3" t="s">
        <v>1144</v>
      </c>
      <c r="K145" s="3" t="s">
        <v>1145</v>
      </c>
      <c r="L145" s="3" t="s">
        <v>72</v>
      </c>
      <c r="M145" s="3" t="n">
        <v>9155.8</v>
      </c>
      <c r="N145" s="3" t="s">
        <v>46</v>
      </c>
      <c r="O145" s="3" t="n">
        <f aca="false">IFERROR(LEN(C145&amp;D145&amp;E145&amp;F145&amp;G145&amp;H145&amp;I145&amp;J145&amp;K145&amp;L145&amp;M145&amp;N145)/5,0)</f>
        <v>24.8</v>
      </c>
      <c r="P145" s="3" t="str">
        <f aca="false">IF(OR(D145="",C145=""),"",IF((IFERROR(IF(AND(TRIM(D145)=D145,LEN(D145)&gt;0),0,1),1)+IFERROR(IF(AND(LEN(E145)=10,ISNUMBER(VALUE(E145))),0,1),1)+IFERROR(IF(AND(ISNUMBER(SEARCH("@",F145)),ISNUMBER(SEARCH(".",F145))),0,1),1)+IFERROR(IF(AND(LEN(J145)=6,ISNUMBER(VALUE(J145))),0,1),1)+IFERROR(IF(ISNUMBER(MATCH(TRIM(I145),Lists!$A$2:$A$20,0)),0,1),1)+IFERROR(IF(AND(LEN(K145)=10,VALUE(LEFT(K145,FIND("/",K145)-1))&gt;=1,VALUE(LEFT(K145,FIND("/",K145)-1))&lt;=31,VALUE(LEFT(MID(K145,FIND("/",K145)+1,10),FIND("/",MID(K145,FIND("/",K145)+1,10))-1))&gt;=1,VALUE(LEFT(MID(K145,FIND("/",K145)+1,10),FIND("/",MID(K145,FIND("/",K145)+1,10))-1))&lt;=12,VALUE(LEFT(K145,FIND("/",K145)-1))&lt;=DAY(EOMONTH(DATE(VALUE(MID(MID(K145,FIND("/",K145)+1,10),FIND("/",MID(K145,FIND("/",K145)+1,10))+1,4)),VALUE(LEFT(MID(K145,FIND("/",K145)+1,10),FIND("/",MID(K145,FIND("/",K145)+1,10))-1)),1),0))),0,1),1)+IFERROR(IF(M145&gt;=0,0,1),1)+IFERROR(IF(ISNUMBER(MATCH(N145,Lists!$B$2:$B$7,0)),0,1),1))=0,"OK","ERROR"))</f>
        <v>OK</v>
      </c>
      <c r="Q145" s="3" t="str">
        <f aca="false">IF(D145="","",TRIM(IF(IFERROR(IF(AND(TRIM(D145)=D145,LEN(D145)&gt;0),0,1),1)=1,"Name; ","")&amp;IF(IFERROR(IF(AND(LEN(E145)=10,ISNUMBER(VALUE(E145))),0,1),1)=1,"Phone; ","")&amp;IF(IFERROR(IF(AND(ISNUMBER(SEARCH("@",F145)),ISNUMBER(SEARCH(".",F145))),0,1),1)=1,"Email; ","")&amp;IF(IFERROR(IF(AND(LEN(J145)=6,ISNUMBER(VALUE(J145))),0,1),1)=1,"Pincode; ","")&amp;IF(IFERROR(IF(ISNUMBER(MATCH(TRIM(I145),Lists!$A$2:$A$20,0)),0,1),1)=1,"State; ","")&amp;IF(IFERROR(IF(AND(LEN(K145)=10,VALUE(LEFT(K145,FIND("/",K145)-1))&gt;=1,VALUE(LEFT(K145,FIND("/",K145)-1))&lt;=31,VALUE(LEFT(MID(K145,FIND("/",K145)+1,10),FIND("/",MID(K145,FIND("/",K145)+1,10))-1))&gt;=1,VALUE(LEFT(MID(K145,FIND("/",K145)+1,10),FIND("/",MID(K145,FIND("/",K145)+1,10))-1))&lt;=12,VALUE(LEFT(K145,FIND("/",K145)-1))&lt;=DAY(EOMONTH(DATE(VALUE(MID(MID(K145,FIND("/",K145)+1,10),FIND("/",MID(K145,FIND("/",K145)+1,10))+1,4)),VALUE(LEFT(MID(K145,FIND("/",K145)+1,10),FIND("/",MID(K145,FIND("/",K145)+1,10))-1)),1),0))),0,1),1)=1,"Date; ","")&amp;IF(IFERROR(IF(M145&gt;=0,0,1),1)=1,"Amount; ","")&amp;IF(IFERROR(IF(ISNUMBER(MATCH(N145,Lists!$B$2:$B$7,0)),0,1),1)=1,"Payment; ","")))</f>
        <v/>
      </c>
      <c r="R145" s="3" t="str">
        <f aca="false">IF(D145="","",IF(COUNTIFS($D$2:$D$701,D145,$E$2:$E$701,E145)&gt;1,"DUPLICATE","Unique"))</f>
        <v>Unique</v>
      </c>
    </row>
    <row r="146" customFormat="false" ht="15" hidden="false" customHeight="false" outlineLevel="0" collapsed="false">
      <c r="A146" s="3" t="n">
        <v>145</v>
      </c>
      <c r="B146" s="3" t="n">
        <v>3</v>
      </c>
      <c r="C146" s="3" t="s">
        <v>1146</v>
      </c>
      <c r="D146" s="3" t="s">
        <v>1147</v>
      </c>
      <c r="E146" s="3" t="s">
        <v>1148</v>
      </c>
      <c r="F146" s="3" t="s">
        <v>1149</v>
      </c>
      <c r="G146" s="3" t="s">
        <v>1150</v>
      </c>
      <c r="H146" s="3" t="s">
        <v>720</v>
      </c>
      <c r="I146" s="3" t="s">
        <v>54</v>
      </c>
      <c r="J146" s="3" t="s">
        <v>1151</v>
      </c>
      <c r="K146" s="3" t="s">
        <v>1152</v>
      </c>
      <c r="L146" s="3" t="s">
        <v>56</v>
      </c>
      <c r="M146" s="3" t="n">
        <v>4121.56</v>
      </c>
      <c r="N146" s="3" t="s">
        <v>55</v>
      </c>
      <c r="O146" s="3" t="n">
        <f aca="false">IFERROR(LEN(C146&amp;D146&amp;E146&amp;F146&amp;G146&amp;H146&amp;I146&amp;J146&amp;K146&amp;L146&amp;M146&amp;N146)/5,0)</f>
        <v>27</v>
      </c>
      <c r="P146" s="3" t="str">
        <f aca="false">IF(OR(D146="",C146=""),"",IF((IFERROR(IF(AND(TRIM(D146)=D146,LEN(D146)&gt;0),0,1),1)+IFERROR(IF(AND(LEN(E146)=10,ISNUMBER(VALUE(E146))),0,1),1)+IFERROR(IF(AND(ISNUMBER(SEARCH("@",F146)),ISNUMBER(SEARCH(".",F146))),0,1),1)+IFERROR(IF(AND(LEN(J146)=6,ISNUMBER(VALUE(J146))),0,1),1)+IFERROR(IF(ISNUMBER(MATCH(TRIM(I146),Lists!$A$2:$A$20,0)),0,1),1)+IFERROR(IF(AND(LEN(K146)=10,VALUE(LEFT(K146,FIND("/",K146)-1))&gt;=1,VALUE(LEFT(K146,FIND("/",K146)-1))&lt;=31,VALUE(LEFT(MID(K146,FIND("/",K146)+1,10),FIND("/",MID(K146,FIND("/",K146)+1,10))-1))&gt;=1,VALUE(LEFT(MID(K146,FIND("/",K146)+1,10),FIND("/",MID(K146,FIND("/",K146)+1,10))-1))&lt;=12,VALUE(LEFT(K146,FIND("/",K146)-1))&lt;=DAY(EOMONTH(DATE(VALUE(MID(MID(K146,FIND("/",K146)+1,10),FIND("/",MID(K146,FIND("/",K146)+1,10))+1,4)),VALUE(LEFT(MID(K146,FIND("/",K146)+1,10),FIND("/",MID(K146,FIND("/",K146)+1,10))-1)),1),0))),0,1),1)+IFERROR(IF(M146&gt;=0,0,1),1)+IFERROR(IF(ISNUMBER(MATCH(N146,Lists!$B$2:$B$7,0)),0,1),1))=0,"OK","ERROR"))</f>
        <v>OK</v>
      </c>
      <c r="Q146" s="3" t="str">
        <f aca="false">IF(D146="","",TRIM(IF(IFERROR(IF(AND(TRIM(D146)=D146,LEN(D146)&gt;0),0,1),1)=1,"Name; ","")&amp;IF(IFERROR(IF(AND(LEN(E146)=10,ISNUMBER(VALUE(E146))),0,1),1)=1,"Phone; ","")&amp;IF(IFERROR(IF(AND(ISNUMBER(SEARCH("@",F146)),ISNUMBER(SEARCH(".",F146))),0,1),1)=1,"Email; ","")&amp;IF(IFERROR(IF(AND(LEN(J146)=6,ISNUMBER(VALUE(J146))),0,1),1)=1,"Pincode; ","")&amp;IF(IFERROR(IF(ISNUMBER(MATCH(TRIM(I146),Lists!$A$2:$A$20,0)),0,1),1)=1,"State; ","")&amp;IF(IFERROR(IF(AND(LEN(K146)=10,VALUE(LEFT(K146,FIND("/",K146)-1))&gt;=1,VALUE(LEFT(K146,FIND("/",K146)-1))&lt;=31,VALUE(LEFT(MID(K146,FIND("/",K146)+1,10),FIND("/",MID(K146,FIND("/",K146)+1,10))-1))&gt;=1,VALUE(LEFT(MID(K146,FIND("/",K146)+1,10),FIND("/",MID(K146,FIND("/",K146)+1,10))-1))&lt;=12,VALUE(LEFT(K146,FIND("/",K146)-1))&lt;=DAY(EOMONTH(DATE(VALUE(MID(MID(K146,FIND("/",K146)+1,10),FIND("/",MID(K146,FIND("/",K146)+1,10))+1,4)),VALUE(LEFT(MID(K146,FIND("/",K146)+1,10),FIND("/",MID(K146,FIND("/",K146)+1,10))-1)),1),0))),0,1),1)=1,"Date; ","")&amp;IF(IFERROR(IF(M146&gt;=0,0,1),1)=1,"Amount; ","")&amp;IF(IFERROR(IF(ISNUMBER(MATCH(N146,Lists!$B$2:$B$7,0)),0,1),1)=1,"Payment; ","")))</f>
        <v/>
      </c>
      <c r="R146" s="3" t="str">
        <f aca="false">IF(D146="","",IF(COUNTIFS($D$2:$D$701,D146,$E$2:$E$701,E146)&gt;1,"DUPLICATE","Unique"))</f>
        <v>Unique</v>
      </c>
    </row>
    <row r="147" customFormat="false" ht="15" hidden="false" customHeight="false" outlineLevel="0" collapsed="false">
      <c r="A147" s="3" t="n">
        <v>146</v>
      </c>
      <c r="B147" s="3" t="n">
        <v>3</v>
      </c>
      <c r="C147" s="3" t="s">
        <v>1153</v>
      </c>
      <c r="D147" s="3" t="s">
        <v>1154</v>
      </c>
      <c r="E147" s="3" t="s">
        <v>1155</v>
      </c>
      <c r="F147" s="3" t="s">
        <v>1156</v>
      </c>
      <c r="G147" s="3" t="s">
        <v>1157</v>
      </c>
      <c r="H147" s="3" t="s">
        <v>250</v>
      </c>
      <c r="I147" s="3" t="s">
        <v>65</v>
      </c>
      <c r="J147" s="3" t="s">
        <v>1158</v>
      </c>
      <c r="K147" s="3" t="s">
        <v>1159</v>
      </c>
      <c r="L147" s="3" t="s">
        <v>60</v>
      </c>
      <c r="M147" s="3" t="n">
        <v>324.91</v>
      </c>
      <c r="N147" s="3" t="s">
        <v>43</v>
      </c>
      <c r="O147" s="3" t="n">
        <f aca="false">IFERROR(LEN(C147&amp;D147&amp;E147&amp;F147&amp;G147&amp;H147&amp;I147&amp;J147&amp;K147&amp;L147&amp;M147&amp;N147)/5,0)</f>
        <v>27.6</v>
      </c>
      <c r="P147" s="3" t="str">
        <f aca="false">IF(OR(D147="",C147=""),"",IF((IFERROR(IF(AND(TRIM(D147)=D147,LEN(D147)&gt;0),0,1),1)+IFERROR(IF(AND(LEN(E147)=10,ISNUMBER(VALUE(E147))),0,1),1)+IFERROR(IF(AND(ISNUMBER(SEARCH("@",F147)),ISNUMBER(SEARCH(".",F147))),0,1),1)+IFERROR(IF(AND(LEN(J147)=6,ISNUMBER(VALUE(J147))),0,1),1)+IFERROR(IF(ISNUMBER(MATCH(TRIM(I147),Lists!$A$2:$A$20,0)),0,1),1)+IFERROR(IF(AND(LEN(K147)=10,VALUE(LEFT(K147,FIND("/",K147)-1))&gt;=1,VALUE(LEFT(K147,FIND("/",K147)-1))&lt;=31,VALUE(LEFT(MID(K147,FIND("/",K147)+1,10),FIND("/",MID(K147,FIND("/",K147)+1,10))-1))&gt;=1,VALUE(LEFT(MID(K147,FIND("/",K147)+1,10),FIND("/",MID(K147,FIND("/",K147)+1,10))-1))&lt;=12,VALUE(LEFT(K147,FIND("/",K147)-1))&lt;=DAY(EOMONTH(DATE(VALUE(MID(MID(K147,FIND("/",K147)+1,10),FIND("/",MID(K147,FIND("/",K147)+1,10))+1,4)),VALUE(LEFT(MID(K147,FIND("/",K147)+1,10),FIND("/",MID(K147,FIND("/",K147)+1,10))-1)),1),0))),0,1),1)+IFERROR(IF(M147&gt;=0,0,1),1)+IFERROR(IF(ISNUMBER(MATCH(N147,Lists!$B$2:$B$7,0)),0,1),1))=0,"OK","ERROR"))</f>
        <v>OK</v>
      </c>
      <c r="Q147" s="3" t="str">
        <f aca="false">IF(D147="","",TRIM(IF(IFERROR(IF(AND(TRIM(D147)=D147,LEN(D147)&gt;0),0,1),1)=1,"Name; ","")&amp;IF(IFERROR(IF(AND(LEN(E147)=10,ISNUMBER(VALUE(E147))),0,1),1)=1,"Phone; ","")&amp;IF(IFERROR(IF(AND(ISNUMBER(SEARCH("@",F147)),ISNUMBER(SEARCH(".",F147))),0,1),1)=1,"Email; ","")&amp;IF(IFERROR(IF(AND(LEN(J147)=6,ISNUMBER(VALUE(J147))),0,1),1)=1,"Pincode; ","")&amp;IF(IFERROR(IF(ISNUMBER(MATCH(TRIM(I147),Lists!$A$2:$A$20,0)),0,1),1)=1,"State; ","")&amp;IF(IFERROR(IF(AND(LEN(K147)=10,VALUE(LEFT(K147,FIND("/",K147)-1))&gt;=1,VALUE(LEFT(K147,FIND("/",K147)-1))&lt;=31,VALUE(LEFT(MID(K147,FIND("/",K147)+1,10),FIND("/",MID(K147,FIND("/",K147)+1,10))-1))&gt;=1,VALUE(LEFT(MID(K147,FIND("/",K147)+1,10),FIND("/",MID(K147,FIND("/",K147)+1,10))-1))&lt;=12,VALUE(LEFT(K147,FIND("/",K147)-1))&lt;=DAY(EOMONTH(DATE(VALUE(MID(MID(K147,FIND("/",K147)+1,10),FIND("/",MID(K147,FIND("/",K147)+1,10))+1,4)),VALUE(LEFT(MID(K147,FIND("/",K147)+1,10),FIND("/",MID(K147,FIND("/",K147)+1,10))-1)),1),0))),0,1),1)=1,"Date; ","")&amp;IF(IFERROR(IF(M147&gt;=0,0,1),1)=1,"Amount; ","")&amp;IF(IFERROR(IF(ISNUMBER(MATCH(N147,Lists!$B$2:$B$7,0)),0,1),1)=1,"Payment; ","")))</f>
        <v/>
      </c>
      <c r="R147" s="3" t="str">
        <f aca="false">IF(D147="","",IF(COUNTIFS($D$2:$D$701,D147,$E$2:$E$701,E147)&gt;1,"DUPLICATE","Unique"))</f>
        <v>Unique</v>
      </c>
    </row>
    <row r="148" customFormat="false" ht="15" hidden="false" customHeight="false" outlineLevel="0" collapsed="false">
      <c r="A148" s="3" t="n">
        <v>147</v>
      </c>
      <c r="B148" s="3" t="n">
        <v>3</v>
      </c>
      <c r="C148" s="3" t="s">
        <v>1160</v>
      </c>
      <c r="D148" s="3" t="s">
        <v>1161</v>
      </c>
      <c r="E148" s="3" t="s">
        <v>1162</v>
      </c>
      <c r="F148" s="3" t="s">
        <v>1163</v>
      </c>
      <c r="G148" s="3" t="s">
        <v>1164</v>
      </c>
      <c r="H148" s="3" t="s">
        <v>258</v>
      </c>
      <c r="I148" s="3" t="s">
        <v>63</v>
      </c>
      <c r="J148" s="3" t="s">
        <v>1165</v>
      </c>
      <c r="K148" s="3" t="s">
        <v>1166</v>
      </c>
      <c r="L148" s="3" t="s">
        <v>41</v>
      </c>
      <c r="M148" s="3" t="n">
        <v>12190.08</v>
      </c>
      <c r="N148" s="3" t="s">
        <v>49</v>
      </c>
      <c r="O148" s="3" t="n">
        <f aca="false">IFERROR(LEN(C148&amp;D148&amp;E148&amp;F148&amp;G148&amp;H148&amp;I148&amp;J148&amp;K148&amp;L148&amp;M148&amp;N148)/5,0)</f>
        <v>27.8</v>
      </c>
      <c r="P148" s="3" t="str">
        <f aca="false">IF(OR(D148="",C148=""),"",IF((IFERROR(IF(AND(TRIM(D148)=D148,LEN(D148)&gt;0),0,1),1)+IFERROR(IF(AND(LEN(E148)=10,ISNUMBER(VALUE(E148))),0,1),1)+IFERROR(IF(AND(ISNUMBER(SEARCH("@",F148)),ISNUMBER(SEARCH(".",F148))),0,1),1)+IFERROR(IF(AND(LEN(J148)=6,ISNUMBER(VALUE(J148))),0,1),1)+IFERROR(IF(ISNUMBER(MATCH(TRIM(I148),Lists!$A$2:$A$20,0)),0,1),1)+IFERROR(IF(AND(LEN(K148)=10,VALUE(LEFT(K148,FIND("/",K148)-1))&gt;=1,VALUE(LEFT(K148,FIND("/",K148)-1))&lt;=31,VALUE(LEFT(MID(K148,FIND("/",K148)+1,10),FIND("/",MID(K148,FIND("/",K148)+1,10))-1))&gt;=1,VALUE(LEFT(MID(K148,FIND("/",K148)+1,10),FIND("/",MID(K148,FIND("/",K148)+1,10))-1))&lt;=12,VALUE(LEFT(K148,FIND("/",K148)-1))&lt;=DAY(EOMONTH(DATE(VALUE(MID(MID(K148,FIND("/",K148)+1,10),FIND("/",MID(K148,FIND("/",K148)+1,10))+1,4)),VALUE(LEFT(MID(K148,FIND("/",K148)+1,10),FIND("/",MID(K148,FIND("/",K148)+1,10))-1)),1),0))),0,1),1)+IFERROR(IF(M148&gt;=0,0,1),1)+IFERROR(IF(ISNUMBER(MATCH(N148,Lists!$B$2:$B$7,0)),0,1),1))=0,"OK","ERROR"))</f>
        <v>OK</v>
      </c>
      <c r="Q148" s="3" t="str">
        <f aca="false">IF(D148="","",TRIM(IF(IFERROR(IF(AND(TRIM(D148)=D148,LEN(D148)&gt;0),0,1),1)=1,"Name; ","")&amp;IF(IFERROR(IF(AND(LEN(E148)=10,ISNUMBER(VALUE(E148))),0,1),1)=1,"Phone; ","")&amp;IF(IFERROR(IF(AND(ISNUMBER(SEARCH("@",F148)),ISNUMBER(SEARCH(".",F148))),0,1),1)=1,"Email; ","")&amp;IF(IFERROR(IF(AND(LEN(J148)=6,ISNUMBER(VALUE(J148))),0,1),1)=1,"Pincode; ","")&amp;IF(IFERROR(IF(ISNUMBER(MATCH(TRIM(I148),Lists!$A$2:$A$20,0)),0,1),1)=1,"State; ","")&amp;IF(IFERROR(IF(AND(LEN(K148)=10,VALUE(LEFT(K148,FIND("/",K148)-1))&gt;=1,VALUE(LEFT(K148,FIND("/",K148)-1))&lt;=31,VALUE(LEFT(MID(K148,FIND("/",K148)+1,10),FIND("/",MID(K148,FIND("/",K148)+1,10))-1))&gt;=1,VALUE(LEFT(MID(K148,FIND("/",K148)+1,10),FIND("/",MID(K148,FIND("/",K148)+1,10))-1))&lt;=12,VALUE(LEFT(K148,FIND("/",K148)-1))&lt;=DAY(EOMONTH(DATE(VALUE(MID(MID(K148,FIND("/",K148)+1,10),FIND("/",MID(K148,FIND("/",K148)+1,10))+1,4)),VALUE(LEFT(MID(K148,FIND("/",K148)+1,10),FIND("/",MID(K148,FIND("/",K148)+1,10))-1)),1),0))),0,1),1)=1,"Date; ","")&amp;IF(IFERROR(IF(M148&gt;=0,0,1),1)=1,"Amount; ","")&amp;IF(IFERROR(IF(ISNUMBER(MATCH(N148,Lists!$B$2:$B$7,0)),0,1),1)=1,"Payment; ","")))</f>
        <v/>
      </c>
      <c r="R148" s="3" t="str">
        <f aca="false">IF(D148="","",IF(COUNTIFS($D$2:$D$701,D148,$E$2:$E$701,E148)&gt;1,"DUPLICATE","Unique"))</f>
        <v>Unique</v>
      </c>
    </row>
    <row r="149" customFormat="false" ht="15" hidden="false" customHeight="false" outlineLevel="0" collapsed="false">
      <c r="A149" s="3" t="n">
        <v>148</v>
      </c>
      <c r="B149" s="3" t="n">
        <v>3</v>
      </c>
      <c r="C149" s="3" t="s">
        <v>1167</v>
      </c>
      <c r="D149" s="3" t="s">
        <v>1168</v>
      </c>
      <c r="E149" s="3" t="s">
        <v>1169</v>
      </c>
      <c r="F149" s="3" t="s">
        <v>1170</v>
      </c>
      <c r="G149" s="3" t="s">
        <v>1171</v>
      </c>
      <c r="H149" s="3" t="s">
        <v>472</v>
      </c>
      <c r="I149" s="3" t="s">
        <v>63</v>
      </c>
      <c r="J149" s="3" t="s">
        <v>1172</v>
      </c>
      <c r="K149" s="3" t="s">
        <v>1173</v>
      </c>
      <c r="L149" s="3" t="s">
        <v>47</v>
      </c>
      <c r="M149" s="3" t="n">
        <v>10267.01</v>
      </c>
      <c r="N149" s="3" t="s">
        <v>49</v>
      </c>
      <c r="O149" s="3" t="n">
        <f aca="false">IFERROR(LEN(C149&amp;D149&amp;E149&amp;F149&amp;G149&amp;H149&amp;I149&amp;J149&amp;K149&amp;L149&amp;M149&amp;N149)/5,0)</f>
        <v>27.6</v>
      </c>
      <c r="P149" s="3" t="str">
        <f aca="false">IF(OR(D149="",C149=""),"",IF((IFERROR(IF(AND(TRIM(D149)=D149,LEN(D149)&gt;0),0,1),1)+IFERROR(IF(AND(LEN(E149)=10,ISNUMBER(VALUE(E149))),0,1),1)+IFERROR(IF(AND(ISNUMBER(SEARCH("@",F149)),ISNUMBER(SEARCH(".",F149))),0,1),1)+IFERROR(IF(AND(LEN(J149)=6,ISNUMBER(VALUE(J149))),0,1),1)+IFERROR(IF(ISNUMBER(MATCH(TRIM(I149),Lists!$A$2:$A$20,0)),0,1),1)+IFERROR(IF(AND(LEN(K149)=10,VALUE(LEFT(K149,FIND("/",K149)-1))&gt;=1,VALUE(LEFT(K149,FIND("/",K149)-1))&lt;=31,VALUE(LEFT(MID(K149,FIND("/",K149)+1,10),FIND("/",MID(K149,FIND("/",K149)+1,10))-1))&gt;=1,VALUE(LEFT(MID(K149,FIND("/",K149)+1,10),FIND("/",MID(K149,FIND("/",K149)+1,10))-1))&lt;=12,VALUE(LEFT(K149,FIND("/",K149)-1))&lt;=DAY(EOMONTH(DATE(VALUE(MID(MID(K149,FIND("/",K149)+1,10),FIND("/",MID(K149,FIND("/",K149)+1,10))+1,4)),VALUE(LEFT(MID(K149,FIND("/",K149)+1,10),FIND("/",MID(K149,FIND("/",K149)+1,10))-1)),1),0))),0,1),1)+IFERROR(IF(M149&gt;=0,0,1),1)+IFERROR(IF(ISNUMBER(MATCH(N149,Lists!$B$2:$B$7,0)),0,1),1))=0,"OK","ERROR"))</f>
        <v>OK</v>
      </c>
      <c r="Q149" s="3" t="str">
        <f aca="false">IF(D149="","",TRIM(IF(IFERROR(IF(AND(TRIM(D149)=D149,LEN(D149)&gt;0),0,1),1)=1,"Name; ","")&amp;IF(IFERROR(IF(AND(LEN(E149)=10,ISNUMBER(VALUE(E149))),0,1),1)=1,"Phone; ","")&amp;IF(IFERROR(IF(AND(ISNUMBER(SEARCH("@",F149)),ISNUMBER(SEARCH(".",F149))),0,1),1)=1,"Email; ","")&amp;IF(IFERROR(IF(AND(LEN(J149)=6,ISNUMBER(VALUE(J149))),0,1),1)=1,"Pincode; ","")&amp;IF(IFERROR(IF(ISNUMBER(MATCH(TRIM(I149),Lists!$A$2:$A$20,0)),0,1),1)=1,"State; ","")&amp;IF(IFERROR(IF(AND(LEN(K149)=10,VALUE(LEFT(K149,FIND("/",K149)-1))&gt;=1,VALUE(LEFT(K149,FIND("/",K149)-1))&lt;=31,VALUE(LEFT(MID(K149,FIND("/",K149)+1,10),FIND("/",MID(K149,FIND("/",K149)+1,10))-1))&gt;=1,VALUE(LEFT(MID(K149,FIND("/",K149)+1,10),FIND("/",MID(K149,FIND("/",K149)+1,10))-1))&lt;=12,VALUE(LEFT(K149,FIND("/",K149)-1))&lt;=DAY(EOMONTH(DATE(VALUE(MID(MID(K149,FIND("/",K149)+1,10),FIND("/",MID(K149,FIND("/",K149)+1,10))+1,4)),VALUE(LEFT(MID(K149,FIND("/",K149)+1,10),FIND("/",MID(K149,FIND("/",K149)+1,10))-1)),1),0))),0,1),1)=1,"Date; ","")&amp;IF(IFERROR(IF(M149&gt;=0,0,1),1)=1,"Amount; ","")&amp;IF(IFERROR(IF(ISNUMBER(MATCH(N149,Lists!$B$2:$B$7,0)),0,1),1)=1,"Payment; ","")))</f>
        <v/>
      </c>
      <c r="R149" s="3" t="str">
        <f aca="false">IF(D149="","",IF(COUNTIFS($D$2:$D$701,D149,$E$2:$E$701,E149)&gt;1,"DUPLICATE","Unique"))</f>
        <v>Unique</v>
      </c>
    </row>
    <row r="150" customFormat="false" ht="15" hidden="false" customHeight="false" outlineLevel="0" collapsed="false">
      <c r="A150" s="3" t="n">
        <v>149</v>
      </c>
      <c r="B150" s="3" t="n">
        <v>3</v>
      </c>
      <c r="C150" s="3" t="s">
        <v>1174</v>
      </c>
      <c r="D150" s="3" t="s">
        <v>1175</v>
      </c>
      <c r="E150" s="3" t="s">
        <v>1176</v>
      </c>
      <c r="F150" s="3" t="s">
        <v>1177</v>
      </c>
      <c r="G150" s="3" t="s">
        <v>1178</v>
      </c>
      <c r="H150" s="3" t="s">
        <v>126</v>
      </c>
      <c r="I150" s="3" t="s">
        <v>45</v>
      </c>
      <c r="J150" s="3" t="s">
        <v>1179</v>
      </c>
      <c r="K150" s="3" t="s">
        <v>1180</v>
      </c>
      <c r="L150" s="3" t="s">
        <v>44</v>
      </c>
      <c r="M150" s="3" t="n">
        <v>2796.12</v>
      </c>
      <c r="N150" s="3" t="s">
        <v>49</v>
      </c>
      <c r="O150" s="3" t="n">
        <f aca="false">IFERROR(LEN(C150&amp;D150&amp;E150&amp;F150&amp;G150&amp;H150&amp;I150&amp;J150&amp;K150&amp;L150&amp;M150&amp;N150)/5,0)</f>
        <v>27.2</v>
      </c>
      <c r="P150" s="3" t="str">
        <f aca="false">IF(OR(D150="",C150=""),"",IF((IFERROR(IF(AND(TRIM(D150)=D150,LEN(D150)&gt;0),0,1),1)+IFERROR(IF(AND(LEN(E150)=10,ISNUMBER(VALUE(E150))),0,1),1)+IFERROR(IF(AND(ISNUMBER(SEARCH("@",F150)),ISNUMBER(SEARCH(".",F150))),0,1),1)+IFERROR(IF(AND(LEN(J150)=6,ISNUMBER(VALUE(J150))),0,1),1)+IFERROR(IF(ISNUMBER(MATCH(TRIM(I150),Lists!$A$2:$A$20,0)),0,1),1)+IFERROR(IF(AND(LEN(K150)=10,VALUE(LEFT(K150,FIND("/",K150)-1))&gt;=1,VALUE(LEFT(K150,FIND("/",K150)-1))&lt;=31,VALUE(LEFT(MID(K150,FIND("/",K150)+1,10),FIND("/",MID(K150,FIND("/",K150)+1,10))-1))&gt;=1,VALUE(LEFT(MID(K150,FIND("/",K150)+1,10),FIND("/",MID(K150,FIND("/",K150)+1,10))-1))&lt;=12,VALUE(LEFT(K150,FIND("/",K150)-1))&lt;=DAY(EOMONTH(DATE(VALUE(MID(MID(K150,FIND("/",K150)+1,10),FIND("/",MID(K150,FIND("/",K150)+1,10))+1,4)),VALUE(LEFT(MID(K150,FIND("/",K150)+1,10),FIND("/",MID(K150,FIND("/",K150)+1,10))-1)),1),0))),0,1),1)+IFERROR(IF(M150&gt;=0,0,1),1)+IFERROR(IF(ISNUMBER(MATCH(N150,Lists!$B$2:$B$7,0)),0,1),1))=0,"OK","ERROR"))</f>
        <v>OK</v>
      </c>
      <c r="Q150" s="3" t="str">
        <f aca="false">IF(D150="","",TRIM(IF(IFERROR(IF(AND(TRIM(D150)=D150,LEN(D150)&gt;0),0,1),1)=1,"Name; ","")&amp;IF(IFERROR(IF(AND(LEN(E150)=10,ISNUMBER(VALUE(E150))),0,1),1)=1,"Phone; ","")&amp;IF(IFERROR(IF(AND(ISNUMBER(SEARCH("@",F150)),ISNUMBER(SEARCH(".",F150))),0,1),1)=1,"Email; ","")&amp;IF(IFERROR(IF(AND(LEN(J150)=6,ISNUMBER(VALUE(J150))),0,1),1)=1,"Pincode; ","")&amp;IF(IFERROR(IF(ISNUMBER(MATCH(TRIM(I150),Lists!$A$2:$A$20,0)),0,1),1)=1,"State; ","")&amp;IF(IFERROR(IF(AND(LEN(K150)=10,VALUE(LEFT(K150,FIND("/",K150)-1))&gt;=1,VALUE(LEFT(K150,FIND("/",K150)-1))&lt;=31,VALUE(LEFT(MID(K150,FIND("/",K150)+1,10),FIND("/",MID(K150,FIND("/",K150)+1,10))-1))&gt;=1,VALUE(LEFT(MID(K150,FIND("/",K150)+1,10),FIND("/",MID(K150,FIND("/",K150)+1,10))-1))&lt;=12,VALUE(LEFT(K150,FIND("/",K150)-1))&lt;=DAY(EOMONTH(DATE(VALUE(MID(MID(K150,FIND("/",K150)+1,10),FIND("/",MID(K150,FIND("/",K150)+1,10))+1,4)),VALUE(LEFT(MID(K150,FIND("/",K150)+1,10),FIND("/",MID(K150,FIND("/",K150)+1,10))-1)),1),0))),0,1),1)=1,"Date; ","")&amp;IF(IFERROR(IF(M150&gt;=0,0,1),1)=1,"Amount; ","")&amp;IF(IFERROR(IF(ISNUMBER(MATCH(N150,Lists!$B$2:$B$7,0)),0,1),1)=1,"Payment; ","")))</f>
        <v/>
      </c>
      <c r="R150" s="3" t="str">
        <f aca="false">IF(D150="","",IF(COUNTIFS($D$2:$D$701,D150,$E$2:$E$701,E150)&gt;1,"DUPLICATE","Unique"))</f>
        <v>Unique</v>
      </c>
    </row>
    <row r="151" customFormat="false" ht="15" hidden="false" customHeight="false" outlineLevel="0" collapsed="false">
      <c r="A151" s="3" t="n">
        <v>150</v>
      </c>
      <c r="B151" s="3" t="n">
        <v>3</v>
      </c>
      <c r="C151" s="3" t="s">
        <v>1181</v>
      </c>
      <c r="D151" s="3" t="s">
        <v>1182</v>
      </c>
      <c r="E151" s="3" t="s">
        <v>1183</v>
      </c>
      <c r="F151" s="3" t="s">
        <v>1184</v>
      </c>
      <c r="G151" s="3" t="s">
        <v>1185</v>
      </c>
      <c r="H151" s="3" t="s">
        <v>250</v>
      </c>
      <c r="I151" s="3" t="s">
        <v>65</v>
      </c>
      <c r="J151" s="3" t="s">
        <v>1186</v>
      </c>
      <c r="K151" s="3" t="s">
        <v>1187</v>
      </c>
      <c r="L151" s="3" t="s">
        <v>68</v>
      </c>
      <c r="M151" s="3" t="n">
        <v>4120.86</v>
      </c>
      <c r="N151" s="3" t="s">
        <v>46</v>
      </c>
      <c r="O151" s="3" t="n">
        <f aca="false">IFERROR(LEN(C151&amp;D151&amp;E151&amp;F151&amp;G151&amp;H151&amp;I151&amp;J151&amp;K151&amp;L151&amp;M151&amp;N151)/5,0)</f>
        <v>29</v>
      </c>
      <c r="P151" s="3" t="str">
        <f aca="false">IF(OR(D151="",C151=""),"",IF((IFERROR(IF(AND(TRIM(D151)=D151,LEN(D151)&gt;0),0,1),1)+IFERROR(IF(AND(LEN(E151)=10,ISNUMBER(VALUE(E151))),0,1),1)+IFERROR(IF(AND(ISNUMBER(SEARCH("@",F151)),ISNUMBER(SEARCH(".",F151))),0,1),1)+IFERROR(IF(AND(LEN(J151)=6,ISNUMBER(VALUE(J151))),0,1),1)+IFERROR(IF(ISNUMBER(MATCH(TRIM(I151),Lists!$A$2:$A$20,0)),0,1),1)+IFERROR(IF(AND(LEN(K151)=10,VALUE(LEFT(K151,FIND("/",K151)-1))&gt;=1,VALUE(LEFT(K151,FIND("/",K151)-1))&lt;=31,VALUE(LEFT(MID(K151,FIND("/",K151)+1,10),FIND("/",MID(K151,FIND("/",K151)+1,10))-1))&gt;=1,VALUE(LEFT(MID(K151,FIND("/",K151)+1,10),FIND("/",MID(K151,FIND("/",K151)+1,10))-1))&lt;=12,VALUE(LEFT(K151,FIND("/",K151)-1))&lt;=DAY(EOMONTH(DATE(VALUE(MID(MID(K151,FIND("/",K151)+1,10),FIND("/",MID(K151,FIND("/",K151)+1,10))+1,4)),VALUE(LEFT(MID(K151,FIND("/",K151)+1,10),FIND("/",MID(K151,FIND("/",K151)+1,10))-1)),1),0))),0,1),1)+IFERROR(IF(M151&gt;=0,0,1),1)+IFERROR(IF(ISNUMBER(MATCH(N151,Lists!$B$2:$B$7,0)),0,1),1))=0,"OK","ERROR"))</f>
        <v>OK</v>
      </c>
      <c r="Q151" s="3" t="str">
        <f aca="false">IF(D151="","",TRIM(IF(IFERROR(IF(AND(TRIM(D151)=D151,LEN(D151)&gt;0),0,1),1)=1,"Name; ","")&amp;IF(IFERROR(IF(AND(LEN(E151)=10,ISNUMBER(VALUE(E151))),0,1),1)=1,"Phone; ","")&amp;IF(IFERROR(IF(AND(ISNUMBER(SEARCH("@",F151)),ISNUMBER(SEARCH(".",F151))),0,1),1)=1,"Email; ","")&amp;IF(IFERROR(IF(AND(LEN(J151)=6,ISNUMBER(VALUE(J151))),0,1),1)=1,"Pincode; ","")&amp;IF(IFERROR(IF(ISNUMBER(MATCH(TRIM(I151),Lists!$A$2:$A$20,0)),0,1),1)=1,"State; ","")&amp;IF(IFERROR(IF(AND(LEN(K151)=10,VALUE(LEFT(K151,FIND("/",K151)-1))&gt;=1,VALUE(LEFT(K151,FIND("/",K151)-1))&lt;=31,VALUE(LEFT(MID(K151,FIND("/",K151)+1,10),FIND("/",MID(K151,FIND("/",K151)+1,10))-1))&gt;=1,VALUE(LEFT(MID(K151,FIND("/",K151)+1,10),FIND("/",MID(K151,FIND("/",K151)+1,10))-1))&lt;=12,VALUE(LEFT(K151,FIND("/",K151)-1))&lt;=DAY(EOMONTH(DATE(VALUE(MID(MID(K151,FIND("/",K151)+1,10),FIND("/",MID(K151,FIND("/",K151)+1,10))+1,4)),VALUE(LEFT(MID(K151,FIND("/",K151)+1,10),FIND("/",MID(K151,FIND("/",K151)+1,10))-1)),1),0))),0,1),1)=1,"Date; ","")&amp;IF(IFERROR(IF(M151&gt;=0,0,1),1)=1,"Amount; ","")&amp;IF(IFERROR(IF(ISNUMBER(MATCH(N151,Lists!$B$2:$B$7,0)),0,1),1)=1,"Payment; ","")))</f>
        <v/>
      </c>
      <c r="R151" s="3" t="str">
        <f aca="false">IF(D151="","",IF(COUNTIFS($D$2:$D$701,D151,$E$2:$E$701,E151)&gt;1,"DUPLICATE","Unique"))</f>
        <v>Unique</v>
      </c>
    </row>
    <row r="152" customFormat="false" ht="15" hidden="false" customHeight="false" outlineLevel="0" collapsed="false">
      <c r="A152" s="3" t="n">
        <v>151</v>
      </c>
      <c r="B152" s="3" t="n">
        <v>4</v>
      </c>
      <c r="C152" s="3" t="s">
        <v>1188</v>
      </c>
      <c r="D152" s="3" t="s">
        <v>1189</v>
      </c>
      <c r="E152" s="3" t="s">
        <v>1190</v>
      </c>
      <c r="F152" s="3" t="s">
        <v>1191</v>
      </c>
      <c r="G152" s="3" t="s">
        <v>1192</v>
      </c>
      <c r="H152" s="3" t="s">
        <v>1193</v>
      </c>
      <c r="I152" s="3" t="s">
        <v>39</v>
      </c>
      <c r="J152" s="3" t="s">
        <v>1194</v>
      </c>
      <c r="K152" s="3" t="s">
        <v>635</v>
      </c>
      <c r="L152" s="3" t="s">
        <v>58</v>
      </c>
      <c r="M152" s="3" t="n">
        <v>2675.89</v>
      </c>
      <c r="N152" s="3" t="s">
        <v>52</v>
      </c>
      <c r="O152" s="3" t="n">
        <f aca="false">IFERROR(LEN(C152&amp;D152&amp;E152&amp;F152&amp;G152&amp;H152&amp;I152&amp;J152&amp;K152&amp;L152&amp;M152&amp;N152)/5,0)</f>
        <v>30.8</v>
      </c>
      <c r="P152" s="3" t="str">
        <f aca="false">IF(OR(D152="",C152=""),"",IF((IFERROR(IF(AND(TRIM(D152)=D152,LEN(D152)&gt;0),0,1),1)+IFERROR(IF(AND(LEN(E152)=10,ISNUMBER(VALUE(E152))),0,1),1)+IFERROR(IF(AND(ISNUMBER(SEARCH("@",F152)),ISNUMBER(SEARCH(".",F152))),0,1),1)+IFERROR(IF(AND(LEN(J152)=6,ISNUMBER(VALUE(J152))),0,1),1)+IFERROR(IF(ISNUMBER(MATCH(TRIM(I152),Lists!$A$2:$A$20,0)),0,1),1)+IFERROR(IF(AND(LEN(K152)=10,VALUE(LEFT(K152,FIND("/",K152)-1))&gt;=1,VALUE(LEFT(K152,FIND("/",K152)-1))&lt;=31,VALUE(LEFT(MID(K152,FIND("/",K152)+1,10),FIND("/",MID(K152,FIND("/",K152)+1,10))-1))&gt;=1,VALUE(LEFT(MID(K152,FIND("/",K152)+1,10),FIND("/",MID(K152,FIND("/",K152)+1,10))-1))&lt;=12,VALUE(LEFT(K152,FIND("/",K152)-1))&lt;=DAY(EOMONTH(DATE(VALUE(MID(MID(K152,FIND("/",K152)+1,10),FIND("/",MID(K152,FIND("/",K152)+1,10))+1,4)),VALUE(LEFT(MID(K152,FIND("/",K152)+1,10),FIND("/",MID(K152,FIND("/",K152)+1,10))-1)),1),0))),0,1),1)+IFERROR(IF(M152&gt;=0,0,1),1)+IFERROR(IF(ISNUMBER(MATCH(N152,Lists!$B$2:$B$7,0)),0,1),1))=0,"OK","ERROR"))</f>
        <v>OK</v>
      </c>
      <c r="Q152" s="3" t="str">
        <f aca="false">IF(D152="","",TRIM(IF(IFERROR(IF(AND(TRIM(D152)=D152,LEN(D152)&gt;0),0,1),1)=1,"Name; ","")&amp;IF(IFERROR(IF(AND(LEN(E152)=10,ISNUMBER(VALUE(E152))),0,1),1)=1,"Phone; ","")&amp;IF(IFERROR(IF(AND(ISNUMBER(SEARCH("@",F152)),ISNUMBER(SEARCH(".",F152))),0,1),1)=1,"Email; ","")&amp;IF(IFERROR(IF(AND(LEN(J152)=6,ISNUMBER(VALUE(J152))),0,1),1)=1,"Pincode; ","")&amp;IF(IFERROR(IF(ISNUMBER(MATCH(TRIM(I152),Lists!$A$2:$A$20,0)),0,1),1)=1,"State; ","")&amp;IF(IFERROR(IF(AND(LEN(K152)=10,VALUE(LEFT(K152,FIND("/",K152)-1))&gt;=1,VALUE(LEFT(K152,FIND("/",K152)-1))&lt;=31,VALUE(LEFT(MID(K152,FIND("/",K152)+1,10),FIND("/",MID(K152,FIND("/",K152)+1,10))-1))&gt;=1,VALUE(LEFT(MID(K152,FIND("/",K152)+1,10),FIND("/",MID(K152,FIND("/",K152)+1,10))-1))&lt;=12,VALUE(LEFT(K152,FIND("/",K152)-1))&lt;=DAY(EOMONTH(DATE(VALUE(MID(MID(K152,FIND("/",K152)+1,10),FIND("/",MID(K152,FIND("/",K152)+1,10))+1,4)),VALUE(LEFT(MID(K152,FIND("/",K152)+1,10),FIND("/",MID(K152,FIND("/",K152)+1,10))-1)),1),0))),0,1),1)=1,"Date; ","")&amp;IF(IFERROR(IF(M152&gt;=0,0,1),1)=1,"Amount; ","")&amp;IF(IFERROR(IF(ISNUMBER(MATCH(N152,Lists!$B$2:$B$7,0)),0,1),1)=1,"Payment; ","")))</f>
        <v/>
      </c>
      <c r="R152" s="3" t="str">
        <f aca="false">IF(D152="","",IF(COUNTIFS($D$2:$D$701,D152,$E$2:$E$701,E152)&gt;1,"DUPLICATE","Unique"))</f>
        <v>Unique</v>
      </c>
    </row>
    <row r="153" customFormat="false" ht="15" hidden="false" customHeight="false" outlineLevel="0" collapsed="false">
      <c r="A153" s="3" t="n">
        <v>152</v>
      </c>
      <c r="B153" s="3" t="n">
        <v>4</v>
      </c>
      <c r="C153" s="3" t="s">
        <v>1195</v>
      </c>
      <c r="D153" s="3" t="s">
        <v>1196</v>
      </c>
      <c r="E153" s="3" t="s">
        <v>1197</v>
      </c>
      <c r="F153" s="3" t="s">
        <v>1198</v>
      </c>
      <c r="G153" s="3" t="s">
        <v>1199</v>
      </c>
      <c r="H153" s="3" t="s">
        <v>126</v>
      </c>
      <c r="I153" s="3" t="s">
        <v>45</v>
      </c>
      <c r="J153" s="3" t="s">
        <v>1200</v>
      </c>
      <c r="K153" s="3" t="s">
        <v>1201</v>
      </c>
      <c r="L153" s="3" t="s">
        <v>58</v>
      </c>
      <c r="M153" s="3" t="n">
        <v>10993.76</v>
      </c>
      <c r="N153" s="3" t="s">
        <v>43</v>
      </c>
      <c r="O153" s="3" t="n">
        <f aca="false">IFERROR(LEN(C153&amp;D153&amp;E153&amp;F153&amp;G153&amp;H153&amp;I153&amp;J153&amp;K153&amp;L153&amp;M153&amp;N153)/5,0)</f>
        <v>26.4</v>
      </c>
      <c r="P153" s="3" t="str">
        <f aca="false">IF(OR(D153="",C153=""),"",IF((IFERROR(IF(AND(TRIM(D153)=D153,LEN(D153)&gt;0),0,1),1)+IFERROR(IF(AND(LEN(E153)=10,ISNUMBER(VALUE(E153))),0,1),1)+IFERROR(IF(AND(ISNUMBER(SEARCH("@",F153)),ISNUMBER(SEARCH(".",F153))),0,1),1)+IFERROR(IF(AND(LEN(J153)=6,ISNUMBER(VALUE(J153))),0,1),1)+IFERROR(IF(ISNUMBER(MATCH(TRIM(I153),Lists!$A$2:$A$20,0)),0,1),1)+IFERROR(IF(AND(LEN(K153)=10,VALUE(LEFT(K153,FIND("/",K153)-1))&gt;=1,VALUE(LEFT(K153,FIND("/",K153)-1))&lt;=31,VALUE(LEFT(MID(K153,FIND("/",K153)+1,10),FIND("/",MID(K153,FIND("/",K153)+1,10))-1))&gt;=1,VALUE(LEFT(MID(K153,FIND("/",K153)+1,10),FIND("/",MID(K153,FIND("/",K153)+1,10))-1))&lt;=12,VALUE(LEFT(K153,FIND("/",K153)-1))&lt;=DAY(EOMONTH(DATE(VALUE(MID(MID(K153,FIND("/",K153)+1,10),FIND("/",MID(K153,FIND("/",K153)+1,10))+1,4)),VALUE(LEFT(MID(K153,FIND("/",K153)+1,10),FIND("/",MID(K153,FIND("/",K153)+1,10))-1)),1),0))),0,1),1)+IFERROR(IF(M153&gt;=0,0,1),1)+IFERROR(IF(ISNUMBER(MATCH(N153,Lists!$B$2:$B$7,0)),0,1),1))=0,"OK","ERROR"))</f>
        <v>OK</v>
      </c>
      <c r="Q153" s="3" t="str">
        <f aca="false">IF(D153="","",TRIM(IF(IFERROR(IF(AND(TRIM(D153)=D153,LEN(D153)&gt;0),0,1),1)=1,"Name; ","")&amp;IF(IFERROR(IF(AND(LEN(E153)=10,ISNUMBER(VALUE(E153))),0,1),1)=1,"Phone; ","")&amp;IF(IFERROR(IF(AND(ISNUMBER(SEARCH("@",F153)),ISNUMBER(SEARCH(".",F153))),0,1),1)=1,"Email; ","")&amp;IF(IFERROR(IF(AND(LEN(J153)=6,ISNUMBER(VALUE(J153))),0,1),1)=1,"Pincode; ","")&amp;IF(IFERROR(IF(ISNUMBER(MATCH(TRIM(I153),Lists!$A$2:$A$20,0)),0,1),1)=1,"State; ","")&amp;IF(IFERROR(IF(AND(LEN(K153)=10,VALUE(LEFT(K153,FIND("/",K153)-1))&gt;=1,VALUE(LEFT(K153,FIND("/",K153)-1))&lt;=31,VALUE(LEFT(MID(K153,FIND("/",K153)+1,10),FIND("/",MID(K153,FIND("/",K153)+1,10))-1))&gt;=1,VALUE(LEFT(MID(K153,FIND("/",K153)+1,10),FIND("/",MID(K153,FIND("/",K153)+1,10))-1))&lt;=12,VALUE(LEFT(K153,FIND("/",K153)-1))&lt;=DAY(EOMONTH(DATE(VALUE(MID(MID(K153,FIND("/",K153)+1,10),FIND("/",MID(K153,FIND("/",K153)+1,10))+1,4)),VALUE(LEFT(MID(K153,FIND("/",K153)+1,10),FIND("/",MID(K153,FIND("/",K153)+1,10))-1)),1),0))),0,1),1)=1,"Date; ","")&amp;IF(IFERROR(IF(M153&gt;=0,0,1),1)=1,"Amount; ","")&amp;IF(IFERROR(IF(ISNUMBER(MATCH(N153,Lists!$B$2:$B$7,0)),0,1),1)=1,"Payment; ","")))</f>
        <v/>
      </c>
      <c r="R153" s="3" t="str">
        <f aca="false">IF(D153="","",IF(COUNTIFS($D$2:$D$701,D153,$E$2:$E$701,E153)&gt;1,"DUPLICATE","Unique"))</f>
        <v>Unique</v>
      </c>
    </row>
    <row r="154" customFormat="false" ht="15" hidden="false" customHeight="false" outlineLevel="0" collapsed="false">
      <c r="A154" s="3" t="n">
        <v>153</v>
      </c>
      <c r="B154" s="3" t="n">
        <v>4</v>
      </c>
      <c r="C154" s="3" t="s">
        <v>1202</v>
      </c>
      <c r="D154" s="3" t="s">
        <v>1203</v>
      </c>
      <c r="E154" s="3" t="s">
        <v>1204</v>
      </c>
      <c r="F154" s="3" t="s">
        <v>1205</v>
      </c>
      <c r="G154" s="3" t="s">
        <v>1206</v>
      </c>
      <c r="H154" s="3" t="s">
        <v>1207</v>
      </c>
      <c r="I154" s="3" t="s">
        <v>67</v>
      </c>
      <c r="J154" s="3" t="s">
        <v>1208</v>
      </c>
      <c r="K154" s="3" t="s">
        <v>496</v>
      </c>
      <c r="L154" s="3" t="s">
        <v>58</v>
      </c>
      <c r="M154" s="3" t="n">
        <v>2367.33</v>
      </c>
      <c r="N154" s="3" t="s">
        <v>43</v>
      </c>
      <c r="O154" s="3" t="n">
        <f aca="false">IFERROR(LEN(C154&amp;D154&amp;E154&amp;F154&amp;G154&amp;H154&amp;I154&amp;J154&amp;K154&amp;L154&amp;M154&amp;N154)/5,0)</f>
        <v>25.2</v>
      </c>
      <c r="P154" s="3" t="str">
        <f aca="false">IF(OR(D154="",C154=""),"",IF((IFERROR(IF(AND(TRIM(D154)=D154,LEN(D154)&gt;0),0,1),1)+IFERROR(IF(AND(LEN(E154)=10,ISNUMBER(VALUE(E154))),0,1),1)+IFERROR(IF(AND(ISNUMBER(SEARCH("@",F154)),ISNUMBER(SEARCH(".",F154))),0,1),1)+IFERROR(IF(AND(LEN(J154)=6,ISNUMBER(VALUE(J154))),0,1),1)+IFERROR(IF(ISNUMBER(MATCH(TRIM(I154),Lists!$A$2:$A$20,0)),0,1),1)+IFERROR(IF(AND(LEN(K154)=10,VALUE(LEFT(K154,FIND("/",K154)-1))&gt;=1,VALUE(LEFT(K154,FIND("/",K154)-1))&lt;=31,VALUE(LEFT(MID(K154,FIND("/",K154)+1,10),FIND("/",MID(K154,FIND("/",K154)+1,10))-1))&gt;=1,VALUE(LEFT(MID(K154,FIND("/",K154)+1,10),FIND("/",MID(K154,FIND("/",K154)+1,10))-1))&lt;=12,VALUE(LEFT(K154,FIND("/",K154)-1))&lt;=DAY(EOMONTH(DATE(VALUE(MID(MID(K154,FIND("/",K154)+1,10),FIND("/",MID(K154,FIND("/",K154)+1,10))+1,4)),VALUE(LEFT(MID(K154,FIND("/",K154)+1,10),FIND("/",MID(K154,FIND("/",K154)+1,10))-1)),1),0))),0,1),1)+IFERROR(IF(M154&gt;=0,0,1),1)+IFERROR(IF(ISNUMBER(MATCH(N154,Lists!$B$2:$B$7,0)),0,1),1))=0,"OK","ERROR"))</f>
        <v>OK</v>
      </c>
      <c r="Q154" s="3" t="str">
        <f aca="false">IF(D154="","",TRIM(IF(IFERROR(IF(AND(TRIM(D154)=D154,LEN(D154)&gt;0),0,1),1)=1,"Name; ","")&amp;IF(IFERROR(IF(AND(LEN(E154)=10,ISNUMBER(VALUE(E154))),0,1),1)=1,"Phone; ","")&amp;IF(IFERROR(IF(AND(ISNUMBER(SEARCH("@",F154)),ISNUMBER(SEARCH(".",F154))),0,1),1)=1,"Email; ","")&amp;IF(IFERROR(IF(AND(LEN(J154)=6,ISNUMBER(VALUE(J154))),0,1),1)=1,"Pincode; ","")&amp;IF(IFERROR(IF(ISNUMBER(MATCH(TRIM(I154),Lists!$A$2:$A$20,0)),0,1),1)=1,"State; ","")&amp;IF(IFERROR(IF(AND(LEN(K154)=10,VALUE(LEFT(K154,FIND("/",K154)-1))&gt;=1,VALUE(LEFT(K154,FIND("/",K154)-1))&lt;=31,VALUE(LEFT(MID(K154,FIND("/",K154)+1,10),FIND("/",MID(K154,FIND("/",K154)+1,10))-1))&gt;=1,VALUE(LEFT(MID(K154,FIND("/",K154)+1,10),FIND("/",MID(K154,FIND("/",K154)+1,10))-1))&lt;=12,VALUE(LEFT(K154,FIND("/",K154)-1))&lt;=DAY(EOMONTH(DATE(VALUE(MID(MID(K154,FIND("/",K154)+1,10),FIND("/",MID(K154,FIND("/",K154)+1,10))+1,4)),VALUE(LEFT(MID(K154,FIND("/",K154)+1,10),FIND("/",MID(K154,FIND("/",K154)+1,10))-1)),1),0))),0,1),1)=1,"Date; ","")&amp;IF(IFERROR(IF(M154&gt;=0,0,1),1)=1,"Amount; ","")&amp;IF(IFERROR(IF(ISNUMBER(MATCH(N154,Lists!$B$2:$B$7,0)),0,1),1)=1,"Payment; ","")))</f>
        <v/>
      </c>
      <c r="R154" s="3" t="str">
        <f aca="false">IF(D154="","",IF(COUNTIFS($D$2:$D$701,D154,$E$2:$E$701,E154)&gt;1,"DUPLICATE","Unique"))</f>
        <v>Unique</v>
      </c>
    </row>
    <row r="155" customFormat="false" ht="15" hidden="false" customHeight="false" outlineLevel="0" collapsed="false">
      <c r="A155" s="3" t="n">
        <v>154</v>
      </c>
      <c r="B155" s="3" t="n">
        <v>4</v>
      </c>
      <c r="C155" s="3" t="s">
        <v>1209</v>
      </c>
      <c r="D155" s="3" t="s">
        <v>1210</v>
      </c>
      <c r="E155" s="3" t="s">
        <v>1211</v>
      </c>
      <c r="F155" s="3" t="s">
        <v>1212</v>
      </c>
      <c r="G155" s="3" t="s">
        <v>1213</v>
      </c>
      <c r="H155" s="3" t="s">
        <v>633</v>
      </c>
      <c r="I155" s="3" t="s">
        <v>76</v>
      </c>
      <c r="J155" s="3" t="s">
        <v>1214</v>
      </c>
      <c r="K155" s="3" t="s">
        <v>842</v>
      </c>
      <c r="L155" s="3" t="s">
        <v>41</v>
      </c>
      <c r="M155" s="3" t="n">
        <v>14352.08</v>
      </c>
      <c r="N155" s="3" t="s">
        <v>46</v>
      </c>
      <c r="O155" s="3" t="n">
        <f aca="false">IFERROR(LEN(C155&amp;D155&amp;E155&amp;F155&amp;G155&amp;H155&amp;I155&amp;J155&amp;K155&amp;L155&amp;M155&amp;N155)/5,0)</f>
        <v>28.2</v>
      </c>
      <c r="P155" s="3" t="str">
        <f aca="false">IF(OR(D155="",C155=""),"",IF((IFERROR(IF(AND(TRIM(D155)=D155,LEN(D155)&gt;0),0,1),1)+IFERROR(IF(AND(LEN(E155)=10,ISNUMBER(VALUE(E155))),0,1),1)+IFERROR(IF(AND(ISNUMBER(SEARCH("@",F155)),ISNUMBER(SEARCH(".",F155))),0,1),1)+IFERROR(IF(AND(LEN(J155)=6,ISNUMBER(VALUE(J155))),0,1),1)+IFERROR(IF(ISNUMBER(MATCH(TRIM(I155),Lists!$A$2:$A$20,0)),0,1),1)+IFERROR(IF(AND(LEN(K155)=10,VALUE(LEFT(K155,FIND("/",K155)-1))&gt;=1,VALUE(LEFT(K155,FIND("/",K155)-1))&lt;=31,VALUE(LEFT(MID(K155,FIND("/",K155)+1,10),FIND("/",MID(K155,FIND("/",K155)+1,10))-1))&gt;=1,VALUE(LEFT(MID(K155,FIND("/",K155)+1,10),FIND("/",MID(K155,FIND("/",K155)+1,10))-1))&lt;=12,VALUE(LEFT(K155,FIND("/",K155)-1))&lt;=DAY(EOMONTH(DATE(VALUE(MID(MID(K155,FIND("/",K155)+1,10),FIND("/",MID(K155,FIND("/",K155)+1,10))+1,4)),VALUE(LEFT(MID(K155,FIND("/",K155)+1,10),FIND("/",MID(K155,FIND("/",K155)+1,10))-1)),1),0))),0,1),1)+IFERROR(IF(M155&gt;=0,0,1),1)+IFERROR(IF(ISNUMBER(MATCH(N155,Lists!$B$2:$B$7,0)),0,1),1))=0,"OK","ERROR"))</f>
        <v>OK</v>
      </c>
      <c r="Q155" s="3" t="str">
        <f aca="false">IF(D155="","",TRIM(IF(IFERROR(IF(AND(TRIM(D155)=D155,LEN(D155)&gt;0),0,1),1)=1,"Name; ","")&amp;IF(IFERROR(IF(AND(LEN(E155)=10,ISNUMBER(VALUE(E155))),0,1),1)=1,"Phone; ","")&amp;IF(IFERROR(IF(AND(ISNUMBER(SEARCH("@",F155)),ISNUMBER(SEARCH(".",F155))),0,1),1)=1,"Email; ","")&amp;IF(IFERROR(IF(AND(LEN(J155)=6,ISNUMBER(VALUE(J155))),0,1),1)=1,"Pincode; ","")&amp;IF(IFERROR(IF(ISNUMBER(MATCH(TRIM(I155),Lists!$A$2:$A$20,0)),0,1),1)=1,"State; ","")&amp;IF(IFERROR(IF(AND(LEN(K155)=10,VALUE(LEFT(K155,FIND("/",K155)-1))&gt;=1,VALUE(LEFT(K155,FIND("/",K155)-1))&lt;=31,VALUE(LEFT(MID(K155,FIND("/",K155)+1,10),FIND("/",MID(K155,FIND("/",K155)+1,10))-1))&gt;=1,VALUE(LEFT(MID(K155,FIND("/",K155)+1,10),FIND("/",MID(K155,FIND("/",K155)+1,10))-1))&lt;=12,VALUE(LEFT(K155,FIND("/",K155)-1))&lt;=DAY(EOMONTH(DATE(VALUE(MID(MID(K155,FIND("/",K155)+1,10),FIND("/",MID(K155,FIND("/",K155)+1,10))+1,4)),VALUE(LEFT(MID(K155,FIND("/",K155)+1,10),FIND("/",MID(K155,FIND("/",K155)+1,10))-1)),1),0))),0,1),1)=1,"Date; ","")&amp;IF(IFERROR(IF(M155&gt;=0,0,1),1)=1,"Amount; ","")&amp;IF(IFERROR(IF(ISNUMBER(MATCH(N155,Lists!$B$2:$B$7,0)),0,1),1)=1,"Payment; ","")))</f>
        <v/>
      </c>
      <c r="R155" s="3" t="str">
        <f aca="false">IF(D155="","",IF(COUNTIFS($D$2:$D$701,D155,$E$2:$E$701,E155)&gt;1,"DUPLICATE","Unique"))</f>
        <v>Unique</v>
      </c>
    </row>
    <row r="156" customFormat="false" ht="15" hidden="false" customHeight="false" outlineLevel="0" collapsed="false">
      <c r="A156" s="3" t="n">
        <v>155</v>
      </c>
      <c r="B156" s="3" t="n">
        <v>4</v>
      </c>
      <c r="C156" s="3" t="s">
        <v>1215</v>
      </c>
      <c r="D156" s="3" t="s">
        <v>1216</v>
      </c>
      <c r="E156" s="3" t="s">
        <v>1217</v>
      </c>
      <c r="F156" s="3" t="s">
        <v>1218</v>
      </c>
      <c r="G156" s="3" t="s">
        <v>1219</v>
      </c>
      <c r="H156" s="3" t="s">
        <v>1220</v>
      </c>
      <c r="I156" s="3" t="s">
        <v>42</v>
      </c>
      <c r="J156" s="3" t="s">
        <v>1221</v>
      </c>
      <c r="K156" s="3" t="s">
        <v>1222</v>
      </c>
      <c r="L156" s="3" t="s">
        <v>56</v>
      </c>
      <c r="M156" s="3" t="n">
        <v>12937.12</v>
      </c>
      <c r="N156" s="3" t="s">
        <v>55</v>
      </c>
      <c r="O156" s="3" t="n">
        <f aca="false">IFERROR(LEN(C156&amp;D156&amp;E156&amp;F156&amp;G156&amp;H156&amp;I156&amp;J156&amp;K156&amp;L156&amp;M156&amp;N156)/5,0)</f>
        <v>27.8</v>
      </c>
      <c r="P156" s="3" t="str">
        <f aca="false">IF(OR(D156="",C156=""),"",IF((IFERROR(IF(AND(TRIM(D156)=D156,LEN(D156)&gt;0),0,1),1)+IFERROR(IF(AND(LEN(E156)=10,ISNUMBER(VALUE(E156))),0,1),1)+IFERROR(IF(AND(ISNUMBER(SEARCH("@",F156)),ISNUMBER(SEARCH(".",F156))),0,1),1)+IFERROR(IF(AND(LEN(J156)=6,ISNUMBER(VALUE(J156))),0,1),1)+IFERROR(IF(ISNUMBER(MATCH(TRIM(I156),Lists!$A$2:$A$20,0)),0,1),1)+IFERROR(IF(AND(LEN(K156)=10,VALUE(LEFT(K156,FIND("/",K156)-1))&gt;=1,VALUE(LEFT(K156,FIND("/",K156)-1))&lt;=31,VALUE(LEFT(MID(K156,FIND("/",K156)+1,10),FIND("/",MID(K156,FIND("/",K156)+1,10))-1))&gt;=1,VALUE(LEFT(MID(K156,FIND("/",K156)+1,10),FIND("/",MID(K156,FIND("/",K156)+1,10))-1))&lt;=12,VALUE(LEFT(K156,FIND("/",K156)-1))&lt;=DAY(EOMONTH(DATE(VALUE(MID(MID(K156,FIND("/",K156)+1,10),FIND("/",MID(K156,FIND("/",K156)+1,10))+1,4)),VALUE(LEFT(MID(K156,FIND("/",K156)+1,10),FIND("/",MID(K156,FIND("/",K156)+1,10))-1)),1),0))),0,1),1)+IFERROR(IF(M156&gt;=0,0,1),1)+IFERROR(IF(ISNUMBER(MATCH(N156,Lists!$B$2:$B$7,0)),0,1),1))=0,"OK","ERROR"))</f>
        <v>OK</v>
      </c>
      <c r="Q156" s="3" t="str">
        <f aca="false">IF(D156="","",TRIM(IF(IFERROR(IF(AND(TRIM(D156)=D156,LEN(D156)&gt;0),0,1),1)=1,"Name; ","")&amp;IF(IFERROR(IF(AND(LEN(E156)=10,ISNUMBER(VALUE(E156))),0,1),1)=1,"Phone; ","")&amp;IF(IFERROR(IF(AND(ISNUMBER(SEARCH("@",F156)),ISNUMBER(SEARCH(".",F156))),0,1),1)=1,"Email; ","")&amp;IF(IFERROR(IF(AND(LEN(J156)=6,ISNUMBER(VALUE(J156))),0,1),1)=1,"Pincode; ","")&amp;IF(IFERROR(IF(ISNUMBER(MATCH(TRIM(I156),Lists!$A$2:$A$20,0)),0,1),1)=1,"State; ","")&amp;IF(IFERROR(IF(AND(LEN(K156)=10,VALUE(LEFT(K156,FIND("/",K156)-1))&gt;=1,VALUE(LEFT(K156,FIND("/",K156)-1))&lt;=31,VALUE(LEFT(MID(K156,FIND("/",K156)+1,10),FIND("/",MID(K156,FIND("/",K156)+1,10))-1))&gt;=1,VALUE(LEFT(MID(K156,FIND("/",K156)+1,10),FIND("/",MID(K156,FIND("/",K156)+1,10))-1))&lt;=12,VALUE(LEFT(K156,FIND("/",K156)-1))&lt;=DAY(EOMONTH(DATE(VALUE(MID(MID(K156,FIND("/",K156)+1,10),FIND("/",MID(K156,FIND("/",K156)+1,10))+1,4)),VALUE(LEFT(MID(K156,FIND("/",K156)+1,10),FIND("/",MID(K156,FIND("/",K156)+1,10))-1)),1),0))),0,1),1)=1,"Date; ","")&amp;IF(IFERROR(IF(M156&gt;=0,0,1),1)=1,"Amount; ","")&amp;IF(IFERROR(IF(ISNUMBER(MATCH(N156,Lists!$B$2:$B$7,0)),0,1),1)=1,"Payment; ","")))</f>
        <v/>
      </c>
      <c r="R156" s="3" t="str">
        <f aca="false">IF(D156="","",IF(COUNTIFS($D$2:$D$701,D156,$E$2:$E$701,E156)&gt;1,"DUPLICATE","Unique"))</f>
        <v>Unique</v>
      </c>
    </row>
    <row r="157" customFormat="false" ht="15" hidden="false" customHeight="false" outlineLevel="0" collapsed="false">
      <c r="A157" s="3" t="n">
        <v>156</v>
      </c>
      <c r="B157" s="3" t="n">
        <v>4</v>
      </c>
      <c r="C157" s="3" t="s">
        <v>1223</v>
      </c>
      <c r="D157" s="3" t="s">
        <v>1224</v>
      </c>
      <c r="E157" s="3" t="s">
        <v>1225</v>
      </c>
      <c r="F157" s="3" t="s">
        <v>1226</v>
      </c>
      <c r="G157" s="3" t="s">
        <v>1227</v>
      </c>
      <c r="H157" s="3" t="s">
        <v>1207</v>
      </c>
      <c r="I157" s="3" t="s">
        <v>67</v>
      </c>
      <c r="J157" s="3" t="s">
        <v>1228</v>
      </c>
      <c r="K157" s="3" t="s">
        <v>1229</v>
      </c>
      <c r="L157" s="3" t="s">
        <v>62</v>
      </c>
      <c r="M157" s="3" t="n">
        <v>7751.23</v>
      </c>
      <c r="N157" s="3" t="s">
        <v>46</v>
      </c>
      <c r="O157" s="3" t="n">
        <f aca="false">IFERROR(LEN(C157&amp;D157&amp;E157&amp;F157&amp;G157&amp;H157&amp;I157&amp;J157&amp;K157&amp;L157&amp;M157&amp;N157)/5,0)</f>
        <v>26.6</v>
      </c>
      <c r="P157" s="3" t="str">
        <f aca="false">IF(OR(D157="",C157=""),"",IF((IFERROR(IF(AND(TRIM(D157)=D157,LEN(D157)&gt;0),0,1),1)+IFERROR(IF(AND(LEN(E157)=10,ISNUMBER(VALUE(E157))),0,1),1)+IFERROR(IF(AND(ISNUMBER(SEARCH("@",F157)),ISNUMBER(SEARCH(".",F157))),0,1),1)+IFERROR(IF(AND(LEN(J157)=6,ISNUMBER(VALUE(J157))),0,1),1)+IFERROR(IF(ISNUMBER(MATCH(TRIM(I157),Lists!$A$2:$A$20,0)),0,1),1)+IFERROR(IF(AND(LEN(K157)=10,VALUE(LEFT(K157,FIND("/",K157)-1))&gt;=1,VALUE(LEFT(K157,FIND("/",K157)-1))&lt;=31,VALUE(LEFT(MID(K157,FIND("/",K157)+1,10),FIND("/",MID(K157,FIND("/",K157)+1,10))-1))&gt;=1,VALUE(LEFT(MID(K157,FIND("/",K157)+1,10),FIND("/",MID(K157,FIND("/",K157)+1,10))-1))&lt;=12,VALUE(LEFT(K157,FIND("/",K157)-1))&lt;=DAY(EOMONTH(DATE(VALUE(MID(MID(K157,FIND("/",K157)+1,10),FIND("/",MID(K157,FIND("/",K157)+1,10))+1,4)),VALUE(LEFT(MID(K157,FIND("/",K157)+1,10),FIND("/",MID(K157,FIND("/",K157)+1,10))-1)),1),0))),0,1),1)+IFERROR(IF(M157&gt;=0,0,1),1)+IFERROR(IF(ISNUMBER(MATCH(N157,Lists!$B$2:$B$7,0)),0,1),1))=0,"OK","ERROR"))</f>
        <v>OK</v>
      </c>
      <c r="Q157" s="3" t="str">
        <f aca="false">IF(D157="","",TRIM(IF(IFERROR(IF(AND(TRIM(D157)=D157,LEN(D157)&gt;0),0,1),1)=1,"Name; ","")&amp;IF(IFERROR(IF(AND(LEN(E157)=10,ISNUMBER(VALUE(E157))),0,1),1)=1,"Phone; ","")&amp;IF(IFERROR(IF(AND(ISNUMBER(SEARCH("@",F157)),ISNUMBER(SEARCH(".",F157))),0,1),1)=1,"Email; ","")&amp;IF(IFERROR(IF(AND(LEN(J157)=6,ISNUMBER(VALUE(J157))),0,1),1)=1,"Pincode; ","")&amp;IF(IFERROR(IF(ISNUMBER(MATCH(TRIM(I157),Lists!$A$2:$A$20,0)),0,1),1)=1,"State; ","")&amp;IF(IFERROR(IF(AND(LEN(K157)=10,VALUE(LEFT(K157,FIND("/",K157)-1))&gt;=1,VALUE(LEFT(K157,FIND("/",K157)-1))&lt;=31,VALUE(LEFT(MID(K157,FIND("/",K157)+1,10),FIND("/",MID(K157,FIND("/",K157)+1,10))-1))&gt;=1,VALUE(LEFT(MID(K157,FIND("/",K157)+1,10),FIND("/",MID(K157,FIND("/",K157)+1,10))-1))&lt;=12,VALUE(LEFT(K157,FIND("/",K157)-1))&lt;=DAY(EOMONTH(DATE(VALUE(MID(MID(K157,FIND("/",K157)+1,10),FIND("/",MID(K157,FIND("/",K157)+1,10))+1,4)),VALUE(LEFT(MID(K157,FIND("/",K157)+1,10),FIND("/",MID(K157,FIND("/",K157)+1,10))-1)),1),0))),0,1),1)=1,"Date; ","")&amp;IF(IFERROR(IF(M157&gt;=0,0,1),1)=1,"Amount; ","")&amp;IF(IFERROR(IF(ISNUMBER(MATCH(N157,Lists!$B$2:$B$7,0)),0,1),1)=1,"Payment; ","")))</f>
        <v/>
      </c>
      <c r="R157" s="3" t="str">
        <f aca="false">IF(D157="","",IF(COUNTIFS($D$2:$D$701,D157,$E$2:$E$701,E157)&gt;1,"DUPLICATE","Unique"))</f>
        <v>Unique</v>
      </c>
    </row>
    <row r="158" customFormat="false" ht="15" hidden="false" customHeight="false" outlineLevel="0" collapsed="false">
      <c r="A158" s="3" t="n">
        <v>157</v>
      </c>
      <c r="B158" s="3" t="n">
        <v>4</v>
      </c>
      <c r="C158" s="3" t="s">
        <v>1230</v>
      </c>
      <c r="D158" s="3" t="s">
        <v>1231</v>
      </c>
      <c r="E158" s="3" t="s">
        <v>1232</v>
      </c>
      <c r="F158" s="3" t="s">
        <v>1233</v>
      </c>
      <c r="G158" s="3" t="s">
        <v>1234</v>
      </c>
      <c r="H158" s="3" t="s">
        <v>510</v>
      </c>
      <c r="I158" s="3" t="s">
        <v>57</v>
      </c>
      <c r="J158" s="3" t="s">
        <v>1235</v>
      </c>
      <c r="K158" s="3" t="s">
        <v>1236</v>
      </c>
      <c r="L158" s="3" t="s">
        <v>56</v>
      </c>
      <c r="M158" s="3" t="n">
        <v>2354.94</v>
      </c>
      <c r="N158" s="3" t="s">
        <v>43</v>
      </c>
      <c r="O158" s="3" t="n">
        <f aca="false">IFERROR(LEN(C158&amp;D158&amp;E158&amp;F158&amp;G158&amp;H158&amp;I158&amp;J158&amp;K158&amp;L158&amp;M158&amp;N158)/5,0)</f>
        <v>26</v>
      </c>
      <c r="P158" s="3" t="str">
        <f aca="false">IF(OR(D158="",C158=""),"",IF((IFERROR(IF(AND(TRIM(D158)=D158,LEN(D158)&gt;0),0,1),1)+IFERROR(IF(AND(LEN(E158)=10,ISNUMBER(VALUE(E158))),0,1),1)+IFERROR(IF(AND(ISNUMBER(SEARCH("@",F158)),ISNUMBER(SEARCH(".",F158))),0,1),1)+IFERROR(IF(AND(LEN(J158)=6,ISNUMBER(VALUE(J158))),0,1),1)+IFERROR(IF(ISNUMBER(MATCH(TRIM(I158),Lists!$A$2:$A$20,0)),0,1),1)+IFERROR(IF(AND(LEN(K158)=10,VALUE(LEFT(K158,FIND("/",K158)-1))&gt;=1,VALUE(LEFT(K158,FIND("/",K158)-1))&lt;=31,VALUE(LEFT(MID(K158,FIND("/",K158)+1,10),FIND("/",MID(K158,FIND("/",K158)+1,10))-1))&gt;=1,VALUE(LEFT(MID(K158,FIND("/",K158)+1,10),FIND("/",MID(K158,FIND("/",K158)+1,10))-1))&lt;=12,VALUE(LEFT(K158,FIND("/",K158)-1))&lt;=DAY(EOMONTH(DATE(VALUE(MID(MID(K158,FIND("/",K158)+1,10),FIND("/",MID(K158,FIND("/",K158)+1,10))+1,4)),VALUE(LEFT(MID(K158,FIND("/",K158)+1,10),FIND("/",MID(K158,FIND("/",K158)+1,10))-1)),1),0))),0,1),1)+IFERROR(IF(M158&gt;=0,0,1),1)+IFERROR(IF(ISNUMBER(MATCH(N158,Lists!$B$2:$B$7,0)),0,1),1))=0,"OK","ERROR"))</f>
        <v>OK</v>
      </c>
      <c r="Q158" s="3" t="str">
        <f aca="false">IF(D158="","",TRIM(IF(IFERROR(IF(AND(TRIM(D158)=D158,LEN(D158)&gt;0),0,1),1)=1,"Name; ","")&amp;IF(IFERROR(IF(AND(LEN(E158)=10,ISNUMBER(VALUE(E158))),0,1),1)=1,"Phone; ","")&amp;IF(IFERROR(IF(AND(ISNUMBER(SEARCH("@",F158)),ISNUMBER(SEARCH(".",F158))),0,1),1)=1,"Email; ","")&amp;IF(IFERROR(IF(AND(LEN(J158)=6,ISNUMBER(VALUE(J158))),0,1),1)=1,"Pincode; ","")&amp;IF(IFERROR(IF(ISNUMBER(MATCH(TRIM(I158),Lists!$A$2:$A$20,0)),0,1),1)=1,"State; ","")&amp;IF(IFERROR(IF(AND(LEN(K158)=10,VALUE(LEFT(K158,FIND("/",K158)-1))&gt;=1,VALUE(LEFT(K158,FIND("/",K158)-1))&lt;=31,VALUE(LEFT(MID(K158,FIND("/",K158)+1,10),FIND("/",MID(K158,FIND("/",K158)+1,10))-1))&gt;=1,VALUE(LEFT(MID(K158,FIND("/",K158)+1,10),FIND("/",MID(K158,FIND("/",K158)+1,10))-1))&lt;=12,VALUE(LEFT(K158,FIND("/",K158)-1))&lt;=DAY(EOMONTH(DATE(VALUE(MID(MID(K158,FIND("/",K158)+1,10),FIND("/",MID(K158,FIND("/",K158)+1,10))+1,4)),VALUE(LEFT(MID(K158,FIND("/",K158)+1,10),FIND("/",MID(K158,FIND("/",K158)+1,10))-1)),1),0))),0,1),1)=1,"Date; ","")&amp;IF(IFERROR(IF(M158&gt;=0,0,1),1)=1,"Amount; ","")&amp;IF(IFERROR(IF(ISNUMBER(MATCH(N158,Lists!$B$2:$B$7,0)),0,1),1)=1,"Payment; ","")))</f>
        <v/>
      </c>
      <c r="R158" s="3" t="str">
        <f aca="false">IF(D158="","",IF(COUNTIFS($D$2:$D$701,D158,$E$2:$E$701,E158)&gt;1,"DUPLICATE","Unique"))</f>
        <v>Unique</v>
      </c>
    </row>
    <row r="159" customFormat="false" ht="15" hidden="false" customHeight="false" outlineLevel="0" collapsed="false">
      <c r="A159" s="3" t="n">
        <v>158</v>
      </c>
      <c r="B159" s="3" t="n">
        <v>4</v>
      </c>
      <c r="C159" s="3" t="s">
        <v>1237</v>
      </c>
      <c r="D159" s="3" t="s">
        <v>1238</v>
      </c>
      <c r="E159" s="3" t="s">
        <v>1239</v>
      </c>
      <c r="F159" s="3" t="s">
        <v>1240</v>
      </c>
      <c r="G159" s="3" t="s">
        <v>1241</v>
      </c>
      <c r="H159" s="3" t="s">
        <v>235</v>
      </c>
      <c r="I159" s="3" t="s">
        <v>71</v>
      </c>
      <c r="J159" s="3" t="s">
        <v>1242</v>
      </c>
      <c r="K159" s="3" t="s">
        <v>1243</v>
      </c>
      <c r="L159" s="3" t="s">
        <v>41</v>
      </c>
      <c r="M159" s="3" t="n">
        <v>3075.89</v>
      </c>
      <c r="N159" s="3" t="s">
        <v>46</v>
      </c>
      <c r="O159" s="3" t="n">
        <f aca="false">IFERROR(LEN(C159&amp;D159&amp;E159&amp;F159&amp;G159&amp;H159&amp;I159&amp;J159&amp;K159&amp;L159&amp;M159&amp;N159)/5,0)</f>
        <v>27.8</v>
      </c>
      <c r="P159" s="3" t="str">
        <f aca="false">IF(OR(D159="",C159=""),"",IF((IFERROR(IF(AND(TRIM(D159)=D159,LEN(D159)&gt;0),0,1),1)+IFERROR(IF(AND(LEN(E159)=10,ISNUMBER(VALUE(E159))),0,1),1)+IFERROR(IF(AND(ISNUMBER(SEARCH("@",F159)),ISNUMBER(SEARCH(".",F159))),0,1),1)+IFERROR(IF(AND(LEN(J159)=6,ISNUMBER(VALUE(J159))),0,1),1)+IFERROR(IF(ISNUMBER(MATCH(TRIM(I159),Lists!$A$2:$A$20,0)),0,1),1)+IFERROR(IF(AND(LEN(K159)=10,VALUE(LEFT(K159,FIND("/",K159)-1))&gt;=1,VALUE(LEFT(K159,FIND("/",K159)-1))&lt;=31,VALUE(LEFT(MID(K159,FIND("/",K159)+1,10),FIND("/",MID(K159,FIND("/",K159)+1,10))-1))&gt;=1,VALUE(LEFT(MID(K159,FIND("/",K159)+1,10),FIND("/",MID(K159,FIND("/",K159)+1,10))-1))&lt;=12,VALUE(LEFT(K159,FIND("/",K159)-1))&lt;=DAY(EOMONTH(DATE(VALUE(MID(MID(K159,FIND("/",K159)+1,10),FIND("/",MID(K159,FIND("/",K159)+1,10))+1,4)),VALUE(LEFT(MID(K159,FIND("/",K159)+1,10),FIND("/",MID(K159,FIND("/",K159)+1,10))-1)),1),0))),0,1),1)+IFERROR(IF(M159&gt;=0,0,1),1)+IFERROR(IF(ISNUMBER(MATCH(N159,Lists!$B$2:$B$7,0)),0,1),1))=0,"OK","ERROR"))</f>
        <v>OK</v>
      </c>
      <c r="Q159" s="3" t="str">
        <f aca="false">IF(D159="","",TRIM(IF(IFERROR(IF(AND(TRIM(D159)=D159,LEN(D159)&gt;0),0,1),1)=1,"Name; ","")&amp;IF(IFERROR(IF(AND(LEN(E159)=10,ISNUMBER(VALUE(E159))),0,1),1)=1,"Phone; ","")&amp;IF(IFERROR(IF(AND(ISNUMBER(SEARCH("@",F159)),ISNUMBER(SEARCH(".",F159))),0,1),1)=1,"Email; ","")&amp;IF(IFERROR(IF(AND(LEN(J159)=6,ISNUMBER(VALUE(J159))),0,1),1)=1,"Pincode; ","")&amp;IF(IFERROR(IF(ISNUMBER(MATCH(TRIM(I159),Lists!$A$2:$A$20,0)),0,1),1)=1,"State; ","")&amp;IF(IFERROR(IF(AND(LEN(K159)=10,VALUE(LEFT(K159,FIND("/",K159)-1))&gt;=1,VALUE(LEFT(K159,FIND("/",K159)-1))&lt;=31,VALUE(LEFT(MID(K159,FIND("/",K159)+1,10),FIND("/",MID(K159,FIND("/",K159)+1,10))-1))&gt;=1,VALUE(LEFT(MID(K159,FIND("/",K159)+1,10),FIND("/",MID(K159,FIND("/",K159)+1,10))-1))&lt;=12,VALUE(LEFT(K159,FIND("/",K159)-1))&lt;=DAY(EOMONTH(DATE(VALUE(MID(MID(K159,FIND("/",K159)+1,10),FIND("/",MID(K159,FIND("/",K159)+1,10))+1,4)),VALUE(LEFT(MID(K159,FIND("/",K159)+1,10),FIND("/",MID(K159,FIND("/",K159)+1,10))-1)),1),0))),0,1),1)=1,"Date; ","")&amp;IF(IFERROR(IF(M159&gt;=0,0,1),1)=1,"Amount; ","")&amp;IF(IFERROR(IF(ISNUMBER(MATCH(N159,Lists!$B$2:$B$7,0)),0,1),1)=1,"Payment; ","")))</f>
        <v/>
      </c>
      <c r="R159" s="3" t="str">
        <f aca="false">IF(D159="","",IF(COUNTIFS($D$2:$D$701,D159,$E$2:$E$701,E159)&gt;1,"DUPLICATE","Unique"))</f>
        <v>Unique</v>
      </c>
    </row>
    <row r="160" customFormat="false" ht="15" hidden="false" customHeight="false" outlineLevel="0" collapsed="false">
      <c r="A160" s="3" t="n">
        <v>159</v>
      </c>
      <c r="B160" s="3" t="n">
        <v>4</v>
      </c>
      <c r="C160" s="3" t="s">
        <v>1244</v>
      </c>
      <c r="D160" s="3" t="s">
        <v>1245</v>
      </c>
      <c r="E160" s="3" t="s">
        <v>1246</v>
      </c>
      <c r="F160" s="3" t="s">
        <v>1247</v>
      </c>
      <c r="G160" s="3" t="s">
        <v>1248</v>
      </c>
      <c r="H160" s="3" t="s">
        <v>641</v>
      </c>
      <c r="I160" s="3" t="s">
        <v>59</v>
      </c>
      <c r="J160" s="3" t="s">
        <v>1249</v>
      </c>
      <c r="K160" s="3" t="s">
        <v>1250</v>
      </c>
      <c r="L160" s="3" t="s">
        <v>56</v>
      </c>
      <c r="M160" s="3" t="n">
        <v>4254.2</v>
      </c>
      <c r="N160" s="3" t="s">
        <v>40</v>
      </c>
      <c r="O160" s="3" t="n">
        <f aca="false">IFERROR(LEN(C160&amp;D160&amp;E160&amp;F160&amp;G160&amp;H160&amp;I160&amp;J160&amp;K160&amp;L160&amp;M160&amp;N160)/5,0)</f>
        <v>28.2</v>
      </c>
      <c r="P160" s="3" t="str">
        <f aca="false">IF(OR(D160="",C160=""),"",IF((IFERROR(IF(AND(TRIM(D160)=D160,LEN(D160)&gt;0),0,1),1)+IFERROR(IF(AND(LEN(E160)=10,ISNUMBER(VALUE(E160))),0,1),1)+IFERROR(IF(AND(ISNUMBER(SEARCH("@",F160)),ISNUMBER(SEARCH(".",F160))),0,1),1)+IFERROR(IF(AND(LEN(J160)=6,ISNUMBER(VALUE(J160))),0,1),1)+IFERROR(IF(ISNUMBER(MATCH(TRIM(I160),Lists!$A$2:$A$20,0)),0,1),1)+IFERROR(IF(AND(LEN(K160)=10,VALUE(LEFT(K160,FIND("/",K160)-1))&gt;=1,VALUE(LEFT(K160,FIND("/",K160)-1))&lt;=31,VALUE(LEFT(MID(K160,FIND("/",K160)+1,10),FIND("/",MID(K160,FIND("/",K160)+1,10))-1))&gt;=1,VALUE(LEFT(MID(K160,FIND("/",K160)+1,10),FIND("/",MID(K160,FIND("/",K160)+1,10))-1))&lt;=12,VALUE(LEFT(K160,FIND("/",K160)-1))&lt;=DAY(EOMONTH(DATE(VALUE(MID(MID(K160,FIND("/",K160)+1,10),FIND("/",MID(K160,FIND("/",K160)+1,10))+1,4)),VALUE(LEFT(MID(K160,FIND("/",K160)+1,10),FIND("/",MID(K160,FIND("/",K160)+1,10))-1)),1),0))),0,1),1)+IFERROR(IF(M160&gt;=0,0,1),1)+IFERROR(IF(ISNUMBER(MATCH(N160,Lists!$B$2:$B$7,0)),0,1),1))=0,"OK","ERROR"))</f>
        <v>OK</v>
      </c>
      <c r="Q160" s="3" t="str">
        <f aca="false">IF(D160="","",TRIM(IF(IFERROR(IF(AND(TRIM(D160)=D160,LEN(D160)&gt;0),0,1),1)=1,"Name; ","")&amp;IF(IFERROR(IF(AND(LEN(E160)=10,ISNUMBER(VALUE(E160))),0,1),1)=1,"Phone; ","")&amp;IF(IFERROR(IF(AND(ISNUMBER(SEARCH("@",F160)),ISNUMBER(SEARCH(".",F160))),0,1),1)=1,"Email; ","")&amp;IF(IFERROR(IF(AND(LEN(J160)=6,ISNUMBER(VALUE(J160))),0,1),1)=1,"Pincode; ","")&amp;IF(IFERROR(IF(ISNUMBER(MATCH(TRIM(I160),Lists!$A$2:$A$20,0)),0,1),1)=1,"State; ","")&amp;IF(IFERROR(IF(AND(LEN(K160)=10,VALUE(LEFT(K160,FIND("/",K160)-1))&gt;=1,VALUE(LEFT(K160,FIND("/",K160)-1))&lt;=31,VALUE(LEFT(MID(K160,FIND("/",K160)+1,10),FIND("/",MID(K160,FIND("/",K160)+1,10))-1))&gt;=1,VALUE(LEFT(MID(K160,FIND("/",K160)+1,10),FIND("/",MID(K160,FIND("/",K160)+1,10))-1))&lt;=12,VALUE(LEFT(K160,FIND("/",K160)-1))&lt;=DAY(EOMONTH(DATE(VALUE(MID(MID(K160,FIND("/",K160)+1,10),FIND("/",MID(K160,FIND("/",K160)+1,10))+1,4)),VALUE(LEFT(MID(K160,FIND("/",K160)+1,10),FIND("/",MID(K160,FIND("/",K160)+1,10))-1)),1),0))),0,1),1)=1,"Date; ","")&amp;IF(IFERROR(IF(M160&gt;=0,0,1),1)=1,"Amount; ","")&amp;IF(IFERROR(IF(ISNUMBER(MATCH(N160,Lists!$B$2:$B$7,0)),0,1),1)=1,"Payment; ","")))</f>
        <v/>
      </c>
      <c r="R160" s="3" t="str">
        <f aca="false">IF(D160="","",IF(COUNTIFS($D$2:$D$701,D160,$E$2:$E$701,E160)&gt;1,"DUPLICATE","Unique"))</f>
        <v>Unique</v>
      </c>
    </row>
    <row r="161" customFormat="false" ht="15" hidden="false" customHeight="false" outlineLevel="0" collapsed="false">
      <c r="A161" s="3" t="n">
        <v>160</v>
      </c>
      <c r="B161" s="3" t="n">
        <v>4</v>
      </c>
      <c r="C161" s="3" t="s">
        <v>1251</v>
      </c>
      <c r="D161" s="3" t="s">
        <v>1252</v>
      </c>
      <c r="E161" s="3" t="s">
        <v>1253</v>
      </c>
      <c r="F161" s="3" t="s">
        <v>1254</v>
      </c>
      <c r="G161" s="3" t="s">
        <v>1255</v>
      </c>
      <c r="H161" s="3" t="s">
        <v>348</v>
      </c>
      <c r="I161" s="3" t="s">
        <v>39</v>
      </c>
      <c r="J161" s="3" t="s">
        <v>1256</v>
      </c>
      <c r="K161" s="3" t="s">
        <v>1257</v>
      </c>
      <c r="L161" s="3" t="s">
        <v>41</v>
      </c>
      <c r="M161" s="3" t="n">
        <v>5234.73</v>
      </c>
      <c r="N161" s="3" t="s">
        <v>40</v>
      </c>
      <c r="O161" s="3" t="n">
        <f aca="false">IFERROR(LEN(C161&amp;D161&amp;E161&amp;F161&amp;G161&amp;H161&amp;I161&amp;J161&amp;K161&amp;L161&amp;M161&amp;N161)/5,0)</f>
        <v>26.4</v>
      </c>
      <c r="P161" s="3" t="str">
        <f aca="false">IF(OR(D161="",C161=""),"",IF((IFERROR(IF(AND(TRIM(D161)=D161,LEN(D161)&gt;0),0,1),1)+IFERROR(IF(AND(LEN(E161)=10,ISNUMBER(VALUE(E161))),0,1),1)+IFERROR(IF(AND(ISNUMBER(SEARCH("@",F161)),ISNUMBER(SEARCH(".",F161))),0,1),1)+IFERROR(IF(AND(LEN(J161)=6,ISNUMBER(VALUE(J161))),0,1),1)+IFERROR(IF(ISNUMBER(MATCH(TRIM(I161),Lists!$A$2:$A$20,0)),0,1),1)+IFERROR(IF(AND(LEN(K161)=10,VALUE(LEFT(K161,FIND("/",K161)-1))&gt;=1,VALUE(LEFT(K161,FIND("/",K161)-1))&lt;=31,VALUE(LEFT(MID(K161,FIND("/",K161)+1,10),FIND("/",MID(K161,FIND("/",K161)+1,10))-1))&gt;=1,VALUE(LEFT(MID(K161,FIND("/",K161)+1,10),FIND("/",MID(K161,FIND("/",K161)+1,10))-1))&lt;=12,VALUE(LEFT(K161,FIND("/",K161)-1))&lt;=DAY(EOMONTH(DATE(VALUE(MID(MID(K161,FIND("/",K161)+1,10),FIND("/",MID(K161,FIND("/",K161)+1,10))+1,4)),VALUE(LEFT(MID(K161,FIND("/",K161)+1,10),FIND("/",MID(K161,FIND("/",K161)+1,10))-1)),1),0))),0,1),1)+IFERROR(IF(M161&gt;=0,0,1),1)+IFERROR(IF(ISNUMBER(MATCH(N161,Lists!$B$2:$B$7,0)),0,1),1))=0,"OK","ERROR"))</f>
        <v>OK</v>
      </c>
      <c r="Q161" s="3" t="str">
        <f aca="false">IF(D161="","",TRIM(IF(IFERROR(IF(AND(TRIM(D161)=D161,LEN(D161)&gt;0),0,1),1)=1,"Name; ","")&amp;IF(IFERROR(IF(AND(LEN(E161)=10,ISNUMBER(VALUE(E161))),0,1),1)=1,"Phone; ","")&amp;IF(IFERROR(IF(AND(ISNUMBER(SEARCH("@",F161)),ISNUMBER(SEARCH(".",F161))),0,1),1)=1,"Email; ","")&amp;IF(IFERROR(IF(AND(LEN(J161)=6,ISNUMBER(VALUE(J161))),0,1),1)=1,"Pincode; ","")&amp;IF(IFERROR(IF(ISNUMBER(MATCH(TRIM(I161),Lists!$A$2:$A$20,0)),0,1),1)=1,"State; ","")&amp;IF(IFERROR(IF(AND(LEN(K161)=10,VALUE(LEFT(K161,FIND("/",K161)-1))&gt;=1,VALUE(LEFT(K161,FIND("/",K161)-1))&lt;=31,VALUE(LEFT(MID(K161,FIND("/",K161)+1,10),FIND("/",MID(K161,FIND("/",K161)+1,10))-1))&gt;=1,VALUE(LEFT(MID(K161,FIND("/",K161)+1,10),FIND("/",MID(K161,FIND("/",K161)+1,10))-1))&lt;=12,VALUE(LEFT(K161,FIND("/",K161)-1))&lt;=DAY(EOMONTH(DATE(VALUE(MID(MID(K161,FIND("/",K161)+1,10),FIND("/",MID(K161,FIND("/",K161)+1,10))+1,4)),VALUE(LEFT(MID(K161,FIND("/",K161)+1,10),FIND("/",MID(K161,FIND("/",K161)+1,10))-1)),1),0))),0,1),1)=1,"Date; ","")&amp;IF(IFERROR(IF(M161&gt;=0,0,1),1)=1,"Amount; ","")&amp;IF(IFERROR(IF(ISNUMBER(MATCH(N161,Lists!$B$2:$B$7,0)),0,1),1)=1,"Payment; ","")))</f>
        <v/>
      </c>
      <c r="R161" s="3" t="str">
        <f aca="false">IF(D161="","",IF(COUNTIFS($D$2:$D$701,D161,$E$2:$E$701,E161)&gt;1,"DUPLICATE","Unique"))</f>
        <v>Unique</v>
      </c>
    </row>
    <row r="162" customFormat="false" ht="15" hidden="false" customHeight="false" outlineLevel="0" collapsed="false">
      <c r="A162" s="3" t="n">
        <v>161</v>
      </c>
      <c r="B162" s="3" t="n">
        <v>4</v>
      </c>
      <c r="C162" s="3" t="s">
        <v>1258</v>
      </c>
      <c r="D162" s="3" t="s">
        <v>1259</v>
      </c>
      <c r="E162" s="3" t="s">
        <v>1260</v>
      </c>
      <c r="F162" s="3" t="s">
        <v>1261</v>
      </c>
      <c r="G162" s="3" t="s">
        <v>1262</v>
      </c>
      <c r="H162" s="3" t="s">
        <v>205</v>
      </c>
      <c r="I162" s="3" t="s">
        <v>45</v>
      </c>
      <c r="J162" s="3" t="s">
        <v>1263</v>
      </c>
      <c r="K162" s="3" t="s">
        <v>1264</v>
      </c>
      <c r="L162" s="3" t="s">
        <v>56</v>
      </c>
      <c r="M162" s="3" t="n">
        <v>3446.7</v>
      </c>
      <c r="N162" s="3" t="s">
        <v>43</v>
      </c>
      <c r="O162" s="3" t="n">
        <f aca="false">IFERROR(LEN(C162&amp;D162&amp;E162&amp;F162&amp;G162&amp;H162&amp;I162&amp;J162&amp;K162&amp;L162&amp;M162&amp;N162)/5,0)</f>
        <v>26.4</v>
      </c>
      <c r="P162" s="3" t="str">
        <f aca="false">IF(OR(D162="",C162=""),"",IF((IFERROR(IF(AND(TRIM(D162)=D162,LEN(D162)&gt;0),0,1),1)+IFERROR(IF(AND(LEN(E162)=10,ISNUMBER(VALUE(E162))),0,1),1)+IFERROR(IF(AND(ISNUMBER(SEARCH("@",F162)),ISNUMBER(SEARCH(".",F162))),0,1),1)+IFERROR(IF(AND(LEN(J162)=6,ISNUMBER(VALUE(J162))),0,1),1)+IFERROR(IF(ISNUMBER(MATCH(TRIM(I162),Lists!$A$2:$A$20,0)),0,1),1)+IFERROR(IF(AND(LEN(K162)=10,VALUE(LEFT(K162,FIND("/",K162)-1))&gt;=1,VALUE(LEFT(K162,FIND("/",K162)-1))&lt;=31,VALUE(LEFT(MID(K162,FIND("/",K162)+1,10),FIND("/",MID(K162,FIND("/",K162)+1,10))-1))&gt;=1,VALUE(LEFT(MID(K162,FIND("/",K162)+1,10),FIND("/",MID(K162,FIND("/",K162)+1,10))-1))&lt;=12,VALUE(LEFT(K162,FIND("/",K162)-1))&lt;=DAY(EOMONTH(DATE(VALUE(MID(MID(K162,FIND("/",K162)+1,10),FIND("/",MID(K162,FIND("/",K162)+1,10))+1,4)),VALUE(LEFT(MID(K162,FIND("/",K162)+1,10),FIND("/",MID(K162,FIND("/",K162)+1,10))-1)),1),0))),0,1),1)+IFERROR(IF(M162&gt;=0,0,1),1)+IFERROR(IF(ISNUMBER(MATCH(N162,Lists!$B$2:$B$7,0)),0,1),1))=0,"OK","ERROR"))</f>
        <v>OK</v>
      </c>
      <c r="Q162" s="3" t="str">
        <f aca="false">IF(D162="","",TRIM(IF(IFERROR(IF(AND(TRIM(D162)=D162,LEN(D162)&gt;0),0,1),1)=1,"Name; ","")&amp;IF(IFERROR(IF(AND(LEN(E162)=10,ISNUMBER(VALUE(E162))),0,1),1)=1,"Phone; ","")&amp;IF(IFERROR(IF(AND(ISNUMBER(SEARCH("@",F162)),ISNUMBER(SEARCH(".",F162))),0,1),1)=1,"Email; ","")&amp;IF(IFERROR(IF(AND(LEN(J162)=6,ISNUMBER(VALUE(J162))),0,1),1)=1,"Pincode; ","")&amp;IF(IFERROR(IF(ISNUMBER(MATCH(TRIM(I162),Lists!$A$2:$A$20,0)),0,1),1)=1,"State; ","")&amp;IF(IFERROR(IF(AND(LEN(K162)=10,VALUE(LEFT(K162,FIND("/",K162)-1))&gt;=1,VALUE(LEFT(K162,FIND("/",K162)-1))&lt;=31,VALUE(LEFT(MID(K162,FIND("/",K162)+1,10),FIND("/",MID(K162,FIND("/",K162)+1,10))-1))&gt;=1,VALUE(LEFT(MID(K162,FIND("/",K162)+1,10),FIND("/",MID(K162,FIND("/",K162)+1,10))-1))&lt;=12,VALUE(LEFT(K162,FIND("/",K162)-1))&lt;=DAY(EOMONTH(DATE(VALUE(MID(MID(K162,FIND("/",K162)+1,10),FIND("/",MID(K162,FIND("/",K162)+1,10))+1,4)),VALUE(LEFT(MID(K162,FIND("/",K162)+1,10),FIND("/",MID(K162,FIND("/",K162)+1,10))-1)),1),0))),0,1),1)=1,"Date; ","")&amp;IF(IFERROR(IF(M162&gt;=0,0,1),1)=1,"Amount; ","")&amp;IF(IFERROR(IF(ISNUMBER(MATCH(N162,Lists!$B$2:$B$7,0)),0,1),1)=1,"Payment; ","")))</f>
        <v/>
      </c>
      <c r="R162" s="3" t="str">
        <f aca="false">IF(D162="","",IF(COUNTIFS($D$2:$D$701,D162,$E$2:$E$701,E162)&gt;1,"DUPLICATE","Unique"))</f>
        <v>Unique</v>
      </c>
    </row>
    <row r="163" customFormat="false" ht="15" hidden="false" customHeight="false" outlineLevel="0" collapsed="false">
      <c r="A163" s="3" t="n">
        <v>162</v>
      </c>
      <c r="B163" s="3" t="n">
        <v>4</v>
      </c>
      <c r="C163" s="3" t="s">
        <v>1265</v>
      </c>
      <c r="D163" s="3" t="s">
        <v>1266</v>
      </c>
      <c r="E163" s="3" t="s">
        <v>1267</v>
      </c>
      <c r="F163" s="3" t="s">
        <v>1268</v>
      </c>
      <c r="G163" s="3" t="s">
        <v>1269</v>
      </c>
      <c r="H163" s="3" t="s">
        <v>235</v>
      </c>
      <c r="I163" s="3" t="s">
        <v>71</v>
      </c>
      <c r="J163" s="3" t="s">
        <v>1270</v>
      </c>
      <c r="K163" s="3" t="s">
        <v>1257</v>
      </c>
      <c r="L163" s="3" t="s">
        <v>72</v>
      </c>
      <c r="M163" s="3" t="n">
        <v>10658.92</v>
      </c>
      <c r="N163" s="3" t="s">
        <v>52</v>
      </c>
      <c r="O163" s="3" t="n">
        <f aca="false">IFERROR(LEN(C163&amp;D163&amp;E163&amp;F163&amp;G163&amp;H163&amp;I163&amp;J163&amp;K163&amp;L163&amp;M163&amp;N163)/5,0)</f>
        <v>26</v>
      </c>
      <c r="P163" s="3" t="str">
        <f aca="false">IF(OR(D163="",C163=""),"",IF((IFERROR(IF(AND(TRIM(D163)=D163,LEN(D163)&gt;0),0,1),1)+IFERROR(IF(AND(LEN(E163)=10,ISNUMBER(VALUE(E163))),0,1),1)+IFERROR(IF(AND(ISNUMBER(SEARCH("@",F163)),ISNUMBER(SEARCH(".",F163))),0,1),1)+IFERROR(IF(AND(LEN(J163)=6,ISNUMBER(VALUE(J163))),0,1),1)+IFERROR(IF(ISNUMBER(MATCH(TRIM(I163),Lists!$A$2:$A$20,0)),0,1),1)+IFERROR(IF(AND(LEN(K163)=10,VALUE(LEFT(K163,FIND("/",K163)-1))&gt;=1,VALUE(LEFT(K163,FIND("/",K163)-1))&lt;=31,VALUE(LEFT(MID(K163,FIND("/",K163)+1,10),FIND("/",MID(K163,FIND("/",K163)+1,10))-1))&gt;=1,VALUE(LEFT(MID(K163,FIND("/",K163)+1,10),FIND("/",MID(K163,FIND("/",K163)+1,10))-1))&lt;=12,VALUE(LEFT(K163,FIND("/",K163)-1))&lt;=DAY(EOMONTH(DATE(VALUE(MID(MID(K163,FIND("/",K163)+1,10),FIND("/",MID(K163,FIND("/",K163)+1,10))+1,4)),VALUE(LEFT(MID(K163,FIND("/",K163)+1,10),FIND("/",MID(K163,FIND("/",K163)+1,10))-1)),1),0))),0,1),1)+IFERROR(IF(M163&gt;=0,0,1),1)+IFERROR(IF(ISNUMBER(MATCH(N163,Lists!$B$2:$B$7,0)),0,1),1))=0,"OK","ERROR"))</f>
        <v>OK</v>
      </c>
      <c r="Q163" s="3" t="str">
        <f aca="false">IF(D163="","",TRIM(IF(IFERROR(IF(AND(TRIM(D163)=D163,LEN(D163)&gt;0),0,1),1)=1,"Name; ","")&amp;IF(IFERROR(IF(AND(LEN(E163)=10,ISNUMBER(VALUE(E163))),0,1),1)=1,"Phone; ","")&amp;IF(IFERROR(IF(AND(ISNUMBER(SEARCH("@",F163)),ISNUMBER(SEARCH(".",F163))),0,1),1)=1,"Email; ","")&amp;IF(IFERROR(IF(AND(LEN(J163)=6,ISNUMBER(VALUE(J163))),0,1),1)=1,"Pincode; ","")&amp;IF(IFERROR(IF(ISNUMBER(MATCH(TRIM(I163),Lists!$A$2:$A$20,0)),0,1),1)=1,"State; ","")&amp;IF(IFERROR(IF(AND(LEN(K163)=10,VALUE(LEFT(K163,FIND("/",K163)-1))&gt;=1,VALUE(LEFT(K163,FIND("/",K163)-1))&lt;=31,VALUE(LEFT(MID(K163,FIND("/",K163)+1,10),FIND("/",MID(K163,FIND("/",K163)+1,10))-1))&gt;=1,VALUE(LEFT(MID(K163,FIND("/",K163)+1,10),FIND("/",MID(K163,FIND("/",K163)+1,10))-1))&lt;=12,VALUE(LEFT(K163,FIND("/",K163)-1))&lt;=DAY(EOMONTH(DATE(VALUE(MID(MID(K163,FIND("/",K163)+1,10),FIND("/",MID(K163,FIND("/",K163)+1,10))+1,4)),VALUE(LEFT(MID(K163,FIND("/",K163)+1,10),FIND("/",MID(K163,FIND("/",K163)+1,10))-1)),1),0))),0,1),1)=1,"Date; ","")&amp;IF(IFERROR(IF(M163&gt;=0,0,1),1)=1,"Amount; ","")&amp;IF(IFERROR(IF(ISNUMBER(MATCH(N163,Lists!$B$2:$B$7,0)),0,1),1)=1,"Payment; ","")))</f>
        <v/>
      </c>
      <c r="R163" s="3" t="str">
        <f aca="false">IF(D163="","",IF(COUNTIFS($D$2:$D$701,D163,$E$2:$E$701,E163)&gt;1,"DUPLICATE","Unique"))</f>
        <v>Unique</v>
      </c>
    </row>
    <row r="164" customFormat="false" ht="15" hidden="false" customHeight="false" outlineLevel="0" collapsed="false">
      <c r="A164" s="3" t="n">
        <v>163</v>
      </c>
      <c r="B164" s="3" t="n">
        <v>4</v>
      </c>
      <c r="C164" s="3" t="s">
        <v>1271</v>
      </c>
      <c r="D164" s="3" t="s">
        <v>1272</v>
      </c>
      <c r="E164" s="3" t="s">
        <v>1273</v>
      </c>
      <c r="F164" s="3" t="s">
        <v>1274</v>
      </c>
      <c r="G164" s="3" t="s">
        <v>1275</v>
      </c>
      <c r="H164" s="3" t="s">
        <v>819</v>
      </c>
      <c r="I164" s="3" t="s">
        <v>75</v>
      </c>
      <c r="J164" s="3" t="s">
        <v>1276</v>
      </c>
      <c r="K164" s="3" t="s">
        <v>1277</v>
      </c>
      <c r="L164" s="3" t="s">
        <v>56</v>
      </c>
      <c r="M164" s="3" t="n">
        <v>3147.01</v>
      </c>
      <c r="N164" s="3" t="s">
        <v>40</v>
      </c>
      <c r="O164" s="3" t="n">
        <f aca="false">IFERROR(LEN(C164&amp;D164&amp;E164&amp;F164&amp;G164&amp;H164&amp;I164&amp;J164&amp;K164&amp;L164&amp;M164&amp;N164)/5,0)</f>
        <v>26.6</v>
      </c>
      <c r="P164" s="3" t="str">
        <f aca="false">IF(OR(D164="",C164=""),"",IF((IFERROR(IF(AND(TRIM(D164)=D164,LEN(D164)&gt;0),0,1),1)+IFERROR(IF(AND(LEN(E164)=10,ISNUMBER(VALUE(E164))),0,1),1)+IFERROR(IF(AND(ISNUMBER(SEARCH("@",F164)),ISNUMBER(SEARCH(".",F164))),0,1),1)+IFERROR(IF(AND(LEN(J164)=6,ISNUMBER(VALUE(J164))),0,1),1)+IFERROR(IF(ISNUMBER(MATCH(TRIM(I164),Lists!$A$2:$A$20,0)),0,1),1)+IFERROR(IF(AND(LEN(K164)=10,VALUE(LEFT(K164,FIND("/",K164)-1))&gt;=1,VALUE(LEFT(K164,FIND("/",K164)-1))&lt;=31,VALUE(LEFT(MID(K164,FIND("/",K164)+1,10),FIND("/",MID(K164,FIND("/",K164)+1,10))-1))&gt;=1,VALUE(LEFT(MID(K164,FIND("/",K164)+1,10),FIND("/",MID(K164,FIND("/",K164)+1,10))-1))&lt;=12,VALUE(LEFT(K164,FIND("/",K164)-1))&lt;=DAY(EOMONTH(DATE(VALUE(MID(MID(K164,FIND("/",K164)+1,10),FIND("/",MID(K164,FIND("/",K164)+1,10))+1,4)),VALUE(LEFT(MID(K164,FIND("/",K164)+1,10),FIND("/",MID(K164,FIND("/",K164)+1,10))-1)),1),0))),0,1),1)+IFERROR(IF(M164&gt;=0,0,1),1)+IFERROR(IF(ISNUMBER(MATCH(N164,Lists!$B$2:$B$7,0)),0,1),1))=0,"OK","ERROR"))</f>
        <v>OK</v>
      </c>
      <c r="Q164" s="3" t="str">
        <f aca="false">IF(D164="","",TRIM(IF(IFERROR(IF(AND(TRIM(D164)=D164,LEN(D164)&gt;0),0,1),1)=1,"Name; ","")&amp;IF(IFERROR(IF(AND(LEN(E164)=10,ISNUMBER(VALUE(E164))),0,1),1)=1,"Phone; ","")&amp;IF(IFERROR(IF(AND(ISNUMBER(SEARCH("@",F164)),ISNUMBER(SEARCH(".",F164))),0,1),1)=1,"Email; ","")&amp;IF(IFERROR(IF(AND(LEN(J164)=6,ISNUMBER(VALUE(J164))),0,1),1)=1,"Pincode; ","")&amp;IF(IFERROR(IF(ISNUMBER(MATCH(TRIM(I164),Lists!$A$2:$A$20,0)),0,1),1)=1,"State; ","")&amp;IF(IFERROR(IF(AND(LEN(K164)=10,VALUE(LEFT(K164,FIND("/",K164)-1))&gt;=1,VALUE(LEFT(K164,FIND("/",K164)-1))&lt;=31,VALUE(LEFT(MID(K164,FIND("/",K164)+1,10),FIND("/",MID(K164,FIND("/",K164)+1,10))-1))&gt;=1,VALUE(LEFT(MID(K164,FIND("/",K164)+1,10),FIND("/",MID(K164,FIND("/",K164)+1,10))-1))&lt;=12,VALUE(LEFT(K164,FIND("/",K164)-1))&lt;=DAY(EOMONTH(DATE(VALUE(MID(MID(K164,FIND("/",K164)+1,10),FIND("/",MID(K164,FIND("/",K164)+1,10))+1,4)),VALUE(LEFT(MID(K164,FIND("/",K164)+1,10),FIND("/",MID(K164,FIND("/",K164)+1,10))-1)),1),0))),0,1),1)=1,"Date; ","")&amp;IF(IFERROR(IF(M164&gt;=0,0,1),1)=1,"Amount; ","")&amp;IF(IFERROR(IF(ISNUMBER(MATCH(N164,Lists!$B$2:$B$7,0)),0,1),1)=1,"Payment; ","")))</f>
        <v/>
      </c>
      <c r="R164" s="3" t="str">
        <f aca="false">IF(D164="","",IF(COUNTIFS($D$2:$D$701,D164,$E$2:$E$701,E164)&gt;1,"DUPLICATE","Unique"))</f>
        <v>Unique</v>
      </c>
    </row>
    <row r="165" customFormat="false" ht="15" hidden="false" customHeight="false" outlineLevel="0" collapsed="false">
      <c r="A165" s="3" t="n">
        <v>164</v>
      </c>
      <c r="B165" s="3" t="n">
        <v>4</v>
      </c>
      <c r="C165" s="3" t="s">
        <v>1278</v>
      </c>
      <c r="D165" s="3" t="s">
        <v>1279</v>
      </c>
      <c r="E165" s="3" t="s">
        <v>1280</v>
      </c>
      <c r="F165" s="3" t="s">
        <v>1281</v>
      </c>
      <c r="G165" s="3" t="s">
        <v>1282</v>
      </c>
      <c r="H165" s="3" t="s">
        <v>464</v>
      </c>
      <c r="I165" s="3" t="s">
        <v>61</v>
      </c>
      <c r="J165" s="3" t="s">
        <v>1283</v>
      </c>
      <c r="K165" s="3" t="s">
        <v>1284</v>
      </c>
      <c r="L165" s="3" t="s">
        <v>66</v>
      </c>
      <c r="M165" s="3" t="n">
        <v>13895.93</v>
      </c>
      <c r="N165" s="3" t="s">
        <v>49</v>
      </c>
      <c r="O165" s="3" t="n">
        <f aca="false">IFERROR(LEN(C165&amp;D165&amp;E165&amp;F165&amp;G165&amp;H165&amp;I165&amp;J165&amp;K165&amp;L165&amp;M165&amp;N165)/5,0)</f>
        <v>32.2</v>
      </c>
      <c r="P165" s="3" t="str">
        <f aca="false">IF(OR(D165="",C165=""),"",IF((IFERROR(IF(AND(TRIM(D165)=D165,LEN(D165)&gt;0),0,1),1)+IFERROR(IF(AND(LEN(E165)=10,ISNUMBER(VALUE(E165))),0,1),1)+IFERROR(IF(AND(ISNUMBER(SEARCH("@",F165)),ISNUMBER(SEARCH(".",F165))),0,1),1)+IFERROR(IF(AND(LEN(J165)=6,ISNUMBER(VALUE(J165))),0,1),1)+IFERROR(IF(ISNUMBER(MATCH(TRIM(I165),Lists!$A$2:$A$20,0)),0,1),1)+IFERROR(IF(AND(LEN(K165)=10,VALUE(LEFT(K165,FIND("/",K165)-1))&gt;=1,VALUE(LEFT(K165,FIND("/",K165)-1))&lt;=31,VALUE(LEFT(MID(K165,FIND("/",K165)+1,10),FIND("/",MID(K165,FIND("/",K165)+1,10))-1))&gt;=1,VALUE(LEFT(MID(K165,FIND("/",K165)+1,10),FIND("/",MID(K165,FIND("/",K165)+1,10))-1))&lt;=12,VALUE(LEFT(K165,FIND("/",K165)-1))&lt;=DAY(EOMONTH(DATE(VALUE(MID(MID(K165,FIND("/",K165)+1,10),FIND("/",MID(K165,FIND("/",K165)+1,10))+1,4)),VALUE(LEFT(MID(K165,FIND("/",K165)+1,10),FIND("/",MID(K165,FIND("/",K165)+1,10))-1)),1),0))),0,1),1)+IFERROR(IF(M165&gt;=0,0,1),1)+IFERROR(IF(ISNUMBER(MATCH(N165,Lists!$B$2:$B$7,0)),0,1),1))=0,"OK","ERROR"))</f>
        <v>OK</v>
      </c>
      <c r="Q165" s="3" t="str">
        <f aca="false">IF(D165="","",TRIM(IF(IFERROR(IF(AND(TRIM(D165)=D165,LEN(D165)&gt;0),0,1),1)=1,"Name; ","")&amp;IF(IFERROR(IF(AND(LEN(E165)=10,ISNUMBER(VALUE(E165))),0,1),1)=1,"Phone; ","")&amp;IF(IFERROR(IF(AND(ISNUMBER(SEARCH("@",F165)),ISNUMBER(SEARCH(".",F165))),0,1),1)=1,"Email; ","")&amp;IF(IFERROR(IF(AND(LEN(J165)=6,ISNUMBER(VALUE(J165))),0,1),1)=1,"Pincode; ","")&amp;IF(IFERROR(IF(ISNUMBER(MATCH(TRIM(I165),Lists!$A$2:$A$20,0)),0,1),1)=1,"State; ","")&amp;IF(IFERROR(IF(AND(LEN(K165)=10,VALUE(LEFT(K165,FIND("/",K165)-1))&gt;=1,VALUE(LEFT(K165,FIND("/",K165)-1))&lt;=31,VALUE(LEFT(MID(K165,FIND("/",K165)+1,10),FIND("/",MID(K165,FIND("/",K165)+1,10))-1))&gt;=1,VALUE(LEFT(MID(K165,FIND("/",K165)+1,10),FIND("/",MID(K165,FIND("/",K165)+1,10))-1))&lt;=12,VALUE(LEFT(K165,FIND("/",K165)-1))&lt;=DAY(EOMONTH(DATE(VALUE(MID(MID(K165,FIND("/",K165)+1,10),FIND("/",MID(K165,FIND("/",K165)+1,10))+1,4)),VALUE(LEFT(MID(K165,FIND("/",K165)+1,10),FIND("/",MID(K165,FIND("/",K165)+1,10))-1)),1),0))),0,1),1)=1,"Date; ","")&amp;IF(IFERROR(IF(M165&gt;=0,0,1),1)=1,"Amount; ","")&amp;IF(IFERROR(IF(ISNUMBER(MATCH(N165,Lists!$B$2:$B$7,0)),0,1),1)=1,"Payment; ","")))</f>
        <v/>
      </c>
      <c r="R165" s="3" t="str">
        <f aca="false">IF(D165="","",IF(COUNTIFS($D$2:$D$701,D165,$E$2:$E$701,E165)&gt;1,"DUPLICATE","Unique"))</f>
        <v>Unique</v>
      </c>
    </row>
    <row r="166" customFormat="false" ht="15" hidden="false" customHeight="false" outlineLevel="0" collapsed="false">
      <c r="A166" s="3" t="n">
        <v>165</v>
      </c>
      <c r="B166" s="3" t="n">
        <v>4</v>
      </c>
      <c r="C166" s="3" t="s">
        <v>1285</v>
      </c>
      <c r="D166" s="3" t="s">
        <v>1286</v>
      </c>
      <c r="E166" s="3" t="s">
        <v>1287</v>
      </c>
      <c r="F166" s="3" t="s">
        <v>1288</v>
      </c>
      <c r="G166" s="3" t="s">
        <v>1289</v>
      </c>
      <c r="H166" s="3" t="s">
        <v>826</v>
      </c>
      <c r="I166" s="3" t="s">
        <v>78</v>
      </c>
      <c r="J166" s="3" t="s">
        <v>1290</v>
      </c>
      <c r="K166" s="3" t="s">
        <v>174</v>
      </c>
      <c r="L166" s="3" t="s">
        <v>44</v>
      </c>
      <c r="M166" s="3" t="n">
        <v>15813.82</v>
      </c>
      <c r="N166" s="3" t="s">
        <v>49</v>
      </c>
      <c r="O166" s="3" t="n">
        <f aca="false">IFERROR(LEN(C166&amp;D166&amp;E166&amp;F166&amp;G166&amp;H166&amp;I166&amp;J166&amp;K166&amp;L166&amp;M166&amp;N166)/5,0)</f>
        <v>26.4</v>
      </c>
      <c r="P166" s="3" t="str">
        <f aca="false">IF(OR(D166="",C166=""),"",IF((IFERROR(IF(AND(TRIM(D166)=D166,LEN(D166)&gt;0),0,1),1)+IFERROR(IF(AND(LEN(E166)=10,ISNUMBER(VALUE(E166))),0,1),1)+IFERROR(IF(AND(ISNUMBER(SEARCH("@",F166)),ISNUMBER(SEARCH(".",F166))),0,1),1)+IFERROR(IF(AND(LEN(J166)=6,ISNUMBER(VALUE(J166))),0,1),1)+IFERROR(IF(ISNUMBER(MATCH(TRIM(I166),Lists!$A$2:$A$20,0)),0,1),1)+IFERROR(IF(AND(LEN(K166)=10,VALUE(LEFT(K166,FIND("/",K166)-1))&gt;=1,VALUE(LEFT(K166,FIND("/",K166)-1))&lt;=31,VALUE(LEFT(MID(K166,FIND("/",K166)+1,10),FIND("/",MID(K166,FIND("/",K166)+1,10))-1))&gt;=1,VALUE(LEFT(MID(K166,FIND("/",K166)+1,10),FIND("/",MID(K166,FIND("/",K166)+1,10))-1))&lt;=12,VALUE(LEFT(K166,FIND("/",K166)-1))&lt;=DAY(EOMONTH(DATE(VALUE(MID(MID(K166,FIND("/",K166)+1,10),FIND("/",MID(K166,FIND("/",K166)+1,10))+1,4)),VALUE(LEFT(MID(K166,FIND("/",K166)+1,10),FIND("/",MID(K166,FIND("/",K166)+1,10))-1)),1),0))),0,1),1)+IFERROR(IF(M166&gt;=0,0,1),1)+IFERROR(IF(ISNUMBER(MATCH(N166,Lists!$B$2:$B$7,0)),0,1),1))=0,"OK","ERROR"))</f>
        <v>OK</v>
      </c>
      <c r="Q166" s="3" t="str">
        <f aca="false">IF(D166="","",TRIM(IF(IFERROR(IF(AND(TRIM(D166)=D166,LEN(D166)&gt;0),0,1),1)=1,"Name; ","")&amp;IF(IFERROR(IF(AND(LEN(E166)=10,ISNUMBER(VALUE(E166))),0,1),1)=1,"Phone; ","")&amp;IF(IFERROR(IF(AND(ISNUMBER(SEARCH("@",F166)),ISNUMBER(SEARCH(".",F166))),0,1),1)=1,"Email; ","")&amp;IF(IFERROR(IF(AND(LEN(J166)=6,ISNUMBER(VALUE(J166))),0,1),1)=1,"Pincode; ","")&amp;IF(IFERROR(IF(ISNUMBER(MATCH(TRIM(I166),Lists!$A$2:$A$20,0)),0,1),1)=1,"State; ","")&amp;IF(IFERROR(IF(AND(LEN(K166)=10,VALUE(LEFT(K166,FIND("/",K166)-1))&gt;=1,VALUE(LEFT(K166,FIND("/",K166)-1))&lt;=31,VALUE(LEFT(MID(K166,FIND("/",K166)+1,10),FIND("/",MID(K166,FIND("/",K166)+1,10))-1))&gt;=1,VALUE(LEFT(MID(K166,FIND("/",K166)+1,10),FIND("/",MID(K166,FIND("/",K166)+1,10))-1))&lt;=12,VALUE(LEFT(K166,FIND("/",K166)-1))&lt;=DAY(EOMONTH(DATE(VALUE(MID(MID(K166,FIND("/",K166)+1,10),FIND("/",MID(K166,FIND("/",K166)+1,10))+1,4)),VALUE(LEFT(MID(K166,FIND("/",K166)+1,10),FIND("/",MID(K166,FIND("/",K166)+1,10))-1)),1),0))),0,1),1)=1,"Date; ","")&amp;IF(IFERROR(IF(M166&gt;=0,0,1),1)=1,"Amount; ","")&amp;IF(IFERROR(IF(ISNUMBER(MATCH(N166,Lists!$B$2:$B$7,0)),0,1),1)=1,"Payment; ","")))</f>
        <v/>
      </c>
      <c r="R166" s="3" t="str">
        <f aca="false">IF(D166="","",IF(COUNTIFS($D$2:$D$701,D166,$E$2:$E$701,E166)&gt;1,"DUPLICATE","Unique"))</f>
        <v>Unique</v>
      </c>
    </row>
    <row r="167" customFormat="false" ht="15" hidden="false" customHeight="false" outlineLevel="0" collapsed="false">
      <c r="A167" s="3" t="n">
        <v>166</v>
      </c>
      <c r="B167" s="3" t="n">
        <v>4</v>
      </c>
      <c r="C167" s="3" t="s">
        <v>1291</v>
      </c>
      <c r="D167" s="3" t="s">
        <v>1292</v>
      </c>
      <c r="E167" s="3" t="s">
        <v>1293</v>
      </c>
      <c r="F167" s="3" t="s">
        <v>1294</v>
      </c>
      <c r="G167" s="3" t="s">
        <v>1295</v>
      </c>
      <c r="H167" s="3" t="s">
        <v>863</v>
      </c>
      <c r="I167" s="3" t="s">
        <v>57</v>
      </c>
      <c r="J167" s="3" t="s">
        <v>1296</v>
      </c>
      <c r="K167" s="3" t="s">
        <v>1297</v>
      </c>
      <c r="L167" s="3" t="s">
        <v>44</v>
      </c>
      <c r="M167" s="3" t="n">
        <v>6747.19</v>
      </c>
      <c r="N167" s="3" t="s">
        <v>43</v>
      </c>
      <c r="O167" s="3" t="n">
        <f aca="false">IFERROR(LEN(C167&amp;D167&amp;E167&amp;F167&amp;G167&amp;H167&amp;I167&amp;J167&amp;K167&amp;L167&amp;M167&amp;N167)/5,0)</f>
        <v>25.8</v>
      </c>
      <c r="P167" s="3" t="str">
        <f aca="false">IF(OR(D167="",C167=""),"",IF((IFERROR(IF(AND(TRIM(D167)=D167,LEN(D167)&gt;0),0,1),1)+IFERROR(IF(AND(LEN(E167)=10,ISNUMBER(VALUE(E167))),0,1),1)+IFERROR(IF(AND(ISNUMBER(SEARCH("@",F167)),ISNUMBER(SEARCH(".",F167))),0,1),1)+IFERROR(IF(AND(LEN(J167)=6,ISNUMBER(VALUE(J167))),0,1),1)+IFERROR(IF(ISNUMBER(MATCH(TRIM(I167),Lists!$A$2:$A$20,0)),0,1),1)+IFERROR(IF(AND(LEN(K167)=10,VALUE(LEFT(K167,FIND("/",K167)-1))&gt;=1,VALUE(LEFT(K167,FIND("/",K167)-1))&lt;=31,VALUE(LEFT(MID(K167,FIND("/",K167)+1,10),FIND("/",MID(K167,FIND("/",K167)+1,10))-1))&gt;=1,VALUE(LEFT(MID(K167,FIND("/",K167)+1,10),FIND("/",MID(K167,FIND("/",K167)+1,10))-1))&lt;=12,VALUE(LEFT(K167,FIND("/",K167)-1))&lt;=DAY(EOMONTH(DATE(VALUE(MID(MID(K167,FIND("/",K167)+1,10),FIND("/",MID(K167,FIND("/",K167)+1,10))+1,4)),VALUE(LEFT(MID(K167,FIND("/",K167)+1,10),FIND("/",MID(K167,FIND("/",K167)+1,10))-1)),1),0))),0,1),1)+IFERROR(IF(M167&gt;=0,0,1),1)+IFERROR(IF(ISNUMBER(MATCH(N167,Lists!$B$2:$B$7,0)),0,1),1))=0,"OK","ERROR"))</f>
        <v>OK</v>
      </c>
      <c r="Q167" s="3" t="str">
        <f aca="false">IF(D167="","",TRIM(IF(IFERROR(IF(AND(TRIM(D167)=D167,LEN(D167)&gt;0),0,1),1)=1,"Name; ","")&amp;IF(IFERROR(IF(AND(LEN(E167)=10,ISNUMBER(VALUE(E167))),0,1),1)=1,"Phone; ","")&amp;IF(IFERROR(IF(AND(ISNUMBER(SEARCH("@",F167)),ISNUMBER(SEARCH(".",F167))),0,1),1)=1,"Email; ","")&amp;IF(IFERROR(IF(AND(LEN(J167)=6,ISNUMBER(VALUE(J167))),0,1),1)=1,"Pincode; ","")&amp;IF(IFERROR(IF(ISNUMBER(MATCH(TRIM(I167),Lists!$A$2:$A$20,0)),0,1),1)=1,"State; ","")&amp;IF(IFERROR(IF(AND(LEN(K167)=10,VALUE(LEFT(K167,FIND("/",K167)-1))&gt;=1,VALUE(LEFT(K167,FIND("/",K167)-1))&lt;=31,VALUE(LEFT(MID(K167,FIND("/",K167)+1,10),FIND("/",MID(K167,FIND("/",K167)+1,10))-1))&gt;=1,VALUE(LEFT(MID(K167,FIND("/",K167)+1,10),FIND("/",MID(K167,FIND("/",K167)+1,10))-1))&lt;=12,VALUE(LEFT(K167,FIND("/",K167)-1))&lt;=DAY(EOMONTH(DATE(VALUE(MID(MID(K167,FIND("/",K167)+1,10),FIND("/",MID(K167,FIND("/",K167)+1,10))+1,4)),VALUE(LEFT(MID(K167,FIND("/",K167)+1,10),FIND("/",MID(K167,FIND("/",K167)+1,10))-1)),1),0))),0,1),1)=1,"Date; ","")&amp;IF(IFERROR(IF(M167&gt;=0,0,1),1)=1,"Amount; ","")&amp;IF(IFERROR(IF(ISNUMBER(MATCH(N167,Lists!$B$2:$B$7,0)),0,1),1)=1,"Payment; ","")))</f>
        <v/>
      </c>
      <c r="R167" s="3" t="str">
        <f aca="false">IF(D167="","",IF(COUNTIFS($D$2:$D$701,D167,$E$2:$E$701,E167)&gt;1,"DUPLICATE","Unique"))</f>
        <v>Unique</v>
      </c>
    </row>
    <row r="168" customFormat="false" ht="15" hidden="false" customHeight="false" outlineLevel="0" collapsed="false">
      <c r="A168" s="3" t="n">
        <v>167</v>
      </c>
      <c r="B168" s="3" t="n">
        <v>4</v>
      </c>
      <c r="C168" s="3" t="s">
        <v>1298</v>
      </c>
      <c r="D168" s="3" t="s">
        <v>1299</v>
      </c>
      <c r="E168" s="3" t="s">
        <v>1300</v>
      </c>
      <c r="F168" s="3" t="s">
        <v>1301</v>
      </c>
      <c r="G168" s="3" t="s">
        <v>1302</v>
      </c>
      <c r="H168" s="3" t="s">
        <v>826</v>
      </c>
      <c r="I168" s="3" t="s">
        <v>78</v>
      </c>
      <c r="J168" s="3" t="s">
        <v>1303</v>
      </c>
      <c r="K168" s="3" t="s">
        <v>1304</v>
      </c>
      <c r="L168" s="3" t="s">
        <v>64</v>
      </c>
      <c r="M168" s="3" t="n">
        <v>10955.84</v>
      </c>
      <c r="N168" s="3" t="s">
        <v>49</v>
      </c>
      <c r="O168" s="3" t="n">
        <f aca="false">IFERROR(LEN(C168&amp;D168&amp;E168&amp;F168&amp;G168&amp;H168&amp;I168&amp;J168&amp;K168&amp;L168&amp;M168&amp;N168)/5,0)</f>
        <v>27</v>
      </c>
      <c r="P168" s="3" t="str">
        <f aca="false">IF(OR(D168="",C168=""),"",IF((IFERROR(IF(AND(TRIM(D168)=D168,LEN(D168)&gt;0),0,1),1)+IFERROR(IF(AND(LEN(E168)=10,ISNUMBER(VALUE(E168))),0,1),1)+IFERROR(IF(AND(ISNUMBER(SEARCH("@",F168)),ISNUMBER(SEARCH(".",F168))),0,1),1)+IFERROR(IF(AND(LEN(J168)=6,ISNUMBER(VALUE(J168))),0,1),1)+IFERROR(IF(ISNUMBER(MATCH(TRIM(I168),Lists!$A$2:$A$20,0)),0,1),1)+IFERROR(IF(AND(LEN(K168)=10,VALUE(LEFT(K168,FIND("/",K168)-1))&gt;=1,VALUE(LEFT(K168,FIND("/",K168)-1))&lt;=31,VALUE(LEFT(MID(K168,FIND("/",K168)+1,10),FIND("/",MID(K168,FIND("/",K168)+1,10))-1))&gt;=1,VALUE(LEFT(MID(K168,FIND("/",K168)+1,10),FIND("/",MID(K168,FIND("/",K168)+1,10))-1))&lt;=12,VALUE(LEFT(K168,FIND("/",K168)-1))&lt;=DAY(EOMONTH(DATE(VALUE(MID(MID(K168,FIND("/",K168)+1,10),FIND("/",MID(K168,FIND("/",K168)+1,10))+1,4)),VALUE(LEFT(MID(K168,FIND("/",K168)+1,10),FIND("/",MID(K168,FIND("/",K168)+1,10))-1)),1),0))),0,1),1)+IFERROR(IF(M168&gt;=0,0,1),1)+IFERROR(IF(ISNUMBER(MATCH(N168,Lists!$B$2:$B$7,0)),0,1),1))=0,"OK","ERROR"))</f>
        <v>OK</v>
      </c>
      <c r="Q168" s="3" t="str">
        <f aca="false">IF(D168="","",TRIM(IF(IFERROR(IF(AND(TRIM(D168)=D168,LEN(D168)&gt;0),0,1),1)=1,"Name; ","")&amp;IF(IFERROR(IF(AND(LEN(E168)=10,ISNUMBER(VALUE(E168))),0,1),1)=1,"Phone; ","")&amp;IF(IFERROR(IF(AND(ISNUMBER(SEARCH("@",F168)),ISNUMBER(SEARCH(".",F168))),0,1),1)=1,"Email; ","")&amp;IF(IFERROR(IF(AND(LEN(J168)=6,ISNUMBER(VALUE(J168))),0,1),1)=1,"Pincode; ","")&amp;IF(IFERROR(IF(ISNUMBER(MATCH(TRIM(I168),Lists!$A$2:$A$20,0)),0,1),1)=1,"State; ","")&amp;IF(IFERROR(IF(AND(LEN(K168)=10,VALUE(LEFT(K168,FIND("/",K168)-1))&gt;=1,VALUE(LEFT(K168,FIND("/",K168)-1))&lt;=31,VALUE(LEFT(MID(K168,FIND("/",K168)+1,10),FIND("/",MID(K168,FIND("/",K168)+1,10))-1))&gt;=1,VALUE(LEFT(MID(K168,FIND("/",K168)+1,10),FIND("/",MID(K168,FIND("/",K168)+1,10))-1))&lt;=12,VALUE(LEFT(K168,FIND("/",K168)-1))&lt;=DAY(EOMONTH(DATE(VALUE(MID(MID(K168,FIND("/",K168)+1,10),FIND("/",MID(K168,FIND("/",K168)+1,10))+1,4)),VALUE(LEFT(MID(K168,FIND("/",K168)+1,10),FIND("/",MID(K168,FIND("/",K168)+1,10))-1)),1),0))),0,1),1)=1,"Date; ","")&amp;IF(IFERROR(IF(M168&gt;=0,0,1),1)=1,"Amount; ","")&amp;IF(IFERROR(IF(ISNUMBER(MATCH(N168,Lists!$B$2:$B$7,0)),0,1),1)=1,"Payment; ","")))</f>
        <v/>
      </c>
      <c r="R168" s="3" t="str">
        <f aca="false">IF(D168="","",IF(COUNTIFS($D$2:$D$701,D168,$E$2:$E$701,E168)&gt;1,"DUPLICATE","Unique"))</f>
        <v>Unique</v>
      </c>
    </row>
    <row r="169" customFormat="false" ht="15" hidden="false" customHeight="false" outlineLevel="0" collapsed="false">
      <c r="A169" s="3" t="n">
        <v>168</v>
      </c>
      <c r="B169" s="3" t="n">
        <v>4</v>
      </c>
      <c r="C169" s="3" t="s">
        <v>1305</v>
      </c>
      <c r="D169" s="3" t="s">
        <v>1306</v>
      </c>
      <c r="E169" s="3" t="s">
        <v>1307</v>
      </c>
      <c r="F169" s="3" t="s">
        <v>1308</v>
      </c>
      <c r="G169" s="3" t="s">
        <v>1309</v>
      </c>
      <c r="H169" s="3" t="s">
        <v>1220</v>
      </c>
      <c r="I169" s="3" t="s">
        <v>42</v>
      </c>
      <c r="J169" s="3" t="s">
        <v>1310</v>
      </c>
      <c r="K169" s="3" t="s">
        <v>1311</v>
      </c>
      <c r="L169" s="3" t="s">
        <v>53</v>
      </c>
      <c r="M169" s="3" t="n">
        <v>11714.03</v>
      </c>
      <c r="N169" s="3" t="s">
        <v>52</v>
      </c>
      <c r="O169" s="3" t="n">
        <f aca="false">IFERROR(LEN(C169&amp;D169&amp;E169&amp;F169&amp;G169&amp;H169&amp;I169&amp;J169&amp;K169&amp;L169&amp;M169&amp;N169)/5,0)</f>
        <v>28.2</v>
      </c>
      <c r="P169" s="3" t="str">
        <f aca="false">IF(OR(D169="",C169=""),"",IF((IFERROR(IF(AND(TRIM(D169)=D169,LEN(D169)&gt;0),0,1),1)+IFERROR(IF(AND(LEN(E169)=10,ISNUMBER(VALUE(E169))),0,1),1)+IFERROR(IF(AND(ISNUMBER(SEARCH("@",F169)),ISNUMBER(SEARCH(".",F169))),0,1),1)+IFERROR(IF(AND(LEN(J169)=6,ISNUMBER(VALUE(J169))),0,1),1)+IFERROR(IF(ISNUMBER(MATCH(TRIM(I169),Lists!$A$2:$A$20,0)),0,1),1)+IFERROR(IF(AND(LEN(K169)=10,VALUE(LEFT(K169,FIND("/",K169)-1))&gt;=1,VALUE(LEFT(K169,FIND("/",K169)-1))&lt;=31,VALUE(LEFT(MID(K169,FIND("/",K169)+1,10),FIND("/",MID(K169,FIND("/",K169)+1,10))-1))&gt;=1,VALUE(LEFT(MID(K169,FIND("/",K169)+1,10),FIND("/",MID(K169,FIND("/",K169)+1,10))-1))&lt;=12,VALUE(LEFT(K169,FIND("/",K169)-1))&lt;=DAY(EOMONTH(DATE(VALUE(MID(MID(K169,FIND("/",K169)+1,10),FIND("/",MID(K169,FIND("/",K169)+1,10))+1,4)),VALUE(LEFT(MID(K169,FIND("/",K169)+1,10),FIND("/",MID(K169,FIND("/",K169)+1,10))-1)),1),0))),0,1),1)+IFERROR(IF(M169&gt;=0,0,1),1)+IFERROR(IF(ISNUMBER(MATCH(N169,Lists!$B$2:$B$7,0)),0,1),1))=0,"OK","ERROR"))</f>
        <v>OK</v>
      </c>
      <c r="Q169" s="3" t="str">
        <f aca="false">IF(D169="","",TRIM(IF(IFERROR(IF(AND(TRIM(D169)=D169,LEN(D169)&gt;0),0,1),1)=1,"Name; ","")&amp;IF(IFERROR(IF(AND(LEN(E169)=10,ISNUMBER(VALUE(E169))),0,1),1)=1,"Phone; ","")&amp;IF(IFERROR(IF(AND(ISNUMBER(SEARCH("@",F169)),ISNUMBER(SEARCH(".",F169))),0,1),1)=1,"Email; ","")&amp;IF(IFERROR(IF(AND(LEN(J169)=6,ISNUMBER(VALUE(J169))),0,1),1)=1,"Pincode; ","")&amp;IF(IFERROR(IF(ISNUMBER(MATCH(TRIM(I169),Lists!$A$2:$A$20,0)),0,1),1)=1,"State; ","")&amp;IF(IFERROR(IF(AND(LEN(K169)=10,VALUE(LEFT(K169,FIND("/",K169)-1))&gt;=1,VALUE(LEFT(K169,FIND("/",K169)-1))&lt;=31,VALUE(LEFT(MID(K169,FIND("/",K169)+1,10),FIND("/",MID(K169,FIND("/",K169)+1,10))-1))&gt;=1,VALUE(LEFT(MID(K169,FIND("/",K169)+1,10),FIND("/",MID(K169,FIND("/",K169)+1,10))-1))&lt;=12,VALUE(LEFT(K169,FIND("/",K169)-1))&lt;=DAY(EOMONTH(DATE(VALUE(MID(MID(K169,FIND("/",K169)+1,10),FIND("/",MID(K169,FIND("/",K169)+1,10))+1,4)),VALUE(LEFT(MID(K169,FIND("/",K169)+1,10),FIND("/",MID(K169,FIND("/",K169)+1,10))-1)),1),0))),0,1),1)=1,"Date; ","")&amp;IF(IFERROR(IF(M169&gt;=0,0,1),1)=1,"Amount; ","")&amp;IF(IFERROR(IF(ISNUMBER(MATCH(N169,Lists!$B$2:$B$7,0)),0,1),1)=1,"Payment; ","")))</f>
        <v/>
      </c>
      <c r="R169" s="3" t="str">
        <f aca="false">IF(D169="","",IF(COUNTIFS($D$2:$D$701,D169,$E$2:$E$701,E169)&gt;1,"DUPLICATE","Unique"))</f>
        <v>Unique</v>
      </c>
    </row>
    <row r="170" customFormat="false" ht="15" hidden="false" customHeight="false" outlineLevel="0" collapsed="false">
      <c r="A170" s="3" t="n">
        <v>169</v>
      </c>
      <c r="B170" s="3" t="n">
        <v>4</v>
      </c>
      <c r="C170" s="3" t="s">
        <v>1312</v>
      </c>
      <c r="D170" s="3" t="s">
        <v>1313</v>
      </c>
      <c r="E170" s="3" t="s">
        <v>1314</v>
      </c>
      <c r="F170" s="3" t="s">
        <v>1315</v>
      </c>
      <c r="G170" s="3" t="s">
        <v>1316</v>
      </c>
      <c r="H170" s="3" t="s">
        <v>189</v>
      </c>
      <c r="I170" s="3" t="s">
        <v>45</v>
      </c>
      <c r="J170" s="3" t="s">
        <v>1317</v>
      </c>
      <c r="K170" s="3" t="s">
        <v>1318</v>
      </c>
      <c r="L170" s="3" t="s">
        <v>74</v>
      </c>
      <c r="M170" s="3" t="n">
        <v>13359.29</v>
      </c>
      <c r="N170" s="3" t="s">
        <v>40</v>
      </c>
      <c r="O170" s="3" t="n">
        <f aca="false">IFERROR(LEN(C170&amp;D170&amp;E170&amp;F170&amp;G170&amp;H170&amp;I170&amp;J170&amp;K170&amp;L170&amp;M170&amp;N170)/5,0)</f>
        <v>25.4</v>
      </c>
      <c r="P170" s="3" t="str">
        <f aca="false">IF(OR(D170="",C170=""),"",IF((IFERROR(IF(AND(TRIM(D170)=D170,LEN(D170)&gt;0),0,1),1)+IFERROR(IF(AND(LEN(E170)=10,ISNUMBER(VALUE(E170))),0,1),1)+IFERROR(IF(AND(ISNUMBER(SEARCH("@",F170)),ISNUMBER(SEARCH(".",F170))),0,1),1)+IFERROR(IF(AND(LEN(J170)=6,ISNUMBER(VALUE(J170))),0,1),1)+IFERROR(IF(ISNUMBER(MATCH(TRIM(I170),Lists!$A$2:$A$20,0)),0,1),1)+IFERROR(IF(AND(LEN(K170)=10,VALUE(LEFT(K170,FIND("/",K170)-1))&gt;=1,VALUE(LEFT(K170,FIND("/",K170)-1))&lt;=31,VALUE(LEFT(MID(K170,FIND("/",K170)+1,10),FIND("/",MID(K170,FIND("/",K170)+1,10))-1))&gt;=1,VALUE(LEFT(MID(K170,FIND("/",K170)+1,10),FIND("/",MID(K170,FIND("/",K170)+1,10))-1))&lt;=12,VALUE(LEFT(K170,FIND("/",K170)-1))&lt;=DAY(EOMONTH(DATE(VALUE(MID(MID(K170,FIND("/",K170)+1,10),FIND("/",MID(K170,FIND("/",K170)+1,10))+1,4)),VALUE(LEFT(MID(K170,FIND("/",K170)+1,10),FIND("/",MID(K170,FIND("/",K170)+1,10))-1)),1),0))),0,1),1)+IFERROR(IF(M170&gt;=0,0,1),1)+IFERROR(IF(ISNUMBER(MATCH(N170,Lists!$B$2:$B$7,0)),0,1),1))=0,"OK","ERROR"))</f>
        <v>OK</v>
      </c>
      <c r="Q170" s="3" t="str">
        <f aca="false">IF(D170="","",TRIM(IF(IFERROR(IF(AND(TRIM(D170)=D170,LEN(D170)&gt;0),0,1),1)=1,"Name; ","")&amp;IF(IFERROR(IF(AND(LEN(E170)=10,ISNUMBER(VALUE(E170))),0,1),1)=1,"Phone; ","")&amp;IF(IFERROR(IF(AND(ISNUMBER(SEARCH("@",F170)),ISNUMBER(SEARCH(".",F170))),0,1),1)=1,"Email; ","")&amp;IF(IFERROR(IF(AND(LEN(J170)=6,ISNUMBER(VALUE(J170))),0,1),1)=1,"Pincode; ","")&amp;IF(IFERROR(IF(ISNUMBER(MATCH(TRIM(I170),Lists!$A$2:$A$20,0)),0,1),1)=1,"State; ","")&amp;IF(IFERROR(IF(AND(LEN(K170)=10,VALUE(LEFT(K170,FIND("/",K170)-1))&gt;=1,VALUE(LEFT(K170,FIND("/",K170)-1))&lt;=31,VALUE(LEFT(MID(K170,FIND("/",K170)+1,10),FIND("/",MID(K170,FIND("/",K170)+1,10))-1))&gt;=1,VALUE(LEFT(MID(K170,FIND("/",K170)+1,10),FIND("/",MID(K170,FIND("/",K170)+1,10))-1))&lt;=12,VALUE(LEFT(K170,FIND("/",K170)-1))&lt;=DAY(EOMONTH(DATE(VALUE(MID(MID(K170,FIND("/",K170)+1,10),FIND("/",MID(K170,FIND("/",K170)+1,10))+1,4)),VALUE(LEFT(MID(K170,FIND("/",K170)+1,10),FIND("/",MID(K170,FIND("/",K170)+1,10))-1)),1),0))),0,1),1)=1,"Date; ","")&amp;IF(IFERROR(IF(M170&gt;=0,0,1),1)=1,"Amount; ","")&amp;IF(IFERROR(IF(ISNUMBER(MATCH(N170,Lists!$B$2:$B$7,0)),0,1),1)=1,"Payment; ","")))</f>
        <v/>
      </c>
      <c r="R170" s="3" t="str">
        <f aca="false">IF(D170="","",IF(COUNTIFS($D$2:$D$701,D170,$E$2:$E$701,E170)&gt;1,"DUPLICATE","Unique"))</f>
        <v>Unique</v>
      </c>
    </row>
    <row r="171" customFormat="false" ht="15" hidden="false" customHeight="false" outlineLevel="0" collapsed="false">
      <c r="A171" s="3" t="n">
        <v>170</v>
      </c>
      <c r="B171" s="3" t="n">
        <v>4</v>
      </c>
      <c r="C171" s="3" t="s">
        <v>1319</v>
      </c>
      <c r="D171" s="3" t="s">
        <v>1320</v>
      </c>
      <c r="E171" s="3" t="s">
        <v>1321</v>
      </c>
      <c r="F171" s="3" t="s">
        <v>1322</v>
      </c>
      <c r="G171" s="3" t="s">
        <v>1323</v>
      </c>
      <c r="H171" s="3" t="s">
        <v>157</v>
      </c>
      <c r="I171" s="3" t="s">
        <v>59</v>
      </c>
      <c r="J171" s="3" t="s">
        <v>1324</v>
      </c>
      <c r="K171" s="3" t="s">
        <v>1325</v>
      </c>
      <c r="L171" s="3" t="s">
        <v>56</v>
      </c>
      <c r="M171" s="3" t="n">
        <v>5638.13</v>
      </c>
      <c r="N171" s="3" t="s">
        <v>46</v>
      </c>
      <c r="O171" s="3" t="n">
        <f aca="false">IFERROR(LEN(C171&amp;D171&amp;E171&amp;F171&amp;G171&amp;H171&amp;I171&amp;J171&amp;K171&amp;L171&amp;M171&amp;N171)/5,0)</f>
        <v>28.4</v>
      </c>
      <c r="P171" s="3" t="str">
        <f aca="false">IF(OR(D171="",C171=""),"",IF((IFERROR(IF(AND(TRIM(D171)=D171,LEN(D171)&gt;0),0,1),1)+IFERROR(IF(AND(LEN(E171)=10,ISNUMBER(VALUE(E171))),0,1),1)+IFERROR(IF(AND(ISNUMBER(SEARCH("@",F171)),ISNUMBER(SEARCH(".",F171))),0,1),1)+IFERROR(IF(AND(LEN(J171)=6,ISNUMBER(VALUE(J171))),0,1),1)+IFERROR(IF(ISNUMBER(MATCH(TRIM(I171),Lists!$A$2:$A$20,0)),0,1),1)+IFERROR(IF(AND(LEN(K171)=10,VALUE(LEFT(K171,FIND("/",K171)-1))&gt;=1,VALUE(LEFT(K171,FIND("/",K171)-1))&lt;=31,VALUE(LEFT(MID(K171,FIND("/",K171)+1,10),FIND("/",MID(K171,FIND("/",K171)+1,10))-1))&gt;=1,VALUE(LEFT(MID(K171,FIND("/",K171)+1,10),FIND("/",MID(K171,FIND("/",K171)+1,10))-1))&lt;=12,VALUE(LEFT(K171,FIND("/",K171)-1))&lt;=DAY(EOMONTH(DATE(VALUE(MID(MID(K171,FIND("/",K171)+1,10),FIND("/",MID(K171,FIND("/",K171)+1,10))+1,4)),VALUE(LEFT(MID(K171,FIND("/",K171)+1,10),FIND("/",MID(K171,FIND("/",K171)+1,10))-1)),1),0))),0,1),1)+IFERROR(IF(M171&gt;=0,0,1),1)+IFERROR(IF(ISNUMBER(MATCH(N171,Lists!$B$2:$B$7,0)),0,1),1))=0,"OK","ERROR"))</f>
        <v>OK</v>
      </c>
      <c r="Q171" s="3" t="str">
        <f aca="false">IF(D171="","",TRIM(IF(IFERROR(IF(AND(TRIM(D171)=D171,LEN(D171)&gt;0),0,1),1)=1,"Name; ","")&amp;IF(IFERROR(IF(AND(LEN(E171)=10,ISNUMBER(VALUE(E171))),0,1),1)=1,"Phone; ","")&amp;IF(IFERROR(IF(AND(ISNUMBER(SEARCH("@",F171)),ISNUMBER(SEARCH(".",F171))),0,1),1)=1,"Email; ","")&amp;IF(IFERROR(IF(AND(LEN(J171)=6,ISNUMBER(VALUE(J171))),0,1),1)=1,"Pincode; ","")&amp;IF(IFERROR(IF(ISNUMBER(MATCH(TRIM(I171),Lists!$A$2:$A$20,0)),0,1),1)=1,"State; ","")&amp;IF(IFERROR(IF(AND(LEN(K171)=10,VALUE(LEFT(K171,FIND("/",K171)-1))&gt;=1,VALUE(LEFT(K171,FIND("/",K171)-1))&lt;=31,VALUE(LEFT(MID(K171,FIND("/",K171)+1,10),FIND("/",MID(K171,FIND("/",K171)+1,10))-1))&gt;=1,VALUE(LEFT(MID(K171,FIND("/",K171)+1,10),FIND("/",MID(K171,FIND("/",K171)+1,10))-1))&lt;=12,VALUE(LEFT(K171,FIND("/",K171)-1))&lt;=DAY(EOMONTH(DATE(VALUE(MID(MID(K171,FIND("/",K171)+1,10),FIND("/",MID(K171,FIND("/",K171)+1,10))+1,4)),VALUE(LEFT(MID(K171,FIND("/",K171)+1,10),FIND("/",MID(K171,FIND("/",K171)+1,10))-1)),1),0))),0,1),1)=1,"Date; ","")&amp;IF(IFERROR(IF(M171&gt;=0,0,1),1)=1,"Amount; ","")&amp;IF(IFERROR(IF(ISNUMBER(MATCH(N171,Lists!$B$2:$B$7,0)),0,1),1)=1,"Payment; ","")))</f>
        <v/>
      </c>
      <c r="R171" s="3" t="str">
        <f aca="false">IF(D171="","",IF(COUNTIFS($D$2:$D$701,D171,$E$2:$E$701,E171)&gt;1,"DUPLICATE","Unique"))</f>
        <v>Unique</v>
      </c>
    </row>
    <row r="172" customFormat="false" ht="15" hidden="false" customHeight="false" outlineLevel="0" collapsed="false">
      <c r="A172" s="3" t="n">
        <v>171</v>
      </c>
      <c r="B172" s="3" t="n">
        <v>4</v>
      </c>
      <c r="C172" s="3" t="s">
        <v>1326</v>
      </c>
      <c r="D172" s="3" t="s">
        <v>1327</v>
      </c>
      <c r="E172" s="3" t="s">
        <v>1328</v>
      </c>
      <c r="F172" s="3" t="s">
        <v>1329</v>
      </c>
      <c r="G172" s="3" t="s">
        <v>1330</v>
      </c>
      <c r="H172" s="3" t="s">
        <v>205</v>
      </c>
      <c r="I172" s="3" t="s">
        <v>45</v>
      </c>
      <c r="J172" s="3" t="s">
        <v>1331</v>
      </c>
      <c r="K172" s="3" t="s">
        <v>1332</v>
      </c>
      <c r="L172" s="3" t="s">
        <v>53</v>
      </c>
      <c r="M172" s="3" t="n">
        <v>9810.83</v>
      </c>
      <c r="N172" s="3" t="s">
        <v>46</v>
      </c>
      <c r="O172" s="3" t="n">
        <f aca="false">IFERROR(LEN(C172&amp;D172&amp;E172&amp;F172&amp;G172&amp;H172&amp;I172&amp;J172&amp;K172&amp;L172&amp;M172&amp;N172)/5,0)</f>
        <v>26.8</v>
      </c>
      <c r="P172" s="3" t="str">
        <f aca="false">IF(OR(D172="",C172=""),"",IF((IFERROR(IF(AND(TRIM(D172)=D172,LEN(D172)&gt;0),0,1),1)+IFERROR(IF(AND(LEN(E172)=10,ISNUMBER(VALUE(E172))),0,1),1)+IFERROR(IF(AND(ISNUMBER(SEARCH("@",F172)),ISNUMBER(SEARCH(".",F172))),0,1),1)+IFERROR(IF(AND(LEN(J172)=6,ISNUMBER(VALUE(J172))),0,1),1)+IFERROR(IF(ISNUMBER(MATCH(TRIM(I172),Lists!$A$2:$A$20,0)),0,1),1)+IFERROR(IF(AND(LEN(K172)=10,VALUE(LEFT(K172,FIND("/",K172)-1))&gt;=1,VALUE(LEFT(K172,FIND("/",K172)-1))&lt;=31,VALUE(LEFT(MID(K172,FIND("/",K172)+1,10),FIND("/",MID(K172,FIND("/",K172)+1,10))-1))&gt;=1,VALUE(LEFT(MID(K172,FIND("/",K172)+1,10),FIND("/",MID(K172,FIND("/",K172)+1,10))-1))&lt;=12,VALUE(LEFT(K172,FIND("/",K172)-1))&lt;=DAY(EOMONTH(DATE(VALUE(MID(MID(K172,FIND("/",K172)+1,10),FIND("/",MID(K172,FIND("/",K172)+1,10))+1,4)),VALUE(LEFT(MID(K172,FIND("/",K172)+1,10),FIND("/",MID(K172,FIND("/",K172)+1,10))-1)),1),0))),0,1),1)+IFERROR(IF(M172&gt;=0,0,1),1)+IFERROR(IF(ISNUMBER(MATCH(N172,Lists!$B$2:$B$7,0)),0,1),1))=0,"OK","ERROR"))</f>
        <v>OK</v>
      </c>
      <c r="Q172" s="3" t="str">
        <f aca="false">IF(D172="","",TRIM(IF(IFERROR(IF(AND(TRIM(D172)=D172,LEN(D172)&gt;0),0,1),1)=1,"Name; ","")&amp;IF(IFERROR(IF(AND(LEN(E172)=10,ISNUMBER(VALUE(E172))),0,1),1)=1,"Phone; ","")&amp;IF(IFERROR(IF(AND(ISNUMBER(SEARCH("@",F172)),ISNUMBER(SEARCH(".",F172))),0,1),1)=1,"Email; ","")&amp;IF(IFERROR(IF(AND(LEN(J172)=6,ISNUMBER(VALUE(J172))),0,1),1)=1,"Pincode; ","")&amp;IF(IFERROR(IF(ISNUMBER(MATCH(TRIM(I172),Lists!$A$2:$A$20,0)),0,1),1)=1,"State; ","")&amp;IF(IFERROR(IF(AND(LEN(K172)=10,VALUE(LEFT(K172,FIND("/",K172)-1))&gt;=1,VALUE(LEFT(K172,FIND("/",K172)-1))&lt;=31,VALUE(LEFT(MID(K172,FIND("/",K172)+1,10),FIND("/",MID(K172,FIND("/",K172)+1,10))-1))&gt;=1,VALUE(LEFT(MID(K172,FIND("/",K172)+1,10),FIND("/",MID(K172,FIND("/",K172)+1,10))-1))&lt;=12,VALUE(LEFT(K172,FIND("/",K172)-1))&lt;=DAY(EOMONTH(DATE(VALUE(MID(MID(K172,FIND("/",K172)+1,10),FIND("/",MID(K172,FIND("/",K172)+1,10))+1,4)),VALUE(LEFT(MID(K172,FIND("/",K172)+1,10),FIND("/",MID(K172,FIND("/",K172)+1,10))-1)),1),0))),0,1),1)=1,"Date; ","")&amp;IF(IFERROR(IF(M172&gt;=0,0,1),1)=1,"Amount; ","")&amp;IF(IFERROR(IF(ISNUMBER(MATCH(N172,Lists!$B$2:$B$7,0)),0,1),1)=1,"Payment; ","")))</f>
        <v/>
      </c>
      <c r="R172" s="3" t="str">
        <f aca="false">IF(D172="","",IF(COUNTIFS($D$2:$D$701,D172,$E$2:$E$701,E172)&gt;1,"DUPLICATE","Unique"))</f>
        <v>Unique</v>
      </c>
    </row>
    <row r="173" customFormat="false" ht="15" hidden="false" customHeight="false" outlineLevel="0" collapsed="false">
      <c r="A173" s="3" t="n">
        <v>172</v>
      </c>
      <c r="B173" s="3" t="n">
        <v>4</v>
      </c>
      <c r="C173" s="3" t="s">
        <v>1333</v>
      </c>
      <c r="D173" s="3" t="s">
        <v>1334</v>
      </c>
      <c r="E173" s="3" t="s">
        <v>1335</v>
      </c>
      <c r="F173" s="3" t="s">
        <v>1336</v>
      </c>
      <c r="G173" s="3" t="s">
        <v>1337</v>
      </c>
      <c r="H173" s="3" t="s">
        <v>464</v>
      </c>
      <c r="I173" s="3" t="s">
        <v>61</v>
      </c>
      <c r="J173" s="3" t="s">
        <v>1338</v>
      </c>
      <c r="K173" s="3" t="s">
        <v>1339</v>
      </c>
      <c r="L173" s="3" t="s">
        <v>53</v>
      </c>
      <c r="M173" s="3" t="n">
        <v>11012.73</v>
      </c>
      <c r="N173" s="3" t="s">
        <v>49</v>
      </c>
      <c r="O173" s="3" t="n">
        <f aca="false">IFERROR(LEN(C173&amp;D173&amp;E173&amp;F173&amp;G173&amp;H173&amp;I173&amp;J173&amp;K173&amp;L173&amp;M173&amp;N173)/5,0)</f>
        <v>30.2</v>
      </c>
      <c r="P173" s="3" t="str">
        <f aca="false">IF(OR(D173="",C173=""),"",IF((IFERROR(IF(AND(TRIM(D173)=D173,LEN(D173)&gt;0),0,1),1)+IFERROR(IF(AND(LEN(E173)=10,ISNUMBER(VALUE(E173))),0,1),1)+IFERROR(IF(AND(ISNUMBER(SEARCH("@",F173)),ISNUMBER(SEARCH(".",F173))),0,1),1)+IFERROR(IF(AND(LEN(J173)=6,ISNUMBER(VALUE(J173))),0,1),1)+IFERROR(IF(ISNUMBER(MATCH(TRIM(I173),Lists!$A$2:$A$20,0)),0,1),1)+IFERROR(IF(AND(LEN(K173)=10,VALUE(LEFT(K173,FIND("/",K173)-1))&gt;=1,VALUE(LEFT(K173,FIND("/",K173)-1))&lt;=31,VALUE(LEFT(MID(K173,FIND("/",K173)+1,10),FIND("/",MID(K173,FIND("/",K173)+1,10))-1))&gt;=1,VALUE(LEFT(MID(K173,FIND("/",K173)+1,10),FIND("/",MID(K173,FIND("/",K173)+1,10))-1))&lt;=12,VALUE(LEFT(K173,FIND("/",K173)-1))&lt;=DAY(EOMONTH(DATE(VALUE(MID(MID(K173,FIND("/",K173)+1,10),FIND("/",MID(K173,FIND("/",K173)+1,10))+1,4)),VALUE(LEFT(MID(K173,FIND("/",K173)+1,10),FIND("/",MID(K173,FIND("/",K173)+1,10))-1)),1),0))),0,1),1)+IFERROR(IF(M173&gt;=0,0,1),1)+IFERROR(IF(ISNUMBER(MATCH(N173,Lists!$B$2:$B$7,0)),0,1),1))=0,"OK","ERROR"))</f>
        <v>OK</v>
      </c>
      <c r="Q173" s="3" t="str">
        <f aca="false">IF(D173="","",TRIM(IF(IFERROR(IF(AND(TRIM(D173)=D173,LEN(D173)&gt;0),0,1),1)=1,"Name; ","")&amp;IF(IFERROR(IF(AND(LEN(E173)=10,ISNUMBER(VALUE(E173))),0,1),1)=1,"Phone; ","")&amp;IF(IFERROR(IF(AND(ISNUMBER(SEARCH("@",F173)),ISNUMBER(SEARCH(".",F173))),0,1),1)=1,"Email; ","")&amp;IF(IFERROR(IF(AND(LEN(J173)=6,ISNUMBER(VALUE(J173))),0,1),1)=1,"Pincode; ","")&amp;IF(IFERROR(IF(ISNUMBER(MATCH(TRIM(I173),Lists!$A$2:$A$20,0)),0,1),1)=1,"State; ","")&amp;IF(IFERROR(IF(AND(LEN(K173)=10,VALUE(LEFT(K173,FIND("/",K173)-1))&gt;=1,VALUE(LEFT(K173,FIND("/",K173)-1))&lt;=31,VALUE(LEFT(MID(K173,FIND("/",K173)+1,10),FIND("/",MID(K173,FIND("/",K173)+1,10))-1))&gt;=1,VALUE(LEFT(MID(K173,FIND("/",K173)+1,10),FIND("/",MID(K173,FIND("/",K173)+1,10))-1))&lt;=12,VALUE(LEFT(K173,FIND("/",K173)-1))&lt;=DAY(EOMONTH(DATE(VALUE(MID(MID(K173,FIND("/",K173)+1,10),FIND("/",MID(K173,FIND("/",K173)+1,10))+1,4)),VALUE(LEFT(MID(K173,FIND("/",K173)+1,10),FIND("/",MID(K173,FIND("/",K173)+1,10))-1)),1),0))),0,1),1)=1,"Date; ","")&amp;IF(IFERROR(IF(M173&gt;=0,0,1),1)=1,"Amount; ","")&amp;IF(IFERROR(IF(ISNUMBER(MATCH(N173,Lists!$B$2:$B$7,0)),0,1),1)=1,"Payment; ","")))</f>
        <v/>
      </c>
      <c r="R173" s="3" t="str">
        <f aca="false">IF(D173="","",IF(COUNTIFS($D$2:$D$701,D173,$E$2:$E$701,E173)&gt;1,"DUPLICATE","Unique"))</f>
        <v>Unique</v>
      </c>
    </row>
    <row r="174" customFormat="false" ht="15" hidden="false" customHeight="false" outlineLevel="0" collapsed="false">
      <c r="A174" s="3" t="n">
        <v>173</v>
      </c>
      <c r="B174" s="3" t="n">
        <v>4</v>
      </c>
      <c r="C174" s="3" t="s">
        <v>1340</v>
      </c>
      <c r="D174" s="3" t="s">
        <v>1341</v>
      </c>
      <c r="E174" s="3" t="s">
        <v>1342</v>
      </c>
      <c r="F174" s="3" t="s">
        <v>1343</v>
      </c>
      <c r="G174" s="3" t="s">
        <v>1344</v>
      </c>
      <c r="H174" s="3" t="s">
        <v>205</v>
      </c>
      <c r="I174" s="3" t="s">
        <v>45</v>
      </c>
      <c r="J174" s="3" t="s">
        <v>1345</v>
      </c>
      <c r="K174" s="3" t="s">
        <v>1346</v>
      </c>
      <c r="L174" s="3" t="s">
        <v>74</v>
      </c>
      <c r="M174" s="3" t="n">
        <v>6812.34</v>
      </c>
      <c r="N174" s="3" t="s">
        <v>49</v>
      </c>
      <c r="O174" s="3" t="n">
        <f aca="false">IFERROR(LEN(C174&amp;D174&amp;E174&amp;F174&amp;G174&amp;H174&amp;I174&amp;J174&amp;K174&amp;L174&amp;M174&amp;N174)/5,0)</f>
        <v>25.2</v>
      </c>
      <c r="P174" s="3" t="str">
        <f aca="false">IF(OR(D174="",C174=""),"",IF((IFERROR(IF(AND(TRIM(D174)=D174,LEN(D174)&gt;0),0,1),1)+IFERROR(IF(AND(LEN(E174)=10,ISNUMBER(VALUE(E174))),0,1),1)+IFERROR(IF(AND(ISNUMBER(SEARCH("@",F174)),ISNUMBER(SEARCH(".",F174))),0,1),1)+IFERROR(IF(AND(LEN(J174)=6,ISNUMBER(VALUE(J174))),0,1),1)+IFERROR(IF(ISNUMBER(MATCH(TRIM(I174),Lists!$A$2:$A$20,0)),0,1),1)+IFERROR(IF(AND(LEN(K174)=10,VALUE(LEFT(K174,FIND("/",K174)-1))&gt;=1,VALUE(LEFT(K174,FIND("/",K174)-1))&lt;=31,VALUE(LEFT(MID(K174,FIND("/",K174)+1,10),FIND("/",MID(K174,FIND("/",K174)+1,10))-1))&gt;=1,VALUE(LEFT(MID(K174,FIND("/",K174)+1,10),FIND("/",MID(K174,FIND("/",K174)+1,10))-1))&lt;=12,VALUE(LEFT(K174,FIND("/",K174)-1))&lt;=DAY(EOMONTH(DATE(VALUE(MID(MID(K174,FIND("/",K174)+1,10),FIND("/",MID(K174,FIND("/",K174)+1,10))+1,4)),VALUE(LEFT(MID(K174,FIND("/",K174)+1,10),FIND("/",MID(K174,FIND("/",K174)+1,10))-1)),1),0))),0,1),1)+IFERROR(IF(M174&gt;=0,0,1),1)+IFERROR(IF(ISNUMBER(MATCH(N174,Lists!$B$2:$B$7,0)),0,1),1))=0,"OK","ERROR"))</f>
        <v>OK</v>
      </c>
      <c r="Q174" s="3" t="str">
        <f aca="false">IF(D174="","",TRIM(IF(IFERROR(IF(AND(TRIM(D174)=D174,LEN(D174)&gt;0),0,1),1)=1,"Name; ","")&amp;IF(IFERROR(IF(AND(LEN(E174)=10,ISNUMBER(VALUE(E174))),0,1),1)=1,"Phone; ","")&amp;IF(IFERROR(IF(AND(ISNUMBER(SEARCH("@",F174)),ISNUMBER(SEARCH(".",F174))),0,1),1)=1,"Email; ","")&amp;IF(IFERROR(IF(AND(LEN(J174)=6,ISNUMBER(VALUE(J174))),0,1),1)=1,"Pincode; ","")&amp;IF(IFERROR(IF(ISNUMBER(MATCH(TRIM(I174),Lists!$A$2:$A$20,0)),0,1),1)=1,"State; ","")&amp;IF(IFERROR(IF(AND(LEN(K174)=10,VALUE(LEFT(K174,FIND("/",K174)-1))&gt;=1,VALUE(LEFT(K174,FIND("/",K174)-1))&lt;=31,VALUE(LEFT(MID(K174,FIND("/",K174)+1,10),FIND("/",MID(K174,FIND("/",K174)+1,10))-1))&gt;=1,VALUE(LEFT(MID(K174,FIND("/",K174)+1,10),FIND("/",MID(K174,FIND("/",K174)+1,10))-1))&lt;=12,VALUE(LEFT(K174,FIND("/",K174)-1))&lt;=DAY(EOMONTH(DATE(VALUE(MID(MID(K174,FIND("/",K174)+1,10),FIND("/",MID(K174,FIND("/",K174)+1,10))+1,4)),VALUE(LEFT(MID(K174,FIND("/",K174)+1,10),FIND("/",MID(K174,FIND("/",K174)+1,10))-1)),1),0))),0,1),1)=1,"Date; ","")&amp;IF(IFERROR(IF(M174&gt;=0,0,1),1)=1,"Amount; ","")&amp;IF(IFERROR(IF(ISNUMBER(MATCH(N174,Lists!$B$2:$B$7,0)),0,1),1)=1,"Payment; ","")))</f>
        <v/>
      </c>
      <c r="R174" s="3" t="str">
        <f aca="false">IF(D174="","",IF(COUNTIFS($D$2:$D$701,D174,$E$2:$E$701,E174)&gt;1,"DUPLICATE","Unique"))</f>
        <v>Unique</v>
      </c>
    </row>
    <row r="175" customFormat="false" ht="15" hidden="false" customHeight="false" outlineLevel="0" collapsed="false">
      <c r="A175" s="3" t="n">
        <v>174</v>
      </c>
      <c r="B175" s="3" t="n">
        <v>4</v>
      </c>
      <c r="C175" s="3" t="s">
        <v>1347</v>
      </c>
      <c r="D175" s="3" t="s">
        <v>1348</v>
      </c>
      <c r="E175" s="3" t="s">
        <v>1349</v>
      </c>
      <c r="F175" s="3" t="s">
        <v>1350</v>
      </c>
      <c r="G175" s="3" t="s">
        <v>1351</v>
      </c>
      <c r="H175" s="3" t="s">
        <v>370</v>
      </c>
      <c r="I175" s="3" t="s">
        <v>42</v>
      </c>
      <c r="J175" s="3" t="s">
        <v>1352</v>
      </c>
      <c r="K175" s="3" t="s">
        <v>1353</v>
      </c>
      <c r="L175" s="3" t="s">
        <v>50</v>
      </c>
      <c r="M175" s="3" t="n">
        <v>5812.48</v>
      </c>
      <c r="N175" s="3" t="s">
        <v>55</v>
      </c>
      <c r="O175" s="3" t="n">
        <f aca="false">IFERROR(LEN(C175&amp;D175&amp;E175&amp;F175&amp;G175&amp;H175&amp;I175&amp;J175&amp;K175&amp;L175&amp;M175&amp;N175)/5,0)</f>
        <v>25.2</v>
      </c>
      <c r="P175" s="3" t="str">
        <f aca="false">IF(OR(D175="",C175=""),"",IF((IFERROR(IF(AND(TRIM(D175)=D175,LEN(D175)&gt;0),0,1),1)+IFERROR(IF(AND(LEN(E175)=10,ISNUMBER(VALUE(E175))),0,1),1)+IFERROR(IF(AND(ISNUMBER(SEARCH("@",F175)),ISNUMBER(SEARCH(".",F175))),0,1),1)+IFERROR(IF(AND(LEN(J175)=6,ISNUMBER(VALUE(J175))),0,1),1)+IFERROR(IF(ISNUMBER(MATCH(TRIM(I175),Lists!$A$2:$A$20,0)),0,1),1)+IFERROR(IF(AND(LEN(K175)=10,VALUE(LEFT(K175,FIND("/",K175)-1))&gt;=1,VALUE(LEFT(K175,FIND("/",K175)-1))&lt;=31,VALUE(LEFT(MID(K175,FIND("/",K175)+1,10),FIND("/",MID(K175,FIND("/",K175)+1,10))-1))&gt;=1,VALUE(LEFT(MID(K175,FIND("/",K175)+1,10),FIND("/",MID(K175,FIND("/",K175)+1,10))-1))&lt;=12,VALUE(LEFT(K175,FIND("/",K175)-1))&lt;=DAY(EOMONTH(DATE(VALUE(MID(MID(K175,FIND("/",K175)+1,10),FIND("/",MID(K175,FIND("/",K175)+1,10))+1,4)),VALUE(LEFT(MID(K175,FIND("/",K175)+1,10),FIND("/",MID(K175,FIND("/",K175)+1,10))-1)),1),0))),0,1),1)+IFERROR(IF(M175&gt;=0,0,1),1)+IFERROR(IF(ISNUMBER(MATCH(N175,Lists!$B$2:$B$7,0)),0,1),1))=0,"OK","ERROR"))</f>
        <v>OK</v>
      </c>
      <c r="Q175" s="3" t="str">
        <f aca="false">IF(D175="","",TRIM(IF(IFERROR(IF(AND(TRIM(D175)=D175,LEN(D175)&gt;0),0,1),1)=1,"Name; ","")&amp;IF(IFERROR(IF(AND(LEN(E175)=10,ISNUMBER(VALUE(E175))),0,1),1)=1,"Phone; ","")&amp;IF(IFERROR(IF(AND(ISNUMBER(SEARCH("@",F175)),ISNUMBER(SEARCH(".",F175))),0,1),1)=1,"Email; ","")&amp;IF(IFERROR(IF(AND(LEN(J175)=6,ISNUMBER(VALUE(J175))),0,1),1)=1,"Pincode; ","")&amp;IF(IFERROR(IF(ISNUMBER(MATCH(TRIM(I175),Lists!$A$2:$A$20,0)),0,1),1)=1,"State; ","")&amp;IF(IFERROR(IF(AND(LEN(K175)=10,VALUE(LEFT(K175,FIND("/",K175)-1))&gt;=1,VALUE(LEFT(K175,FIND("/",K175)-1))&lt;=31,VALUE(LEFT(MID(K175,FIND("/",K175)+1,10),FIND("/",MID(K175,FIND("/",K175)+1,10))-1))&gt;=1,VALUE(LEFT(MID(K175,FIND("/",K175)+1,10),FIND("/",MID(K175,FIND("/",K175)+1,10))-1))&lt;=12,VALUE(LEFT(K175,FIND("/",K175)-1))&lt;=DAY(EOMONTH(DATE(VALUE(MID(MID(K175,FIND("/",K175)+1,10),FIND("/",MID(K175,FIND("/",K175)+1,10))+1,4)),VALUE(LEFT(MID(K175,FIND("/",K175)+1,10),FIND("/",MID(K175,FIND("/",K175)+1,10))-1)),1),0))),0,1),1)=1,"Date; ","")&amp;IF(IFERROR(IF(M175&gt;=0,0,1),1)=1,"Amount; ","")&amp;IF(IFERROR(IF(ISNUMBER(MATCH(N175,Lists!$B$2:$B$7,0)),0,1),1)=1,"Payment; ","")))</f>
        <v/>
      </c>
      <c r="R175" s="3" t="str">
        <f aca="false">IF(D175="","",IF(COUNTIFS($D$2:$D$701,D175,$E$2:$E$701,E175)&gt;1,"DUPLICATE","Unique"))</f>
        <v>Unique</v>
      </c>
    </row>
    <row r="176" customFormat="false" ht="15" hidden="false" customHeight="false" outlineLevel="0" collapsed="false">
      <c r="A176" s="3" t="n">
        <v>175</v>
      </c>
      <c r="B176" s="3" t="n">
        <v>4</v>
      </c>
      <c r="C176" s="3" t="s">
        <v>1354</v>
      </c>
      <c r="D176" s="3" t="s">
        <v>1355</v>
      </c>
      <c r="E176" s="3" t="s">
        <v>1356</v>
      </c>
      <c r="F176" s="3" t="s">
        <v>1357</v>
      </c>
      <c r="G176" s="3" t="s">
        <v>1358</v>
      </c>
      <c r="H176" s="3" t="s">
        <v>165</v>
      </c>
      <c r="I176" s="3" t="s">
        <v>63</v>
      </c>
      <c r="J176" s="3" t="s">
        <v>1359</v>
      </c>
      <c r="K176" s="3" t="s">
        <v>1360</v>
      </c>
      <c r="L176" s="3" t="s">
        <v>44</v>
      </c>
      <c r="M176" s="3" t="n">
        <v>13905.46</v>
      </c>
      <c r="N176" s="3" t="s">
        <v>49</v>
      </c>
      <c r="O176" s="3" t="n">
        <f aca="false">IFERROR(LEN(C176&amp;D176&amp;E176&amp;F176&amp;G176&amp;H176&amp;I176&amp;J176&amp;K176&amp;L176&amp;M176&amp;N176)/5,0)</f>
        <v>27.2</v>
      </c>
      <c r="P176" s="3" t="str">
        <f aca="false">IF(OR(D176="",C176=""),"",IF((IFERROR(IF(AND(TRIM(D176)=D176,LEN(D176)&gt;0),0,1),1)+IFERROR(IF(AND(LEN(E176)=10,ISNUMBER(VALUE(E176))),0,1),1)+IFERROR(IF(AND(ISNUMBER(SEARCH("@",F176)),ISNUMBER(SEARCH(".",F176))),0,1),1)+IFERROR(IF(AND(LEN(J176)=6,ISNUMBER(VALUE(J176))),0,1),1)+IFERROR(IF(ISNUMBER(MATCH(TRIM(I176),Lists!$A$2:$A$20,0)),0,1),1)+IFERROR(IF(AND(LEN(K176)=10,VALUE(LEFT(K176,FIND("/",K176)-1))&gt;=1,VALUE(LEFT(K176,FIND("/",K176)-1))&lt;=31,VALUE(LEFT(MID(K176,FIND("/",K176)+1,10),FIND("/",MID(K176,FIND("/",K176)+1,10))-1))&gt;=1,VALUE(LEFT(MID(K176,FIND("/",K176)+1,10),FIND("/",MID(K176,FIND("/",K176)+1,10))-1))&lt;=12,VALUE(LEFT(K176,FIND("/",K176)-1))&lt;=DAY(EOMONTH(DATE(VALUE(MID(MID(K176,FIND("/",K176)+1,10),FIND("/",MID(K176,FIND("/",K176)+1,10))+1,4)),VALUE(LEFT(MID(K176,FIND("/",K176)+1,10),FIND("/",MID(K176,FIND("/",K176)+1,10))-1)),1),0))),0,1),1)+IFERROR(IF(M176&gt;=0,0,1),1)+IFERROR(IF(ISNUMBER(MATCH(N176,Lists!$B$2:$B$7,0)),0,1),1))=0,"OK","ERROR"))</f>
        <v>OK</v>
      </c>
      <c r="Q176" s="3" t="str">
        <f aca="false">IF(D176="","",TRIM(IF(IFERROR(IF(AND(TRIM(D176)=D176,LEN(D176)&gt;0),0,1),1)=1,"Name; ","")&amp;IF(IFERROR(IF(AND(LEN(E176)=10,ISNUMBER(VALUE(E176))),0,1),1)=1,"Phone; ","")&amp;IF(IFERROR(IF(AND(ISNUMBER(SEARCH("@",F176)),ISNUMBER(SEARCH(".",F176))),0,1),1)=1,"Email; ","")&amp;IF(IFERROR(IF(AND(LEN(J176)=6,ISNUMBER(VALUE(J176))),0,1),1)=1,"Pincode; ","")&amp;IF(IFERROR(IF(ISNUMBER(MATCH(TRIM(I176),Lists!$A$2:$A$20,0)),0,1),1)=1,"State; ","")&amp;IF(IFERROR(IF(AND(LEN(K176)=10,VALUE(LEFT(K176,FIND("/",K176)-1))&gt;=1,VALUE(LEFT(K176,FIND("/",K176)-1))&lt;=31,VALUE(LEFT(MID(K176,FIND("/",K176)+1,10),FIND("/",MID(K176,FIND("/",K176)+1,10))-1))&gt;=1,VALUE(LEFT(MID(K176,FIND("/",K176)+1,10),FIND("/",MID(K176,FIND("/",K176)+1,10))-1))&lt;=12,VALUE(LEFT(K176,FIND("/",K176)-1))&lt;=DAY(EOMONTH(DATE(VALUE(MID(MID(K176,FIND("/",K176)+1,10),FIND("/",MID(K176,FIND("/",K176)+1,10))+1,4)),VALUE(LEFT(MID(K176,FIND("/",K176)+1,10),FIND("/",MID(K176,FIND("/",K176)+1,10))-1)),1),0))),0,1),1)=1,"Date; ","")&amp;IF(IFERROR(IF(M176&gt;=0,0,1),1)=1,"Amount; ","")&amp;IF(IFERROR(IF(ISNUMBER(MATCH(N176,Lists!$B$2:$B$7,0)),0,1),1)=1,"Payment; ","")))</f>
        <v/>
      </c>
      <c r="R176" s="3" t="str">
        <f aca="false">IF(D176="","",IF(COUNTIFS($D$2:$D$701,D176,$E$2:$E$701,E176)&gt;1,"DUPLICATE","Unique"))</f>
        <v>Unique</v>
      </c>
    </row>
    <row r="177" customFormat="false" ht="15" hidden="false" customHeight="false" outlineLevel="0" collapsed="false">
      <c r="A177" s="3" t="n">
        <v>176</v>
      </c>
      <c r="B177" s="3" t="n">
        <v>4</v>
      </c>
      <c r="C177" s="3" t="s">
        <v>1361</v>
      </c>
      <c r="D177" s="3" t="s">
        <v>1362</v>
      </c>
      <c r="E177" s="3" t="s">
        <v>1363</v>
      </c>
      <c r="F177" s="3" t="s">
        <v>1364</v>
      </c>
      <c r="G177" s="3" t="s">
        <v>1365</v>
      </c>
      <c r="H177" s="3" t="s">
        <v>525</v>
      </c>
      <c r="I177" s="3" t="s">
        <v>76</v>
      </c>
      <c r="J177" s="3" t="s">
        <v>1366</v>
      </c>
      <c r="K177" s="3" t="s">
        <v>1367</v>
      </c>
      <c r="L177" s="3" t="s">
        <v>41</v>
      </c>
      <c r="M177" s="3" t="n">
        <v>273.47</v>
      </c>
      <c r="N177" s="3" t="s">
        <v>46</v>
      </c>
      <c r="O177" s="3" t="n">
        <f aca="false">IFERROR(LEN(C177&amp;D177&amp;E177&amp;F177&amp;G177&amp;H177&amp;I177&amp;J177&amp;K177&amp;L177&amp;M177&amp;N177)/5,0)</f>
        <v>28.4</v>
      </c>
      <c r="P177" s="3" t="str">
        <f aca="false">IF(OR(D177="",C177=""),"",IF((IFERROR(IF(AND(TRIM(D177)=D177,LEN(D177)&gt;0),0,1),1)+IFERROR(IF(AND(LEN(E177)=10,ISNUMBER(VALUE(E177))),0,1),1)+IFERROR(IF(AND(ISNUMBER(SEARCH("@",F177)),ISNUMBER(SEARCH(".",F177))),0,1),1)+IFERROR(IF(AND(LEN(J177)=6,ISNUMBER(VALUE(J177))),0,1),1)+IFERROR(IF(ISNUMBER(MATCH(TRIM(I177),Lists!$A$2:$A$20,0)),0,1),1)+IFERROR(IF(AND(LEN(K177)=10,VALUE(LEFT(K177,FIND("/",K177)-1))&gt;=1,VALUE(LEFT(K177,FIND("/",K177)-1))&lt;=31,VALUE(LEFT(MID(K177,FIND("/",K177)+1,10),FIND("/",MID(K177,FIND("/",K177)+1,10))-1))&gt;=1,VALUE(LEFT(MID(K177,FIND("/",K177)+1,10),FIND("/",MID(K177,FIND("/",K177)+1,10))-1))&lt;=12,VALUE(LEFT(K177,FIND("/",K177)-1))&lt;=DAY(EOMONTH(DATE(VALUE(MID(MID(K177,FIND("/",K177)+1,10),FIND("/",MID(K177,FIND("/",K177)+1,10))+1,4)),VALUE(LEFT(MID(K177,FIND("/",K177)+1,10),FIND("/",MID(K177,FIND("/",K177)+1,10))-1)),1),0))),0,1),1)+IFERROR(IF(M177&gt;=0,0,1),1)+IFERROR(IF(ISNUMBER(MATCH(N177,Lists!$B$2:$B$7,0)),0,1),1))=0,"OK","ERROR"))</f>
        <v>OK</v>
      </c>
      <c r="Q177" s="3" t="str">
        <f aca="false">IF(D177="","",TRIM(IF(IFERROR(IF(AND(TRIM(D177)=D177,LEN(D177)&gt;0),0,1),1)=1,"Name; ","")&amp;IF(IFERROR(IF(AND(LEN(E177)=10,ISNUMBER(VALUE(E177))),0,1),1)=1,"Phone; ","")&amp;IF(IFERROR(IF(AND(ISNUMBER(SEARCH("@",F177)),ISNUMBER(SEARCH(".",F177))),0,1),1)=1,"Email; ","")&amp;IF(IFERROR(IF(AND(LEN(J177)=6,ISNUMBER(VALUE(J177))),0,1),1)=1,"Pincode; ","")&amp;IF(IFERROR(IF(ISNUMBER(MATCH(TRIM(I177),Lists!$A$2:$A$20,0)),0,1),1)=1,"State; ","")&amp;IF(IFERROR(IF(AND(LEN(K177)=10,VALUE(LEFT(K177,FIND("/",K177)-1))&gt;=1,VALUE(LEFT(K177,FIND("/",K177)-1))&lt;=31,VALUE(LEFT(MID(K177,FIND("/",K177)+1,10),FIND("/",MID(K177,FIND("/",K177)+1,10))-1))&gt;=1,VALUE(LEFT(MID(K177,FIND("/",K177)+1,10),FIND("/",MID(K177,FIND("/",K177)+1,10))-1))&lt;=12,VALUE(LEFT(K177,FIND("/",K177)-1))&lt;=DAY(EOMONTH(DATE(VALUE(MID(MID(K177,FIND("/",K177)+1,10),FIND("/",MID(K177,FIND("/",K177)+1,10))+1,4)),VALUE(LEFT(MID(K177,FIND("/",K177)+1,10),FIND("/",MID(K177,FIND("/",K177)+1,10))-1)),1),0))),0,1),1)=1,"Date; ","")&amp;IF(IFERROR(IF(M177&gt;=0,0,1),1)=1,"Amount; ","")&amp;IF(IFERROR(IF(ISNUMBER(MATCH(N177,Lists!$B$2:$B$7,0)),0,1),1)=1,"Payment; ","")))</f>
        <v/>
      </c>
      <c r="R177" s="3" t="str">
        <f aca="false">IF(D177="","",IF(COUNTIFS($D$2:$D$701,D177,$E$2:$E$701,E177)&gt;1,"DUPLICATE","Unique"))</f>
        <v>Unique</v>
      </c>
    </row>
    <row r="178" customFormat="false" ht="15" hidden="false" customHeight="false" outlineLevel="0" collapsed="false">
      <c r="A178" s="3" t="n">
        <v>177</v>
      </c>
      <c r="B178" s="3" t="n">
        <v>4</v>
      </c>
      <c r="C178" s="3" t="s">
        <v>1368</v>
      </c>
      <c r="D178" s="3" t="s">
        <v>1369</v>
      </c>
      <c r="E178" s="3" t="s">
        <v>1370</v>
      </c>
      <c r="F178" s="3" t="s">
        <v>1371</v>
      </c>
      <c r="G178" s="3" t="s">
        <v>1372</v>
      </c>
      <c r="H178" s="3" t="s">
        <v>510</v>
      </c>
      <c r="I178" s="3" t="s">
        <v>57</v>
      </c>
      <c r="J178" s="3" t="s">
        <v>1373</v>
      </c>
      <c r="K178" s="3" t="s">
        <v>828</v>
      </c>
      <c r="L178" s="3" t="s">
        <v>74</v>
      </c>
      <c r="M178" s="3" t="n">
        <v>5289.97</v>
      </c>
      <c r="N178" s="3" t="s">
        <v>52</v>
      </c>
      <c r="O178" s="3" t="n">
        <f aca="false">IFERROR(LEN(C178&amp;D178&amp;E178&amp;F178&amp;G178&amp;H178&amp;I178&amp;J178&amp;K178&amp;L178&amp;M178&amp;N178)/5,0)</f>
        <v>25.6</v>
      </c>
      <c r="P178" s="3" t="str">
        <f aca="false">IF(OR(D178="",C178=""),"",IF((IFERROR(IF(AND(TRIM(D178)=D178,LEN(D178)&gt;0),0,1),1)+IFERROR(IF(AND(LEN(E178)=10,ISNUMBER(VALUE(E178))),0,1),1)+IFERROR(IF(AND(ISNUMBER(SEARCH("@",F178)),ISNUMBER(SEARCH(".",F178))),0,1),1)+IFERROR(IF(AND(LEN(J178)=6,ISNUMBER(VALUE(J178))),0,1),1)+IFERROR(IF(ISNUMBER(MATCH(TRIM(I178),Lists!$A$2:$A$20,0)),0,1),1)+IFERROR(IF(AND(LEN(K178)=10,VALUE(LEFT(K178,FIND("/",K178)-1))&gt;=1,VALUE(LEFT(K178,FIND("/",K178)-1))&lt;=31,VALUE(LEFT(MID(K178,FIND("/",K178)+1,10),FIND("/",MID(K178,FIND("/",K178)+1,10))-1))&gt;=1,VALUE(LEFT(MID(K178,FIND("/",K178)+1,10),FIND("/",MID(K178,FIND("/",K178)+1,10))-1))&lt;=12,VALUE(LEFT(K178,FIND("/",K178)-1))&lt;=DAY(EOMONTH(DATE(VALUE(MID(MID(K178,FIND("/",K178)+1,10),FIND("/",MID(K178,FIND("/",K178)+1,10))+1,4)),VALUE(LEFT(MID(K178,FIND("/",K178)+1,10),FIND("/",MID(K178,FIND("/",K178)+1,10))-1)),1),0))),0,1),1)+IFERROR(IF(M178&gt;=0,0,1),1)+IFERROR(IF(ISNUMBER(MATCH(N178,Lists!$B$2:$B$7,0)),0,1),1))=0,"OK","ERROR"))</f>
        <v>OK</v>
      </c>
      <c r="Q178" s="3" t="str">
        <f aca="false">IF(D178="","",TRIM(IF(IFERROR(IF(AND(TRIM(D178)=D178,LEN(D178)&gt;0),0,1),1)=1,"Name; ","")&amp;IF(IFERROR(IF(AND(LEN(E178)=10,ISNUMBER(VALUE(E178))),0,1),1)=1,"Phone; ","")&amp;IF(IFERROR(IF(AND(ISNUMBER(SEARCH("@",F178)),ISNUMBER(SEARCH(".",F178))),0,1),1)=1,"Email; ","")&amp;IF(IFERROR(IF(AND(LEN(J178)=6,ISNUMBER(VALUE(J178))),0,1),1)=1,"Pincode; ","")&amp;IF(IFERROR(IF(ISNUMBER(MATCH(TRIM(I178),Lists!$A$2:$A$20,0)),0,1),1)=1,"State; ","")&amp;IF(IFERROR(IF(AND(LEN(K178)=10,VALUE(LEFT(K178,FIND("/",K178)-1))&gt;=1,VALUE(LEFT(K178,FIND("/",K178)-1))&lt;=31,VALUE(LEFT(MID(K178,FIND("/",K178)+1,10),FIND("/",MID(K178,FIND("/",K178)+1,10))-1))&gt;=1,VALUE(LEFT(MID(K178,FIND("/",K178)+1,10),FIND("/",MID(K178,FIND("/",K178)+1,10))-1))&lt;=12,VALUE(LEFT(K178,FIND("/",K178)-1))&lt;=DAY(EOMONTH(DATE(VALUE(MID(MID(K178,FIND("/",K178)+1,10),FIND("/",MID(K178,FIND("/",K178)+1,10))+1,4)),VALUE(LEFT(MID(K178,FIND("/",K178)+1,10),FIND("/",MID(K178,FIND("/",K178)+1,10))-1)),1),0))),0,1),1)=1,"Date; ","")&amp;IF(IFERROR(IF(M178&gt;=0,0,1),1)=1,"Amount; ","")&amp;IF(IFERROR(IF(ISNUMBER(MATCH(N178,Lists!$B$2:$B$7,0)),0,1),1)=1,"Payment; ","")))</f>
        <v/>
      </c>
      <c r="R178" s="3" t="str">
        <f aca="false">IF(D178="","",IF(COUNTIFS($D$2:$D$701,D178,$E$2:$E$701,E178)&gt;1,"DUPLICATE","Unique"))</f>
        <v>Unique</v>
      </c>
    </row>
    <row r="179" customFormat="false" ht="15" hidden="false" customHeight="false" outlineLevel="0" collapsed="false">
      <c r="A179" s="3" t="n">
        <v>178</v>
      </c>
      <c r="B179" s="3" t="n">
        <v>4</v>
      </c>
      <c r="C179" s="3" t="s">
        <v>1374</v>
      </c>
      <c r="D179" s="3" t="s">
        <v>1375</v>
      </c>
      <c r="E179" s="3" t="s">
        <v>1376</v>
      </c>
      <c r="F179" s="3" t="s">
        <v>1377</v>
      </c>
      <c r="G179" s="3" t="s">
        <v>1378</v>
      </c>
      <c r="H179" s="3" t="s">
        <v>510</v>
      </c>
      <c r="I179" s="3" t="s">
        <v>57</v>
      </c>
      <c r="J179" s="3" t="s">
        <v>1379</v>
      </c>
      <c r="K179" s="3" t="s">
        <v>1380</v>
      </c>
      <c r="L179" s="3" t="s">
        <v>62</v>
      </c>
      <c r="M179" s="3" t="n">
        <v>5536.8</v>
      </c>
      <c r="N179" s="3" t="s">
        <v>55</v>
      </c>
      <c r="O179" s="3" t="n">
        <f aca="false">IFERROR(LEN(C179&amp;D179&amp;E179&amp;F179&amp;G179&amp;H179&amp;I179&amp;J179&amp;K179&amp;L179&amp;M179&amp;N179)/5,0)</f>
        <v>24.4</v>
      </c>
      <c r="P179" s="3" t="str">
        <f aca="false">IF(OR(D179="",C179=""),"",IF((IFERROR(IF(AND(TRIM(D179)=D179,LEN(D179)&gt;0),0,1),1)+IFERROR(IF(AND(LEN(E179)=10,ISNUMBER(VALUE(E179))),0,1),1)+IFERROR(IF(AND(ISNUMBER(SEARCH("@",F179)),ISNUMBER(SEARCH(".",F179))),0,1),1)+IFERROR(IF(AND(LEN(J179)=6,ISNUMBER(VALUE(J179))),0,1),1)+IFERROR(IF(ISNUMBER(MATCH(TRIM(I179),Lists!$A$2:$A$20,0)),0,1),1)+IFERROR(IF(AND(LEN(K179)=10,VALUE(LEFT(K179,FIND("/",K179)-1))&gt;=1,VALUE(LEFT(K179,FIND("/",K179)-1))&lt;=31,VALUE(LEFT(MID(K179,FIND("/",K179)+1,10),FIND("/",MID(K179,FIND("/",K179)+1,10))-1))&gt;=1,VALUE(LEFT(MID(K179,FIND("/",K179)+1,10),FIND("/",MID(K179,FIND("/",K179)+1,10))-1))&lt;=12,VALUE(LEFT(K179,FIND("/",K179)-1))&lt;=DAY(EOMONTH(DATE(VALUE(MID(MID(K179,FIND("/",K179)+1,10),FIND("/",MID(K179,FIND("/",K179)+1,10))+1,4)),VALUE(LEFT(MID(K179,FIND("/",K179)+1,10),FIND("/",MID(K179,FIND("/",K179)+1,10))-1)),1),0))),0,1),1)+IFERROR(IF(M179&gt;=0,0,1),1)+IFERROR(IF(ISNUMBER(MATCH(N179,Lists!$B$2:$B$7,0)),0,1),1))=0,"OK","ERROR"))</f>
        <v>OK</v>
      </c>
      <c r="Q179" s="3" t="str">
        <f aca="false">IF(D179="","",TRIM(IF(IFERROR(IF(AND(TRIM(D179)=D179,LEN(D179)&gt;0),0,1),1)=1,"Name; ","")&amp;IF(IFERROR(IF(AND(LEN(E179)=10,ISNUMBER(VALUE(E179))),0,1),1)=1,"Phone; ","")&amp;IF(IFERROR(IF(AND(ISNUMBER(SEARCH("@",F179)),ISNUMBER(SEARCH(".",F179))),0,1),1)=1,"Email; ","")&amp;IF(IFERROR(IF(AND(LEN(J179)=6,ISNUMBER(VALUE(J179))),0,1),1)=1,"Pincode; ","")&amp;IF(IFERROR(IF(ISNUMBER(MATCH(TRIM(I179),Lists!$A$2:$A$20,0)),0,1),1)=1,"State; ","")&amp;IF(IFERROR(IF(AND(LEN(K179)=10,VALUE(LEFT(K179,FIND("/",K179)-1))&gt;=1,VALUE(LEFT(K179,FIND("/",K179)-1))&lt;=31,VALUE(LEFT(MID(K179,FIND("/",K179)+1,10),FIND("/",MID(K179,FIND("/",K179)+1,10))-1))&gt;=1,VALUE(LEFT(MID(K179,FIND("/",K179)+1,10),FIND("/",MID(K179,FIND("/",K179)+1,10))-1))&lt;=12,VALUE(LEFT(K179,FIND("/",K179)-1))&lt;=DAY(EOMONTH(DATE(VALUE(MID(MID(K179,FIND("/",K179)+1,10),FIND("/",MID(K179,FIND("/",K179)+1,10))+1,4)),VALUE(LEFT(MID(K179,FIND("/",K179)+1,10),FIND("/",MID(K179,FIND("/",K179)+1,10))-1)),1),0))),0,1),1)=1,"Date; ","")&amp;IF(IFERROR(IF(M179&gt;=0,0,1),1)=1,"Amount; ","")&amp;IF(IFERROR(IF(ISNUMBER(MATCH(N179,Lists!$B$2:$B$7,0)),0,1),1)=1,"Payment; ","")))</f>
        <v/>
      </c>
      <c r="R179" s="3" t="str">
        <f aca="false">IF(D179="","",IF(COUNTIFS($D$2:$D$701,D179,$E$2:$E$701,E179)&gt;1,"DUPLICATE","Unique"))</f>
        <v>Unique</v>
      </c>
    </row>
    <row r="180" customFormat="false" ht="15" hidden="false" customHeight="false" outlineLevel="0" collapsed="false">
      <c r="A180" s="3" t="n">
        <v>179</v>
      </c>
      <c r="B180" s="3" t="n">
        <v>4</v>
      </c>
      <c r="C180" s="3" t="s">
        <v>1381</v>
      </c>
      <c r="D180" s="3" t="s">
        <v>1382</v>
      </c>
      <c r="E180" s="3" t="s">
        <v>1383</v>
      </c>
      <c r="F180" s="3" t="s">
        <v>1384</v>
      </c>
      <c r="G180" s="3" t="s">
        <v>1385</v>
      </c>
      <c r="H180" s="3" t="s">
        <v>281</v>
      </c>
      <c r="I180" s="3" t="s">
        <v>51</v>
      </c>
      <c r="J180" s="3" t="s">
        <v>1386</v>
      </c>
      <c r="K180" s="3" t="s">
        <v>1387</v>
      </c>
      <c r="L180" s="3" t="s">
        <v>58</v>
      </c>
      <c r="M180" s="3" t="n">
        <v>14048.4</v>
      </c>
      <c r="N180" s="3" t="s">
        <v>46</v>
      </c>
      <c r="O180" s="3" t="n">
        <f aca="false">IFERROR(LEN(C180&amp;D180&amp;E180&amp;F180&amp;G180&amp;H180&amp;I180&amp;J180&amp;K180&amp;L180&amp;M180&amp;N180)/5,0)</f>
        <v>27.2</v>
      </c>
      <c r="P180" s="3" t="str">
        <f aca="false">IF(OR(D180="",C180=""),"",IF((IFERROR(IF(AND(TRIM(D180)=D180,LEN(D180)&gt;0),0,1),1)+IFERROR(IF(AND(LEN(E180)=10,ISNUMBER(VALUE(E180))),0,1),1)+IFERROR(IF(AND(ISNUMBER(SEARCH("@",F180)),ISNUMBER(SEARCH(".",F180))),0,1),1)+IFERROR(IF(AND(LEN(J180)=6,ISNUMBER(VALUE(J180))),0,1),1)+IFERROR(IF(ISNUMBER(MATCH(TRIM(I180),Lists!$A$2:$A$20,0)),0,1),1)+IFERROR(IF(AND(LEN(K180)=10,VALUE(LEFT(K180,FIND("/",K180)-1))&gt;=1,VALUE(LEFT(K180,FIND("/",K180)-1))&lt;=31,VALUE(LEFT(MID(K180,FIND("/",K180)+1,10),FIND("/",MID(K180,FIND("/",K180)+1,10))-1))&gt;=1,VALUE(LEFT(MID(K180,FIND("/",K180)+1,10),FIND("/",MID(K180,FIND("/",K180)+1,10))-1))&lt;=12,VALUE(LEFT(K180,FIND("/",K180)-1))&lt;=DAY(EOMONTH(DATE(VALUE(MID(MID(K180,FIND("/",K180)+1,10),FIND("/",MID(K180,FIND("/",K180)+1,10))+1,4)),VALUE(LEFT(MID(K180,FIND("/",K180)+1,10),FIND("/",MID(K180,FIND("/",K180)+1,10))-1)),1),0))),0,1),1)+IFERROR(IF(M180&gt;=0,0,1),1)+IFERROR(IF(ISNUMBER(MATCH(N180,Lists!$B$2:$B$7,0)),0,1),1))=0,"OK","ERROR"))</f>
        <v>OK</v>
      </c>
      <c r="Q180" s="3" t="str">
        <f aca="false">IF(D180="","",TRIM(IF(IFERROR(IF(AND(TRIM(D180)=D180,LEN(D180)&gt;0),0,1),1)=1,"Name; ","")&amp;IF(IFERROR(IF(AND(LEN(E180)=10,ISNUMBER(VALUE(E180))),0,1),1)=1,"Phone; ","")&amp;IF(IFERROR(IF(AND(ISNUMBER(SEARCH("@",F180)),ISNUMBER(SEARCH(".",F180))),0,1),1)=1,"Email; ","")&amp;IF(IFERROR(IF(AND(LEN(J180)=6,ISNUMBER(VALUE(J180))),0,1),1)=1,"Pincode; ","")&amp;IF(IFERROR(IF(ISNUMBER(MATCH(TRIM(I180),Lists!$A$2:$A$20,0)),0,1),1)=1,"State; ","")&amp;IF(IFERROR(IF(AND(LEN(K180)=10,VALUE(LEFT(K180,FIND("/",K180)-1))&gt;=1,VALUE(LEFT(K180,FIND("/",K180)-1))&lt;=31,VALUE(LEFT(MID(K180,FIND("/",K180)+1,10),FIND("/",MID(K180,FIND("/",K180)+1,10))-1))&gt;=1,VALUE(LEFT(MID(K180,FIND("/",K180)+1,10),FIND("/",MID(K180,FIND("/",K180)+1,10))-1))&lt;=12,VALUE(LEFT(K180,FIND("/",K180)-1))&lt;=DAY(EOMONTH(DATE(VALUE(MID(MID(K180,FIND("/",K180)+1,10),FIND("/",MID(K180,FIND("/",K180)+1,10))+1,4)),VALUE(LEFT(MID(K180,FIND("/",K180)+1,10),FIND("/",MID(K180,FIND("/",K180)+1,10))-1)),1),0))),0,1),1)=1,"Date; ","")&amp;IF(IFERROR(IF(M180&gt;=0,0,1),1)=1,"Amount; ","")&amp;IF(IFERROR(IF(ISNUMBER(MATCH(N180,Lists!$B$2:$B$7,0)),0,1),1)=1,"Payment; ","")))</f>
        <v/>
      </c>
      <c r="R180" s="3" t="str">
        <f aca="false">IF(D180="","",IF(COUNTIFS($D$2:$D$701,D180,$E$2:$E$701,E180)&gt;1,"DUPLICATE","Unique"))</f>
        <v>Unique</v>
      </c>
    </row>
    <row r="181" customFormat="false" ht="15" hidden="false" customHeight="false" outlineLevel="0" collapsed="false">
      <c r="A181" s="3" t="n">
        <v>180</v>
      </c>
      <c r="B181" s="3" t="n">
        <v>4</v>
      </c>
      <c r="C181" s="3" t="s">
        <v>1388</v>
      </c>
      <c r="D181" s="3" t="s">
        <v>1389</v>
      </c>
      <c r="E181" s="3" t="s">
        <v>1390</v>
      </c>
      <c r="F181" s="3" t="s">
        <v>1391</v>
      </c>
      <c r="G181" s="3" t="s">
        <v>1392</v>
      </c>
      <c r="H181" s="3" t="s">
        <v>197</v>
      </c>
      <c r="I181" s="3" t="s">
        <v>77</v>
      </c>
      <c r="J181" s="3" t="s">
        <v>1393</v>
      </c>
      <c r="K181" s="3" t="s">
        <v>1394</v>
      </c>
      <c r="L181" s="3" t="s">
        <v>66</v>
      </c>
      <c r="M181" s="3" t="n">
        <v>8419.89</v>
      </c>
      <c r="N181" s="3" t="s">
        <v>52</v>
      </c>
      <c r="O181" s="3" t="n">
        <f aca="false">IFERROR(LEN(C181&amp;D181&amp;E181&amp;F181&amp;G181&amp;H181&amp;I181&amp;J181&amp;K181&amp;L181&amp;M181&amp;N181)/5,0)</f>
        <v>29</v>
      </c>
      <c r="P181" s="3" t="str">
        <f aca="false">IF(OR(D181="",C181=""),"",IF((IFERROR(IF(AND(TRIM(D181)=D181,LEN(D181)&gt;0),0,1),1)+IFERROR(IF(AND(LEN(E181)=10,ISNUMBER(VALUE(E181))),0,1),1)+IFERROR(IF(AND(ISNUMBER(SEARCH("@",F181)),ISNUMBER(SEARCH(".",F181))),0,1),1)+IFERROR(IF(AND(LEN(J181)=6,ISNUMBER(VALUE(J181))),0,1),1)+IFERROR(IF(ISNUMBER(MATCH(TRIM(I181),Lists!$A$2:$A$20,0)),0,1),1)+IFERROR(IF(AND(LEN(K181)=10,VALUE(LEFT(K181,FIND("/",K181)-1))&gt;=1,VALUE(LEFT(K181,FIND("/",K181)-1))&lt;=31,VALUE(LEFT(MID(K181,FIND("/",K181)+1,10),FIND("/",MID(K181,FIND("/",K181)+1,10))-1))&gt;=1,VALUE(LEFT(MID(K181,FIND("/",K181)+1,10),FIND("/",MID(K181,FIND("/",K181)+1,10))-1))&lt;=12,VALUE(LEFT(K181,FIND("/",K181)-1))&lt;=DAY(EOMONTH(DATE(VALUE(MID(MID(K181,FIND("/",K181)+1,10),FIND("/",MID(K181,FIND("/",K181)+1,10))+1,4)),VALUE(LEFT(MID(K181,FIND("/",K181)+1,10),FIND("/",MID(K181,FIND("/",K181)+1,10))-1)),1),0))),0,1),1)+IFERROR(IF(M181&gt;=0,0,1),1)+IFERROR(IF(ISNUMBER(MATCH(N181,Lists!$B$2:$B$7,0)),0,1),1))=0,"OK","ERROR"))</f>
        <v>OK</v>
      </c>
      <c r="Q181" s="3" t="str">
        <f aca="false">IF(D181="","",TRIM(IF(IFERROR(IF(AND(TRIM(D181)=D181,LEN(D181)&gt;0),0,1),1)=1,"Name; ","")&amp;IF(IFERROR(IF(AND(LEN(E181)=10,ISNUMBER(VALUE(E181))),0,1),1)=1,"Phone; ","")&amp;IF(IFERROR(IF(AND(ISNUMBER(SEARCH("@",F181)),ISNUMBER(SEARCH(".",F181))),0,1),1)=1,"Email; ","")&amp;IF(IFERROR(IF(AND(LEN(J181)=6,ISNUMBER(VALUE(J181))),0,1),1)=1,"Pincode; ","")&amp;IF(IFERROR(IF(ISNUMBER(MATCH(TRIM(I181),Lists!$A$2:$A$20,0)),0,1),1)=1,"State; ","")&amp;IF(IFERROR(IF(AND(LEN(K181)=10,VALUE(LEFT(K181,FIND("/",K181)-1))&gt;=1,VALUE(LEFT(K181,FIND("/",K181)-1))&lt;=31,VALUE(LEFT(MID(K181,FIND("/",K181)+1,10),FIND("/",MID(K181,FIND("/",K181)+1,10))-1))&gt;=1,VALUE(LEFT(MID(K181,FIND("/",K181)+1,10),FIND("/",MID(K181,FIND("/",K181)+1,10))-1))&lt;=12,VALUE(LEFT(K181,FIND("/",K181)-1))&lt;=DAY(EOMONTH(DATE(VALUE(MID(MID(K181,FIND("/",K181)+1,10),FIND("/",MID(K181,FIND("/",K181)+1,10))+1,4)),VALUE(LEFT(MID(K181,FIND("/",K181)+1,10),FIND("/",MID(K181,FIND("/",K181)+1,10))-1)),1),0))),0,1),1)=1,"Date; ","")&amp;IF(IFERROR(IF(M181&gt;=0,0,1),1)=1,"Amount; ","")&amp;IF(IFERROR(IF(ISNUMBER(MATCH(N181,Lists!$B$2:$B$7,0)),0,1),1)=1,"Payment; ","")))</f>
        <v/>
      </c>
      <c r="R181" s="3" t="str">
        <f aca="false">IF(D181="","",IF(COUNTIFS($D$2:$D$701,D181,$E$2:$E$701,E181)&gt;1,"DUPLICATE","Unique"))</f>
        <v>Unique</v>
      </c>
    </row>
    <row r="182" customFormat="false" ht="15" hidden="false" customHeight="false" outlineLevel="0" collapsed="false">
      <c r="A182" s="3" t="n">
        <v>181</v>
      </c>
      <c r="B182" s="3" t="n">
        <v>4</v>
      </c>
      <c r="C182" s="3" t="s">
        <v>1395</v>
      </c>
      <c r="D182" s="3" t="s">
        <v>1396</v>
      </c>
      <c r="E182" s="3" t="s">
        <v>1397</v>
      </c>
      <c r="F182" s="3" t="s">
        <v>1398</v>
      </c>
      <c r="G182" s="3" t="s">
        <v>1399</v>
      </c>
      <c r="H182" s="3" t="s">
        <v>281</v>
      </c>
      <c r="I182" s="3" t="s">
        <v>848</v>
      </c>
      <c r="J182" s="3" t="s">
        <v>1400</v>
      </c>
      <c r="K182" s="3" t="s">
        <v>1401</v>
      </c>
      <c r="L182" s="3" t="s">
        <v>41</v>
      </c>
      <c r="M182" s="3" t="n">
        <v>8859.59</v>
      </c>
      <c r="N182" s="3" t="s">
        <v>43</v>
      </c>
      <c r="O182" s="3" t="n">
        <f aca="false">IFERROR(LEN(C182&amp;D182&amp;E182&amp;F182&amp;G182&amp;H182&amp;I182&amp;J182&amp;K182&amp;L182&amp;M182&amp;N182)/5,0)</f>
        <v>25.4</v>
      </c>
      <c r="P182" s="3" t="str">
        <f aca="false">IF(OR(D182="",C182=""),"",IF((IFERROR(IF(AND(TRIM(D182)=D182,LEN(D182)&gt;0),0,1),1)+IFERROR(IF(AND(LEN(E182)=10,ISNUMBER(VALUE(E182))),0,1),1)+IFERROR(IF(AND(ISNUMBER(SEARCH("@",F182)),ISNUMBER(SEARCH(".",F182))),0,1),1)+IFERROR(IF(AND(LEN(J182)=6,ISNUMBER(VALUE(J182))),0,1),1)+IFERROR(IF(ISNUMBER(MATCH(TRIM(I182),Lists!$A$2:$A$20,0)),0,1),1)+IFERROR(IF(AND(LEN(K182)=10,VALUE(LEFT(K182,FIND("/",K182)-1))&gt;=1,VALUE(LEFT(K182,FIND("/",K182)-1))&lt;=31,VALUE(LEFT(MID(K182,FIND("/",K182)+1,10),FIND("/",MID(K182,FIND("/",K182)+1,10))-1))&gt;=1,VALUE(LEFT(MID(K182,FIND("/",K182)+1,10),FIND("/",MID(K182,FIND("/",K182)+1,10))-1))&lt;=12,VALUE(LEFT(K182,FIND("/",K182)-1))&lt;=DAY(EOMONTH(DATE(VALUE(MID(MID(K182,FIND("/",K182)+1,10),FIND("/",MID(K182,FIND("/",K182)+1,10))+1,4)),VALUE(LEFT(MID(K182,FIND("/",K182)+1,10),FIND("/",MID(K182,FIND("/",K182)+1,10))-1)),1),0))),0,1),1)+IFERROR(IF(M182&gt;=0,0,1),1)+IFERROR(IF(ISNUMBER(MATCH(N182,Lists!$B$2:$B$7,0)),0,1),1))=0,"OK","ERROR"))</f>
        <v>OK</v>
      </c>
      <c r="Q182" s="3" t="str">
        <f aca="false">IF(D182="","",TRIM(IF(IFERROR(IF(AND(TRIM(D182)=D182,LEN(D182)&gt;0),0,1),1)=1,"Name; ","")&amp;IF(IFERROR(IF(AND(LEN(E182)=10,ISNUMBER(VALUE(E182))),0,1),1)=1,"Phone; ","")&amp;IF(IFERROR(IF(AND(ISNUMBER(SEARCH("@",F182)),ISNUMBER(SEARCH(".",F182))),0,1),1)=1,"Email; ","")&amp;IF(IFERROR(IF(AND(LEN(J182)=6,ISNUMBER(VALUE(J182))),0,1),1)=1,"Pincode; ","")&amp;IF(IFERROR(IF(ISNUMBER(MATCH(TRIM(I182),Lists!$A$2:$A$20,0)),0,1),1)=1,"State; ","")&amp;IF(IFERROR(IF(AND(LEN(K182)=10,VALUE(LEFT(K182,FIND("/",K182)-1))&gt;=1,VALUE(LEFT(K182,FIND("/",K182)-1))&lt;=31,VALUE(LEFT(MID(K182,FIND("/",K182)+1,10),FIND("/",MID(K182,FIND("/",K182)+1,10))-1))&gt;=1,VALUE(LEFT(MID(K182,FIND("/",K182)+1,10),FIND("/",MID(K182,FIND("/",K182)+1,10))-1))&lt;=12,VALUE(LEFT(K182,FIND("/",K182)-1))&lt;=DAY(EOMONTH(DATE(VALUE(MID(MID(K182,FIND("/",K182)+1,10),FIND("/",MID(K182,FIND("/",K182)+1,10))+1,4)),VALUE(LEFT(MID(K182,FIND("/",K182)+1,10),FIND("/",MID(K182,FIND("/",K182)+1,10))-1)),1),0))),0,1),1)=1,"Date; ","")&amp;IF(IFERROR(IF(M182&gt;=0,0,1),1)=1,"Amount; ","")&amp;IF(IFERROR(IF(ISNUMBER(MATCH(N182,Lists!$B$2:$B$7,0)),0,1),1)=1,"Payment; ","")))</f>
        <v/>
      </c>
      <c r="R182" s="3" t="str">
        <f aca="false">IF(D182="","",IF(COUNTIFS($D$2:$D$701,D182,$E$2:$E$701,E182)&gt;1,"DUPLICATE","Unique"))</f>
        <v>Unique</v>
      </c>
    </row>
    <row r="183" customFormat="false" ht="15" hidden="false" customHeight="false" outlineLevel="0" collapsed="false">
      <c r="A183" s="3" t="n">
        <v>182</v>
      </c>
      <c r="B183" s="3" t="n">
        <v>4</v>
      </c>
      <c r="C183" s="3" t="s">
        <v>1402</v>
      </c>
      <c r="D183" s="3" t="s">
        <v>1403</v>
      </c>
      <c r="E183" s="3" t="s">
        <v>1404</v>
      </c>
      <c r="F183" s="3" t="s">
        <v>1405</v>
      </c>
      <c r="G183" s="3" t="s">
        <v>1406</v>
      </c>
      <c r="H183" s="3" t="s">
        <v>340</v>
      </c>
      <c r="I183" s="3" t="s">
        <v>75</v>
      </c>
      <c r="J183" s="3" t="s">
        <v>1407</v>
      </c>
      <c r="K183" s="3" t="s">
        <v>1408</v>
      </c>
      <c r="L183" s="3" t="s">
        <v>41</v>
      </c>
      <c r="M183" s="3" t="n">
        <v>1775.98</v>
      </c>
      <c r="N183" s="3" t="s">
        <v>43</v>
      </c>
      <c r="O183" s="3" t="n">
        <f aca="false">IFERROR(LEN(C183&amp;D183&amp;E183&amp;F183&amp;G183&amp;H183&amp;I183&amp;J183&amp;K183&amp;L183&amp;M183&amp;N183)/5,0)</f>
        <v>24.4</v>
      </c>
      <c r="P183" s="3" t="str">
        <f aca="false">IF(OR(D183="",C183=""),"",IF((IFERROR(IF(AND(TRIM(D183)=D183,LEN(D183)&gt;0),0,1),1)+IFERROR(IF(AND(LEN(E183)=10,ISNUMBER(VALUE(E183))),0,1),1)+IFERROR(IF(AND(ISNUMBER(SEARCH("@",F183)),ISNUMBER(SEARCH(".",F183))),0,1),1)+IFERROR(IF(AND(LEN(J183)=6,ISNUMBER(VALUE(J183))),0,1),1)+IFERROR(IF(ISNUMBER(MATCH(TRIM(I183),Lists!$A$2:$A$20,0)),0,1),1)+IFERROR(IF(AND(LEN(K183)=10,VALUE(LEFT(K183,FIND("/",K183)-1))&gt;=1,VALUE(LEFT(K183,FIND("/",K183)-1))&lt;=31,VALUE(LEFT(MID(K183,FIND("/",K183)+1,10),FIND("/",MID(K183,FIND("/",K183)+1,10))-1))&gt;=1,VALUE(LEFT(MID(K183,FIND("/",K183)+1,10),FIND("/",MID(K183,FIND("/",K183)+1,10))-1))&lt;=12,VALUE(LEFT(K183,FIND("/",K183)-1))&lt;=DAY(EOMONTH(DATE(VALUE(MID(MID(K183,FIND("/",K183)+1,10),FIND("/",MID(K183,FIND("/",K183)+1,10))+1,4)),VALUE(LEFT(MID(K183,FIND("/",K183)+1,10),FIND("/",MID(K183,FIND("/",K183)+1,10))-1)),1),0))),0,1),1)+IFERROR(IF(M183&gt;=0,0,1),1)+IFERROR(IF(ISNUMBER(MATCH(N183,Lists!$B$2:$B$7,0)),0,1),1))=0,"OK","ERROR"))</f>
        <v>OK</v>
      </c>
      <c r="Q183" s="3" t="str">
        <f aca="false">IF(D183="","",TRIM(IF(IFERROR(IF(AND(TRIM(D183)=D183,LEN(D183)&gt;0),0,1),1)=1,"Name; ","")&amp;IF(IFERROR(IF(AND(LEN(E183)=10,ISNUMBER(VALUE(E183))),0,1),1)=1,"Phone; ","")&amp;IF(IFERROR(IF(AND(ISNUMBER(SEARCH("@",F183)),ISNUMBER(SEARCH(".",F183))),0,1),1)=1,"Email; ","")&amp;IF(IFERROR(IF(AND(LEN(J183)=6,ISNUMBER(VALUE(J183))),0,1),1)=1,"Pincode; ","")&amp;IF(IFERROR(IF(ISNUMBER(MATCH(TRIM(I183),Lists!$A$2:$A$20,0)),0,1),1)=1,"State; ","")&amp;IF(IFERROR(IF(AND(LEN(K183)=10,VALUE(LEFT(K183,FIND("/",K183)-1))&gt;=1,VALUE(LEFT(K183,FIND("/",K183)-1))&lt;=31,VALUE(LEFT(MID(K183,FIND("/",K183)+1,10),FIND("/",MID(K183,FIND("/",K183)+1,10))-1))&gt;=1,VALUE(LEFT(MID(K183,FIND("/",K183)+1,10),FIND("/",MID(K183,FIND("/",K183)+1,10))-1))&lt;=12,VALUE(LEFT(K183,FIND("/",K183)-1))&lt;=DAY(EOMONTH(DATE(VALUE(MID(MID(K183,FIND("/",K183)+1,10),FIND("/",MID(K183,FIND("/",K183)+1,10))+1,4)),VALUE(LEFT(MID(K183,FIND("/",K183)+1,10),FIND("/",MID(K183,FIND("/",K183)+1,10))-1)),1),0))),0,1),1)=1,"Date; ","")&amp;IF(IFERROR(IF(M183&gt;=0,0,1),1)=1,"Amount; ","")&amp;IF(IFERROR(IF(ISNUMBER(MATCH(N183,Lists!$B$2:$B$7,0)),0,1),1)=1,"Payment; ","")))</f>
        <v/>
      </c>
      <c r="R183" s="3" t="str">
        <f aca="false">IF(D183="","",IF(COUNTIFS($D$2:$D$701,D183,$E$2:$E$701,E183)&gt;1,"DUPLICATE","Unique"))</f>
        <v>Unique</v>
      </c>
    </row>
    <row r="184" customFormat="false" ht="15" hidden="false" customHeight="false" outlineLevel="0" collapsed="false">
      <c r="A184" s="3" t="n">
        <v>183</v>
      </c>
      <c r="B184" s="3" t="n">
        <v>4</v>
      </c>
      <c r="C184" s="3" t="s">
        <v>1409</v>
      </c>
      <c r="D184" s="3" t="s">
        <v>1410</v>
      </c>
      <c r="E184" s="3" t="s">
        <v>1411</v>
      </c>
      <c r="F184" s="3" t="s">
        <v>1412</v>
      </c>
      <c r="G184" s="3" t="s">
        <v>1413</v>
      </c>
      <c r="H184" s="3" t="s">
        <v>1044</v>
      </c>
      <c r="I184" s="3" t="s">
        <v>42</v>
      </c>
      <c r="J184" s="3" t="s">
        <v>1414</v>
      </c>
      <c r="K184" s="3" t="s">
        <v>1415</v>
      </c>
      <c r="L184" s="3" t="s">
        <v>58</v>
      </c>
      <c r="M184" s="3" t="n">
        <v>6522.95</v>
      </c>
      <c r="N184" s="3" t="s">
        <v>49</v>
      </c>
      <c r="O184" s="3" t="n">
        <f aca="false">IFERROR(LEN(C184&amp;D184&amp;E184&amp;F184&amp;G184&amp;H184&amp;I184&amp;J184&amp;K184&amp;L184&amp;M184&amp;N184)/5,0)</f>
        <v>31.6</v>
      </c>
      <c r="P184" s="3" t="str">
        <f aca="false">IF(OR(D184="",C184=""),"",IF((IFERROR(IF(AND(TRIM(D184)=D184,LEN(D184)&gt;0),0,1),1)+IFERROR(IF(AND(LEN(E184)=10,ISNUMBER(VALUE(E184))),0,1),1)+IFERROR(IF(AND(ISNUMBER(SEARCH("@",F184)),ISNUMBER(SEARCH(".",F184))),0,1),1)+IFERROR(IF(AND(LEN(J184)=6,ISNUMBER(VALUE(J184))),0,1),1)+IFERROR(IF(ISNUMBER(MATCH(TRIM(I184),Lists!$A$2:$A$20,0)),0,1),1)+IFERROR(IF(AND(LEN(K184)=10,VALUE(LEFT(K184,FIND("/",K184)-1))&gt;=1,VALUE(LEFT(K184,FIND("/",K184)-1))&lt;=31,VALUE(LEFT(MID(K184,FIND("/",K184)+1,10),FIND("/",MID(K184,FIND("/",K184)+1,10))-1))&gt;=1,VALUE(LEFT(MID(K184,FIND("/",K184)+1,10),FIND("/",MID(K184,FIND("/",K184)+1,10))-1))&lt;=12,VALUE(LEFT(K184,FIND("/",K184)-1))&lt;=DAY(EOMONTH(DATE(VALUE(MID(MID(K184,FIND("/",K184)+1,10),FIND("/",MID(K184,FIND("/",K184)+1,10))+1,4)),VALUE(LEFT(MID(K184,FIND("/",K184)+1,10),FIND("/",MID(K184,FIND("/",K184)+1,10))-1)),1),0))),0,1),1)+IFERROR(IF(M184&gt;=0,0,1),1)+IFERROR(IF(ISNUMBER(MATCH(N184,Lists!$B$2:$B$7,0)),0,1),1))=0,"OK","ERROR"))</f>
        <v>OK</v>
      </c>
      <c r="Q184" s="3" t="str">
        <f aca="false">IF(D184="","",TRIM(IF(IFERROR(IF(AND(TRIM(D184)=D184,LEN(D184)&gt;0),0,1),1)=1,"Name; ","")&amp;IF(IFERROR(IF(AND(LEN(E184)=10,ISNUMBER(VALUE(E184))),0,1),1)=1,"Phone; ","")&amp;IF(IFERROR(IF(AND(ISNUMBER(SEARCH("@",F184)),ISNUMBER(SEARCH(".",F184))),0,1),1)=1,"Email; ","")&amp;IF(IFERROR(IF(AND(LEN(J184)=6,ISNUMBER(VALUE(J184))),0,1),1)=1,"Pincode; ","")&amp;IF(IFERROR(IF(ISNUMBER(MATCH(TRIM(I184),Lists!$A$2:$A$20,0)),0,1),1)=1,"State; ","")&amp;IF(IFERROR(IF(AND(LEN(K184)=10,VALUE(LEFT(K184,FIND("/",K184)-1))&gt;=1,VALUE(LEFT(K184,FIND("/",K184)-1))&lt;=31,VALUE(LEFT(MID(K184,FIND("/",K184)+1,10),FIND("/",MID(K184,FIND("/",K184)+1,10))-1))&gt;=1,VALUE(LEFT(MID(K184,FIND("/",K184)+1,10),FIND("/",MID(K184,FIND("/",K184)+1,10))-1))&lt;=12,VALUE(LEFT(K184,FIND("/",K184)-1))&lt;=DAY(EOMONTH(DATE(VALUE(MID(MID(K184,FIND("/",K184)+1,10),FIND("/",MID(K184,FIND("/",K184)+1,10))+1,4)),VALUE(LEFT(MID(K184,FIND("/",K184)+1,10),FIND("/",MID(K184,FIND("/",K184)+1,10))-1)),1),0))),0,1),1)=1,"Date; ","")&amp;IF(IFERROR(IF(M184&gt;=0,0,1),1)=1,"Amount; ","")&amp;IF(IFERROR(IF(ISNUMBER(MATCH(N184,Lists!$B$2:$B$7,0)),0,1),1)=1,"Payment; ","")))</f>
        <v/>
      </c>
      <c r="R184" s="3" t="str">
        <f aca="false">IF(D184="","",IF(COUNTIFS($D$2:$D$701,D184,$E$2:$E$701,E184)&gt;1,"DUPLICATE","Unique"))</f>
        <v>Unique</v>
      </c>
    </row>
    <row r="185" customFormat="false" ht="15" hidden="false" customHeight="false" outlineLevel="0" collapsed="false">
      <c r="A185" s="3" t="n">
        <v>184</v>
      </c>
      <c r="B185" s="3" t="n">
        <v>4</v>
      </c>
      <c r="C185" s="3" t="s">
        <v>1416</v>
      </c>
      <c r="D185" s="3" t="s">
        <v>1417</v>
      </c>
      <c r="E185" s="3" t="s">
        <v>1418</v>
      </c>
      <c r="F185" s="3" t="s">
        <v>1419</v>
      </c>
      <c r="G185" s="3" t="s">
        <v>1420</v>
      </c>
      <c r="H185" s="3" t="s">
        <v>464</v>
      </c>
      <c r="I185" s="3" t="s">
        <v>61</v>
      </c>
      <c r="J185" s="3" t="s">
        <v>1421</v>
      </c>
      <c r="K185" s="3" t="s">
        <v>1422</v>
      </c>
      <c r="L185" s="3" t="s">
        <v>64</v>
      </c>
      <c r="M185" s="3" t="n">
        <v>654.3</v>
      </c>
      <c r="N185" s="3" t="s">
        <v>55</v>
      </c>
      <c r="O185" s="3" t="n">
        <f aca="false">IFERROR(LEN(C185&amp;D185&amp;E185&amp;F185&amp;G185&amp;H185&amp;I185&amp;J185&amp;K185&amp;L185&amp;M185&amp;N185)/5,0)</f>
        <v>25.4</v>
      </c>
      <c r="P185" s="3" t="str">
        <f aca="false">IF(OR(D185="",C185=""),"",IF((IFERROR(IF(AND(TRIM(D185)=D185,LEN(D185)&gt;0),0,1),1)+IFERROR(IF(AND(LEN(E185)=10,ISNUMBER(VALUE(E185))),0,1),1)+IFERROR(IF(AND(ISNUMBER(SEARCH("@",F185)),ISNUMBER(SEARCH(".",F185))),0,1),1)+IFERROR(IF(AND(LEN(J185)=6,ISNUMBER(VALUE(J185))),0,1),1)+IFERROR(IF(ISNUMBER(MATCH(TRIM(I185),Lists!$A$2:$A$20,0)),0,1),1)+IFERROR(IF(AND(LEN(K185)=10,VALUE(LEFT(K185,FIND("/",K185)-1))&gt;=1,VALUE(LEFT(K185,FIND("/",K185)-1))&lt;=31,VALUE(LEFT(MID(K185,FIND("/",K185)+1,10),FIND("/",MID(K185,FIND("/",K185)+1,10))-1))&gt;=1,VALUE(LEFT(MID(K185,FIND("/",K185)+1,10),FIND("/",MID(K185,FIND("/",K185)+1,10))-1))&lt;=12,VALUE(LEFT(K185,FIND("/",K185)-1))&lt;=DAY(EOMONTH(DATE(VALUE(MID(MID(K185,FIND("/",K185)+1,10),FIND("/",MID(K185,FIND("/",K185)+1,10))+1,4)),VALUE(LEFT(MID(K185,FIND("/",K185)+1,10),FIND("/",MID(K185,FIND("/",K185)+1,10))-1)),1),0))),0,1),1)+IFERROR(IF(M185&gt;=0,0,1),1)+IFERROR(IF(ISNUMBER(MATCH(N185,Lists!$B$2:$B$7,0)),0,1),1))=0,"OK","ERROR"))</f>
        <v>OK</v>
      </c>
      <c r="Q185" s="3" t="str">
        <f aca="false">IF(D185="","",TRIM(IF(IFERROR(IF(AND(TRIM(D185)=D185,LEN(D185)&gt;0),0,1),1)=1,"Name; ","")&amp;IF(IFERROR(IF(AND(LEN(E185)=10,ISNUMBER(VALUE(E185))),0,1),1)=1,"Phone; ","")&amp;IF(IFERROR(IF(AND(ISNUMBER(SEARCH("@",F185)),ISNUMBER(SEARCH(".",F185))),0,1),1)=1,"Email; ","")&amp;IF(IFERROR(IF(AND(LEN(J185)=6,ISNUMBER(VALUE(J185))),0,1),1)=1,"Pincode; ","")&amp;IF(IFERROR(IF(ISNUMBER(MATCH(TRIM(I185),Lists!$A$2:$A$20,0)),0,1),1)=1,"State; ","")&amp;IF(IFERROR(IF(AND(LEN(K185)=10,VALUE(LEFT(K185,FIND("/",K185)-1))&gt;=1,VALUE(LEFT(K185,FIND("/",K185)-1))&lt;=31,VALUE(LEFT(MID(K185,FIND("/",K185)+1,10),FIND("/",MID(K185,FIND("/",K185)+1,10))-1))&gt;=1,VALUE(LEFT(MID(K185,FIND("/",K185)+1,10),FIND("/",MID(K185,FIND("/",K185)+1,10))-1))&lt;=12,VALUE(LEFT(K185,FIND("/",K185)-1))&lt;=DAY(EOMONTH(DATE(VALUE(MID(MID(K185,FIND("/",K185)+1,10),FIND("/",MID(K185,FIND("/",K185)+1,10))+1,4)),VALUE(LEFT(MID(K185,FIND("/",K185)+1,10),FIND("/",MID(K185,FIND("/",K185)+1,10))-1)),1),0))),0,1),1)=1,"Date; ","")&amp;IF(IFERROR(IF(M185&gt;=0,0,1),1)=1,"Amount; ","")&amp;IF(IFERROR(IF(ISNUMBER(MATCH(N185,Lists!$B$2:$B$7,0)),0,1),1)=1,"Payment; ","")))</f>
        <v/>
      </c>
      <c r="R185" s="3" t="str">
        <f aca="false">IF(D185="","",IF(COUNTIFS($D$2:$D$701,D185,$E$2:$E$701,E185)&gt;1,"DUPLICATE","Unique"))</f>
        <v>Unique</v>
      </c>
    </row>
    <row r="186" customFormat="false" ht="15" hidden="false" customHeight="false" outlineLevel="0" collapsed="false">
      <c r="A186" s="3" t="n">
        <v>185</v>
      </c>
      <c r="B186" s="3" t="n">
        <v>4</v>
      </c>
      <c r="C186" s="3" t="s">
        <v>1423</v>
      </c>
      <c r="D186" s="3" t="s">
        <v>1424</v>
      </c>
      <c r="E186" s="3" t="s">
        <v>1425</v>
      </c>
      <c r="F186" s="3" t="s">
        <v>1426</v>
      </c>
      <c r="G186" s="3" t="s">
        <v>1427</v>
      </c>
      <c r="H186" s="3" t="s">
        <v>281</v>
      </c>
      <c r="I186" s="3" t="s">
        <v>51</v>
      </c>
      <c r="J186" s="3" t="s">
        <v>1428</v>
      </c>
      <c r="K186" s="3" t="s">
        <v>1304</v>
      </c>
      <c r="L186" s="3" t="s">
        <v>44</v>
      </c>
      <c r="M186" s="3" t="n">
        <v>7038</v>
      </c>
      <c r="N186" s="3" t="s">
        <v>55</v>
      </c>
      <c r="O186" s="3" t="n">
        <f aca="false">IFERROR(LEN(C186&amp;D186&amp;E186&amp;F186&amp;G186&amp;H186&amp;I186&amp;J186&amp;K186&amp;L186&amp;M186&amp;N186)/5,0)</f>
        <v>28</v>
      </c>
      <c r="P186" s="3" t="str">
        <f aca="false">IF(OR(D186="",C186=""),"",IF((IFERROR(IF(AND(TRIM(D186)=D186,LEN(D186)&gt;0),0,1),1)+IFERROR(IF(AND(LEN(E186)=10,ISNUMBER(VALUE(E186))),0,1),1)+IFERROR(IF(AND(ISNUMBER(SEARCH("@",F186)),ISNUMBER(SEARCH(".",F186))),0,1),1)+IFERROR(IF(AND(LEN(J186)=6,ISNUMBER(VALUE(J186))),0,1),1)+IFERROR(IF(ISNUMBER(MATCH(TRIM(I186),Lists!$A$2:$A$20,0)),0,1),1)+IFERROR(IF(AND(LEN(K186)=10,VALUE(LEFT(K186,FIND("/",K186)-1))&gt;=1,VALUE(LEFT(K186,FIND("/",K186)-1))&lt;=31,VALUE(LEFT(MID(K186,FIND("/",K186)+1,10),FIND("/",MID(K186,FIND("/",K186)+1,10))-1))&gt;=1,VALUE(LEFT(MID(K186,FIND("/",K186)+1,10),FIND("/",MID(K186,FIND("/",K186)+1,10))-1))&lt;=12,VALUE(LEFT(K186,FIND("/",K186)-1))&lt;=DAY(EOMONTH(DATE(VALUE(MID(MID(K186,FIND("/",K186)+1,10),FIND("/",MID(K186,FIND("/",K186)+1,10))+1,4)),VALUE(LEFT(MID(K186,FIND("/",K186)+1,10),FIND("/",MID(K186,FIND("/",K186)+1,10))-1)),1),0))),0,1),1)+IFERROR(IF(M186&gt;=0,0,1),1)+IFERROR(IF(ISNUMBER(MATCH(N186,Lists!$B$2:$B$7,0)),0,1),1))=0,"OK","ERROR"))</f>
        <v>OK</v>
      </c>
      <c r="Q186" s="3" t="str">
        <f aca="false">IF(D186="","",TRIM(IF(IFERROR(IF(AND(TRIM(D186)=D186,LEN(D186)&gt;0),0,1),1)=1,"Name; ","")&amp;IF(IFERROR(IF(AND(LEN(E186)=10,ISNUMBER(VALUE(E186))),0,1),1)=1,"Phone; ","")&amp;IF(IFERROR(IF(AND(ISNUMBER(SEARCH("@",F186)),ISNUMBER(SEARCH(".",F186))),0,1),1)=1,"Email; ","")&amp;IF(IFERROR(IF(AND(LEN(J186)=6,ISNUMBER(VALUE(J186))),0,1),1)=1,"Pincode; ","")&amp;IF(IFERROR(IF(ISNUMBER(MATCH(TRIM(I186),Lists!$A$2:$A$20,0)),0,1),1)=1,"State; ","")&amp;IF(IFERROR(IF(AND(LEN(K186)=10,VALUE(LEFT(K186,FIND("/",K186)-1))&gt;=1,VALUE(LEFT(K186,FIND("/",K186)-1))&lt;=31,VALUE(LEFT(MID(K186,FIND("/",K186)+1,10),FIND("/",MID(K186,FIND("/",K186)+1,10))-1))&gt;=1,VALUE(LEFT(MID(K186,FIND("/",K186)+1,10),FIND("/",MID(K186,FIND("/",K186)+1,10))-1))&lt;=12,VALUE(LEFT(K186,FIND("/",K186)-1))&lt;=DAY(EOMONTH(DATE(VALUE(MID(MID(K186,FIND("/",K186)+1,10),FIND("/",MID(K186,FIND("/",K186)+1,10))+1,4)),VALUE(LEFT(MID(K186,FIND("/",K186)+1,10),FIND("/",MID(K186,FIND("/",K186)+1,10))-1)),1),0))),0,1),1)=1,"Date; ","")&amp;IF(IFERROR(IF(M186&gt;=0,0,1),1)=1,"Amount; ","")&amp;IF(IFERROR(IF(ISNUMBER(MATCH(N186,Lists!$B$2:$B$7,0)),0,1),1)=1,"Payment; ","")))</f>
        <v/>
      </c>
      <c r="R186" s="3" t="str">
        <f aca="false">IF(D186="","",IF(COUNTIFS($D$2:$D$701,D186,$E$2:$E$701,E186)&gt;1,"DUPLICATE","Unique"))</f>
        <v>Unique</v>
      </c>
    </row>
    <row r="187" customFormat="false" ht="15" hidden="false" customHeight="false" outlineLevel="0" collapsed="false">
      <c r="A187" s="3" t="n">
        <v>186</v>
      </c>
      <c r="B187" s="3" t="n">
        <v>4</v>
      </c>
      <c r="C187" s="3" t="s">
        <v>1429</v>
      </c>
      <c r="D187" s="3" t="s">
        <v>1430</v>
      </c>
      <c r="E187" s="3" t="s">
        <v>1431</v>
      </c>
      <c r="F187" s="3" t="s">
        <v>1432</v>
      </c>
      <c r="G187" s="3" t="s">
        <v>1433</v>
      </c>
      <c r="H187" s="3" t="s">
        <v>436</v>
      </c>
      <c r="I187" s="3" t="s">
        <v>59</v>
      </c>
      <c r="J187" s="3" t="s">
        <v>1434</v>
      </c>
      <c r="K187" s="3" t="s">
        <v>1435</v>
      </c>
      <c r="L187" s="3" t="s">
        <v>41</v>
      </c>
      <c r="M187" s="3" t="n">
        <v>8208.48</v>
      </c>
      <c r="N187" s="3" t="s">
        <v>52</v>
      </c>
      <c r="O187" s="3" t="n">
        <f aca="false">IFERROR(LEN(C187&amp;D187&amp;E187&amp;F187&amp;G187&amp;H187&amp;I187&amp;J187&amp;K187&amp;L187&amp;M187&amp;N187)/5,0)</f>
        <v>30</v>
      </c>
      <c r="P187" s="3" t="str">
        <f aca="false">IF(OR(D187="",C187=""),"",IF((IFERROR(IF(AND(TRIM(D187)=D187,LEN(D187)&gt;0),0,1),1)+IFERROR(IF(AND(LEN(E187)=10,ISNUMBER(VALUE(E187))),0,1),1)+IFERROR(IF(AND(ISNUMBER(SEARCH("@",F187)),ISNUMBER(SEARCH(".",F187))),0,1),1)+IFERROR(IF(AND(LEN(J187)=6,ISNUMBER(VALUE(J187))),0,1),1)+IFERROR(IF(ISNUMBER(MATCH(TRIM(I187),Lists!$A$2:$A$20,0)),0,1),1)+IFERROR(IF(AND(LEN(K187)=10,VALUE(LEFT(K187,FIND("/",K187)-1))&gt;=1,VALUE(LEFT(K187,FIND("/",K187)-1))&lt;=31,VALUE(LEFT(MID(K187,FIND("/",K187)+1,10),FIND("/",MID(K187,FIND("/",K187)+1,10))-1))&gt;=1,VALUE(LEFT(MID(K187,FIND("/",K187)+1,10),FIND("/",MID(K187,FIND("/",K187)+1,10))-1))&lt;=12,VALUE(LEFT(K187,FIND("/",K187)-1))&lt;=DAY(EOMONTH(DATE(VALUE(MID(MID(K187,FIND("/",K187)+1,10),FIND("/",MID(K187,FIND("/",K187)+1,10))+1,4)),VALUE(LEFT(MID(K187,FIND("/",K187)+1,10),FIND("/",MID(K187,FIND("/",K187)+1,10))-1)),1),0))),0,1),1)+IFERROR(IF(M187&gt;=0,0,1),1)+IFERROR(IF(ISNUMBER(MATCH(N187,Lists!$B$2:$B$7,0)),0,1),1))=0,"OK","ERROR"))</f>
        <v>OK</v>
      </c>
      <c r="Q187" s="3" t="str">
        <f aca="false">IF(D187="","",TRIM(IF(IFERROR(IF(AND(TRIM(D187)=D187,LEN(D187)&gt;0),0,1),1)=1,"Name; ","")&amp;IF(IFERROR(IF(AND(LEN(E187)=10,ISNUMBER(VALUE(E187))),0,1),1)=1,"Phone; ","")&amp;IF(IFERROR(IF(AND(ISNUMBER(SEARCH("@",F187)),ISNUMBER(SEARCH(".",F187))),0,1),1)=1,"Email; ","")&amp;IF(IFERROR(IF(AND(LEN(J187)=6,ISNUMBER(VALUE(J187))),0,1),1)=1,"Pincode; ","")&amp;IF(IFERROR(IF(ISNUMBER(MATCH(TRIM(I187),Lists!$A$2:$A$20,0)),0,1),1)=1,"State; ","")&amp;IF(IFERROR(IF(AND(LEN(K187)=10,VALUE(LEFT(K187,FIND("/",K187)-1))&gt;=1,VALUE(LEFT(K187,FIND("/",K187)-1))&lt;=31,VALUE(LEFT(MID(K187,FIND("/",K187)+1,10),FIND("/",MID(K187,FIND("/",K187)+1,10))-1))&gt;=1,VALUE(LEFT(MID(K187,FIND("/",K187)+1,10),FIND("/",MID(K187,FIND("/",K187)+1,10))-1))&lt;=12,VALUE(LEFT(K187,FIND("/",K187)-1))&lt;=DAY(EOMONTH(DATE(VALUE(MID(MID(K187,FIND("/",K187)+1,10),FIND("/",MID(K187,FIND("/",K187)+1,10))+1,4)),VALUE(LEFT(MID(K187,FIND("/",K187)+1,10),FIND("/",MID(K187,FIND("/",K187)+1,10))-1)),1),0))),0,1),1)=1,"Date; ","")&amp;IF(IFERROR(IF(M187&gt;=0,0,1),1)=1,"Amount; ","")&amp;IF(IFERROR(IF(ISNUMBER(MATCH(N187,Lists!$B$2:$B$7,0)),0,1),1)=1,"Payment; ","")))</f>
        <v/>
      </c>
      <c r="R187" s="3" t="str">
        <f aca="false">IF(D187="","",IF(COUNTIFS($D$2:$D$701,D187,$E$2:$E$701,E187)&gt;1,"DUPLICATE","Unique"))</f>
        <v>Unique</v>
      </c>
    </row>
    <row r="188" customFormat="false" ht="15" hidden="false" customHeight="false" outlineLevel="0" collapsed="false">
      <c r="A188" s="3" t="n">
        <v>187</v>
      </c>
      <c r="B188" s="3" t="n">
        <v>4</v>
      </c>
      <c r="C188" s="3" t="s">
        <v>1436</v>
      </c>
      <c r="D188" s="3" t="s">
        <v>1437</v>
      </c>
      <c r="E188" s="3" t="s">
        <v>1438</v>
      </c>
      <c r="F188" s="3" t="s">
        <v>1439</v>
      </c>
      <c r="G188" s="3" t="s">
        <v>1440</v>
      </c>
      <c r="H188" s="3" t="s">
        <v>310</v>
      </c>
      <c r="I188" s="3" t="s">
        <v>69</v>
      </c>
      <c r="J188" s="3" t="s">
        <v>1441</v>
      </c>
      <c r="K188" s="3" t="s">
        <v>1442</v>
      </c>
      <c r="L188" s="3" t="s">
        <v>41</v>
      </c>
      <c r="M188" s="3" t="n">
        <v>13248.36</v>
      </c>
      <c r="N188" s="3" t="s">
        <v>52</v>
      </c>
      <c r="O188" s="3" t="n">
        <f aca="false">IFERROR(LEN(C188&amp;D188&amp;E188&amp;F188&amp;G188&amp;H188&amp;I188&amp;J188&amp;K188&amp;L188&amp;M188&amp;N188)/5,0)</f>
        <v>31</v>
      </c>
      <c r="P188" s="3" t="str">
        <f aca="false">IF(OR(D188="",C188=""),"",IF((IFERROR(IF(AND(TRIM(D188)=D188,LEN(D188)&gt;0),0,1),1)+IFERROR(IF(AND(LEN(E188)=10,ISNUMBER(VALUE(E188))),0,1),1)+IFERROR(IF(AND(ISNUMBER(SEARCH("@",F188)),ISNUMBER(SEARCH(".",F188))),0,1),1)+IFERROR(IF(AND(LEN(J188)=6,ISNUMBER(VALUE(J188))),0,1),1)+IFERROR(IF(ISNUMBER(MATCH(TRIM(I188),Lists!$A$2:$A$20,0)),0,1),1)+IFERROR(IF(AND(LEN(K188)=10,VALUE(LEFT(K188,FIND("/",K188)-1))&gt;=1,VALUE(LEFT(K188,FIND("/",K188)-1))&lt;=31,VALUE(LEFT(MID(K188,FIND("/",K188)+1,10),FIND("/",MID(K188,FIND("/",K188)+1,10))-1))&gt;=1,VALUE(LEFT(MID(K188,FIND("/",K188)+1,10),FIND("/",MID(K188,FIND("/",K188)+1,10))-1))&lt;=12,VALUE(LEFT(K188,FIND("/",K188)-1))&lt;=DAY(EOMONTH(DATE(VALUE(MID(MID(K188,FIND("/",K188)+1,10),FIND("/",MID(K188,FIND("/",K188)+1,10))+1,4)),VALUE(LEFT(MID(K188,FIND("/",K188)+1,10),FIND("/",MID(K188,FIND("/",K188)+1,10))-1)),1),0))),0,1),1)+IFERROR(IF(M188&gt;=0,0,1),1)+IFERROR(IF(ISNUMBER(MATCH(N188,Lists!$B$2:$B$7,0)),0,1),1))=0,"OK","ERROR"))</f>
        <v>OK</v>
      </c>
      <c r="Q188" s="3" t="str">
        <f aca="false">IF(D188="","",TRIM(IF(IFERROR(IF(AND(TRIM(D188)=D188,LEN(D188)&gt;0),0,1),1)=1,"Name; ","")&amp;IF(IFERROR(IF(AND(LEN(E188)=10,ISNUMBER(VALUE(E188))),0,1),1)=1,"Phone; ","")&amp;IF(IFERROR(IF(AND(ISNUMBER(SEARCH("@",F188)),ISNUMBER(SEARCH(".",F188))),0,1),1)=1,"Email; ","")&amp;IF(IFERROR(IF(AND(LEN(J188)=6,ISNUMBER(VALUE(J188))),0,1),1)=1,"Pincode; ","")&amp;IF(IFERROR(IF(ISNUMBER(MATCH(TRIM(I188),Lists!$A$2:$A$20,0)),0,1),1)=1,"State; ","")&amp;IF(IFERROR(IF(AND(LEN(K188)=10,VALUE(LEFT(K188,FIND("/",K188)-1))&gt;=1,VALUE(LEFT(K188,FIND("/",K188)-1))&lt;=31,VALUE(LEFT(MID(K188,FIND("/",K188)+1,10),FIND("/",MID(K188,FIND("/",K188)+1,10))-1))&gt;=1,VALUE(LEFT(MID(K188,FIND("/",K188)+1,10),FIND("/",MID(K188,FIND("/",K188)+1,10))-1))&lt;=12,VALUE(LEFT(K188,FIND("/",K188)-1))&lt;=DAY(EOMONTH(DATE(VALUE(MID(MID(K188,FIND("/",K188)+1,10),FIND("/",MID(K188,FIND("/",K188)+1,10))+1,4)),VALUE(LEFT(MID(K188,FIND("/",K188)+1,10),FIND("/",MID(K188,FIND("/",K188)+1,10))-1)),1),0))),0,1),1)=1,"Date; ","")&amp;IF(IFERROR(IF(M188&gt;=0,0,1),1)=1,"Amount; ","")&amp;IF(IFERROR(IF(ISNUMBER(MATCH(N188,Lists!$B$2:$B$7,0)),0,1),1)=1,"Payment; ","")))</f>
        <v/>
      </c>
      <c r="R188" s="3" t="str">
        <f aca="false">IF(D188="","",IF(COUNTIFS($D$2:$D$701,D188,$E$2:$E$701,E188)&gt;1,"DUPLICATE","Unique"))</f>
        <v>Unique</v>
      </c>
    </row>
    <row r="189" customFormat="false" ht="15" hidden="false" customHeight="false" outlineLevel="0" collapsed="false">
      <c r="A189" s="3" t="n">
        <v>188</v>
      </c>
      <c r="B189" s="3" t="n">
        <v>4</v>
      </c>
      <c r="C189" s="3" t="s">
        <v>1443</v>
      </c>
      <c r="D189" s="3" t="s">
        <v>1444</v>
      </c>
      <c r="E189" s="3" t="s">
        <v>1445</v>
      </c>
      <c r="F189" s="3" t="s">
        <v>1446</v>
      </c>
      <c r="G189" s="3" t="s">
        <v>1447</v>
      </c>
      <c r="H189" s="3" t="s">
        <v>258</v>
      </c>
      <c r="I189" s="3" t="s">
        <v>63</v>
      </c>
      <c r="J189" s="3" t="s">
        <v>1448</v>
      </c>
      <c r="K189" s="3" t="s">
        <v>1449</v>
      </c>
      <c r="L189" s="3" t="s">
        <v>56</v>
      </c>
      <c r="M189" s="3" t="n">
        <v>13311.17</v>
      </c>
      <c r="N189" s="3" t="s">
        <v>46</v>
      </c>
      <c r="O189" s="3" t="n">
        <f aca="false">IFERROR(LEN(C189&amp;D189&amp;E189&amp;F189&amp;G189&amp;H189&amp;I189&amp;J189&amp;K189&amp;L189&amp;M189&amp;N189)/5,0)</f>
        <v>27.8</v>
      </c>
      <c r="P189" s="3" t="str">
        <f aca="false">IF(OR(D189="",C189=""),"",IF((IFERROR(IF(AND(TRIM(D189)=D189,LEN(D189)&gt;0),0,1),1)+IFERROR(IF(AND(LEN(E189)=10,ISNUMBER(VALUE(E189))),0,1),1)+IFERROR(IF(AND(ISNUMBER(SEARCH("@",F189)),ISNUMBER(SEARCH(".",F189))),0,1),1)+IFERROR(IF(AND(LEN(J189)=6,ISNUMBER(VALUE(J189))),0,1),1)+IFERROR(IF(ISNUMBER(MATCH(TRIM(I189),Lists!$A$2:$A$20,0)),0,1),1)+IFERROR(IF(AND(LEN(K189)=10,VALUE(LEFT(K189,FIND("/",K189)-1))&gt;=1,VALUE(LEFT(K189,FIND("/",K189)-1))&lt;=31,VALUE(LEFT(MID(K189,FIND("/",K189)+1,10),FIND("/",MID(K189,FIND("/",K189)+1,10))-1))&gt;=1,VALUE(LEFT(MID(K189,FIND("/",K189)+1,10),FIND("/",MID(K189,FIND("/",K189)+1,10))-1))&lt;=12,VALUE(LEFT(K189,FIND("/",K189)-1))&lt;=DAY(EOMONTH(DATE(VALUE(MID(MID(K189,FIND("/",K189)+1,10),FIND("/",MID(K189,FIND("/",K189)+1,10))+1,4)),VALUE(LEFT(MID(K189,FIND("/",K189)+1,10),FIND("/",MID(K189,FIND("/",K189)+1,10))-1)),1),0))),0,1),1)+IFERROR(IF(M189&gt;=0,0,1),1)+IFERROR(IF(ISNUMBER(MATCH(N189,Lists!$B$2:$B$7,0)),0,1),1))=0,"OK","ERROR"))</f>
        <v>OK</v>
      </c>
      <c r="Q189" s="3" t="str">
        <f aca="false">IF(D189="","",TRIM(IF(IFERROR(IF(AND(TRIM(D189)=D189,LEN(D189)&gt;0),0,1),1)=1,"Name; ","")&amp;IF(IFERROR(IF(AND(LEN(E189)=10,ISNUMBER(VALUE(E189))),0,1),1)=1,"Phone; ","")&amp;IF(IFERROR(IF(AND(ISNUMBER(SEARCH("@",F189)),ISNUMBER(SEARCH(".",F189))),0,1),1)=1,"Email; ","")&amp;IF(IFERROR(IF(AND(LEN(J189)=6,ISNUMBER(VALUE(J189))),0,1),1)=1,"Pincode; ","")&amp;IF(IFERROR(IF(ISNUMBER(MATCH(TRIM(I189),Lists!$A$2:$A$20,0)),0,1),1)=1,"State; ","")&amp;IF(IFERROR(IF(AND(LEN(K189)=10,VALUE(LEFT(K189,FIND("/",K189)-1))&gt;=1,VALUE(LEFT(K189,FIND("/",K189)-1))&lt;=31,VALUE(LEFT(MID(K189,FIND("/",K189)+1,10),FIND("/",MID(K189,FIND("/",K189)+1,10))-1))&gt;=1,VALUE(LEFT(MID(K189,FIND("/",K189)+1,10),FIND("/",MID(K189,FIND("/",K189)+1,10))-1))&lt;=12,VALUE(LEFT(K189,FIND("/",K189)-1))&lt;=DAY(EOMONTH(DATE(VALUE(MID(MID(K189,FIND("/",K189)+1,10),FIND("/",MID(K189,FIND("/",K189)+1,10))+1,4)),VALUE(LEFT(MID(K189,FIND("/",K189)+1,10),FIND("/",MID(K189,FIND("/",K189)+1,10))-1)),1),0))),0,1),1)=1,"Date; ","")&amp;IF(IFERROR(IF(M189&gt;=0,0,1),1)=1,"Amount; ","")&amp;IF(IFERROR(IF(ISNUMBER(MATCH(N189,Lists!$B$2:$B$7,0)),0,1),1)=1,"Payment; ","")))</f>
        <v/>
      </c>
      <c r="R189" s="3" t="str">
        <f aca="false">IF(D189="","",IF(COUNTIFS($D$2:$D$701,D189,$E$2:$E$701,E189)&gt;1,"DUPLICATE","Unique"))</f>
        <v>Unique</v>
      </c>
    </row>
    <row r="190" customFormat="false" ht="15" hidden="false" customHeight="false" outlineLevel="0" collapsed="false">
      <c r="A190" s="3" t="n">
        <v>189</v>
      </c>
      <c r="B190" s="3" t="n">
        <v>4</v>
      </c>
      <c r="C190" s="3" t="s">
        <v>1450</v>
      </c>
      <c r="D190" s="3" t="s">
        <v>1451</v>
      </c>
      <c r="E190" s="3" t="s">
        <v>1452</v>
      </c>
      <c r="F190" s="3" t="s">
        <v>1453</v>
      </c>
      <c r="G190" s="3" t="s">
        <v>1454</v>
      </c>
      <c r="H190" s="3" t="s">
        <v>227</v>
      </c>
      <c r="I190" s="3" t="s">
        <v>77</v>
      </c>
      <c r="J190" s="3" t="s">
        <v>1455</v>
      </c>
      <c r="K190" s="3" t="s">
        <v>1456</v>
      </c>
      <c r="L190" s="3" t="s">
        <v>41</v>
      </c>
      <c r="M190" s="3" t="n">
        <v>14839.7</v>
      </c>
      <c r="N190" s="3" t="s">
        <v>55</v>
      </c>
      <c r="O190" s="3" t="n">
        <f aca="false">IFERROR(LEN(C190&amp;D190&amp;E190&amp;F190&amp;G190&amp;H190&amp;I190&amp;J190&amp;K190&amp;L190&amp;M190&amp;N190)/5,0)</f>
        <v>27.4</v>
      </c>
      <c r="P190" s="3" t="str">
        <f aca="false">IF(OR(D190="",C190=""),"",IF((IFERROR(IF(AND(TRIM(D190)=D190,LEN(D190)&gt;0),0,1),1)+IFERROR(IF(AND(LEN(E190)=10,ISNUMBER(VALUE(E190))),0,1),1)+IFERROR(IF(AND(ISNUMBER(SEARCH("@",F190)),ISNUMBER(SEARCH(".",F190))),0,1),1)+IFERROR(IF(AND(LEN(J190)=6,ISNUMBER(VALUE(J190))),0,1),1)+IFERROR(IF(ISNUMBER(MATCH(TRIM(I190),Lists!$A$2:$A$20,0)),0,1),1)+IFERROR(IF(AND(LEN(K190)=10,VALUE(LEFT(K190,FIND("/",K190)-1))&gt;=1,VALUE(LEFT(K190,FIND("/",K190)-1))&lt;=31,VALUE(LEFT(MID(K190,FIND("/",K190)+1,10),FIND("/",MID(K190,FIND("/",K190)+1,10))-1))&gt;=1,VALUE(LEFT(MID(K190,FIND("/",K190)+1,10),FIND("/",MID(K190,FIND("/",K190)+1,10))-1))&lt;=12,VALUE(LEFT(K190,FIND("/",K190)-1))&lt;=DAY(EOMONTH(DATE(VALUE(MID(MID(K190,FIND("/",K190)+1,10),FIND("/",MID(K190,FIND("/",K190)+1,10))+1,4)),VALUE(LEFT(MID(K190,FIND("/",K190)+1,10),FIND("/",MID(K190,FIND("/",K190)+1,10))-1)),1),0))),0,1),1)+IFERROR(IF(M190&gt;=0,0,1),1)+IFERROR(IF(ISNUMBER(MATCH(N190,Lists!$B$2:$B$7,0)),0,1),1))=0,"OK","ERROR"))</f>
        <v>OK</v>
      </c>
      <c r="Q190" s="3" t="str">
        <f aca="false">IF(D190="","",TRIM(IF(IFERROR(IF(AND(TRIM(D190)=D190,LEN(D190)&gt;0),0,1),1)=1,"Name; ","")&amp;IF(IFERROR(IF(AND(LEN(E190)=10,ISNUMBER(VALUE(E190))),0,1),1)=1,"Phone; ","")&amp;IF(IFERROR(IF(AND(ISNUMBER(SEARCH("@",F190)),ISNUMBER(SEARCH(".",F190))),0,1),1)=1,"Email; ","")&amp;IF(IFERROR(IF(AND(LEN(J190)=6,ISNUMBER(VALUE(J190))),0,1),1)=1,"Pincode; ","")&amp;IF(IFERROR(IF(ISNUMBER(MATCH(TRIM(I190),Lists!$A$2:$A$20,0)),0,1),1)=1,"State; ","")&amp;IF(IFERROR(IF(AND(LEN(K190)=10,VALUE(LEFT(K190,FIND("/",K190)-1))&gt;=1,VALUE(LEFT(K190,FIND("/",K190)-1))&lt;=31,VALUE(LEFT(MID(K190,FIND("/",K190)+1,10),FIND("/",MID(K190,FIND("/",K190)+1,10))-1))&gt;=1,VALUE(LEFT(MID(K190,FIND("/",K190)+1,10),FIND("/",MID(K190,FIND("/",K190)+1,10))-1))&lt;=12,VALUE(LEFT(K190,FIND("/",K190)-1))&lt;=DAY(EOMONTH(DATE(VALUE(MID(MID(K190,FIND("/",K190)+1,10),FIND("/",MID(K190,FIND("/",K190)+1,10))+1,4)),VALUE(LEFT(MID(K190,FIND("/",K190)+1,10),FIND("/",MID(K190,FIND("/",K190)+1,10))-1)),1),0))),0,1),1)=1,"Date; ","")&amp;IF(IFERROR(IF(M190&gt;=0,0,1),1)=1,"Amount; ","")&amp;IF(IFERROR(IF(ISNUMBER(MATCH(N190,Lists!$B$2:$B$7,0)),0,1),1)=1,"Payment; ","")))</f>
        <v/>
      </c>
      <c r="R190" s="3" t="str">
        <f aca="false">IF(D190="","",IF(COUNTIFS($D$2:$D$701,D190,$E$2:$E$701,E190)&gt;1,"DUPLICATE","Unique"))</f>
        <v>Unique</v>
      </c>
    </row>
    <row r="191" customFormat="false" ht="15" hidden="false" customHeight="false" outlineLevel="0" collapsed="false">
      <c r="A191" s="3" t="n">
        <v>190</v>
      </c>
      <c r="B191" s="3" t="n">
        <v>4</v>
      </c>
      <c r="C191" s="3" t="s">
        <v>1457</v>
      </c>
      <c r="D191" s="3" t="s">
        <v>1458</v>
      </c>
      <c r="E191" s="3" t="s">
        <v>1459</v>
      </c>
      <c r="F191" s="3" t="s">
        <v>1460</v>
      </c>
      <c r="G191" s="3" t="s">
        <v>1461</v>
      </c>
      <c r="H191" s="3" t="s">
        <v>826</v>
      </c>
      <c r="I191" s="3" t="s">
        <v>78</v>
      </c>
      <c r="J191" s="3" t="s">
        <v>1462</v>
      </c>
      <c r="K191" s="3" t="s">
        <v>1463</v>
      </c>
      <c r="L191" s="3" t="s">
        <v>44</v>
      </c>
      <c r="M191" s="3" t="n">
        <v>6320.01</v>
      </c>
      <c r="N191" s="3" t="s">
        <v>52</v>
      </c>
      <c r="O191" s="3" t="n">
        <f aca="false">IFERROR(LEN(C191&amp;D191&amp;E191&amp;F191&amp;G191&amp;H191&amp;I191&amp;J191&amp;K191&amp;L191&amp;M191&amp;N191)/5,0)</f>
        <v>26.8</v>
      </c>
      <c r="P191" s="3" t="str">
        <f aca="false">IF(OR(D191="",C191=""),"",IF((IFERROR(IF(AND(TRIM(D191)=D191,LEN(D191)&gt;0),0,1),1)+IFERROR(IF(AND(LEN(E191)=10,ISNUMBER(VALUE(E191))),0,1),1)+IFERROR(IF(AND(ISNUMBER(SEARCH("@",F191)),ISNUMBER(SEARCH(".",F191))),0,1),1)+IFERROR(IF(AND(LEN(J191)=6,ISNUMBER(VALUE(J191))),0,1),1)+IFERROR(IF(ISNUMBER(MATCH(TRIM(I191),Lists!$A$2:$A$20,0)),0,1),1)+IFERROR(IF(AND(LEN(K191)=10,VALUE(LEFT(K191,FIND("/",K191)-1))&gt;=1,VALUE(LEFT(K191,FIND("/",K191)-1))&lt;=31,VALUE(LEFT(MID(K191,FIND("/",K191)+1,10),FIND("/",MID(K191,FIND("/",K191)+1,10))-1))&gt;=1,VALUE(LEFT(MID(K191,FIND("/",K191)+1,10),FIND("/",MID(K191,FIND("/",K191)+1,10))-1))&lt;=12,VALUE(LEFT(K191,FIND("/",K191)-1))&lt;=DAY(EOMONTH(DATE(VALUE(MID(MID(K191,FIND("/",K191)+1,10),FIND("/",MID(K191,FIND("/",K191)+1,10))+1,4)),VALUE(LEFT(MID(K191,FIND("/",K191)+1,10),FIND("/",MID(K191,FIND("/",K191)+1,10))-1)),1),0))),0,1),1)+IFERROR(IF(M191&gt;=0,0,1),1)+IFERROR(IF(ISNUMBER(MATCH(N191,Lists!$B$2:$B$7,0)),0,1),1))=0,"OK","ERROR"))</f>
        <v>OK</v>
      </c>
      <c r="Q191" s="3" t="str">
        <f aca="false">IF(D191="","",TRIM(IF(IFERROR(IF(AND(TRIM(D191)=D191,LEN(D191)&gt;0),0,1),1)=1,"Name; ","")&amp;IF(IFERROR(IF(AND(LEN(E191)=10,ISNUMBER(VALUE(E191))),0,1),1)=1,"Phone; ","")&amp;IF(IFERROR(IF(AND(ISNUMBER(SEARCH("@",F191)),ISNUMBER(SEARCH(".",F191))),0,1),1)=1,"Email; ","")&amp;IF(IFERROR(IF(AND(LEN(J191)=6,ISNUMBER(VALUE(J191))),0,1),1)=1,"Pincode; ","")&amp;IF(IFERROR(IF(ISNUMBER(MATCH(TRIM(I191),Lists!$A$2:$A$20,0)),0,1),1)=1,"State; ","")&amp;IF(IFERROR(IF(AND(LEN(K191)=10,VALUE(LEFT(K191,FIND("/",K191)-1))&gt;=1,VALUE(LEFT(K191,FIND("/",K191)-1))&lt;=31,VALUE(LEFT(MID(K191,FIND("/",K191)+1,10),FIND("/",MID(K191,FIND("/",K191)+1,10))-1))&gt;=1,VALUE(LEFT(MID(K191,FIND("/",K191)+1,10),FIND("/",MID(K191,FIND("/",K191)+1,10))-1))&lt;=12,VALUE(LEFT(K191,FIND("/",K191)-1))&lt;=DAY(EOMONTH(DATE(VALUE(MID(MID(K191,FIND("/",K191)+1,10),FIND("/",MID(K191,FIND("/",K191)+1,10))+1,4)),VALUE(LEFT(MID(K191,FIND("/",K191)+1,10),FIND("/",MID(K191,FIND("/",K191)+1,10))-1)),1),0))),0,1),1)=1,"Date; ","")&amp;IF(IFERROR(IF(M191&gt;=0,0,1),1)=1,"Amount; ","")&amp;IF(IFERROR(IF(ISNUMBER(MATCH(N191,Lists!$B$2:$B$7,0)),0,1),1)=1,"Payment; ","")))</f>
        <v/>
      </c>
      <c r="R191" s="3" t="str">
        <f aca="false">IF(D191="","",IF(COUNTIFS($D$2:$D$701,D191,$E$2:$E$701,E191)&gt;1,"DUPLICATE","Unique"))</f>
        <v>Unique</v>
      </c>
    </row>
    <row r="192" customFormat="false" ht="15" hidden="false" customHeight="false" outlineLevel="0" collapsed="false">
      <c r="A192" s="3" t="n">
        <v>191</v>
      </c>
      <c r="B192" s="3" t="n">
        <v>4</v>
      </c>
      <c r="C192" s="3" t="s">
        <v>1464</v>
      </c>
      <c r="D192" s="3" t="s">
        <v>1465</v>
      </c>
      <c r="E192" s="3" t="s">
        <v>1466</v>
      </c>
      <c r="F192" s="3" t="s">
        <v>1467</v>
      </c>
      <c r="G192" s="3" t="s">
        <v>1468</v>
      </c>
      <c r="H192" s="3" t="s">
        <v>428</v>
      </c>
      <c r="I192" s="3" t="s">
        <v>65</v>
      </c>
      <c r="J192" s="3" t="s">
        <v>1469</v>
      </c>
      <c r="K192" s="3" t="s">
        <v>1470</v>
      </c>
      <c r="L192" s="3" t="s">
        <v>50</v>
      </c>
      <c r="M192" s="3" t="n">
        <v>3373.05</v>
      </c>
      <c r="N192" s="3" t="s">
        <v>52</v>
      </c>
      <c r="O192" s="3" t="n">
        <f aca="false">IFERROR(LEN(C192&amp;D192&amp;E192&amp;F192&amp;G192&amp;H192&amp;I192&amp;J192&amp;K192&amp;L192&amp;M192&amp;N192)/5,0)</f>
        <v>28.8</v>
      </c>
      <c r="P192" s="3" t="str">
        <f aca="false">IF(OR(D192="",C192=""),"",IF((IFERROR(IF(AND(TRIM(D192)=D192,LEN(D192)&gt;0),0,1),1)+IFERROR(IF(AND(LEN(E192)=10,ISNUMBER(VALUE(E192))),0,1),1)+IFERROR(IF(AND(ISNUMBER(SEARCH("@",F192)),ISNUMBER(SEARCH(".",F192))),0,1),1)+IFERROR(IF(AND(LEN(J192)=6,ISNUMBER(VALUE(J192))),0,1),1)+IFERROR(IF(ISNUMBER(MATCH(TRIM(I192),Lists!$A$2:$A$20,0)),0,1),1)+IFERROR(IF(AND(LEN(K192)=10,VALUE(LEFT(K192,FIND("/",K192)-1))&gt;=1,VALUE(LEFT(K192,FIND("/",K192)-1))&lt;=31,VALUE(LEFT(MID(K192,FIND("/",K192)+1,10),FIND("/",MID(K192,FIND("/",K192)+1,10))-1))&gt;=1,VALUE(LEFT(MID(K192,FIND("/",K192)+1,10),FIND("/",MID(K192,FIND("/",K192)+1,10))-1))&lt;=12,VALUE(LEFT(K192,FIND("/",K192)-1))&lt;=DAY(EOMONTH(DATE(VALUE(MID(MID(K192,FIND("/",K192)+1,10),FIND("/",MID(K192,FIND("/",K192)+1,10))+1,4)),VALUE(LEFT(MID(K192,FIND("/",K192)+1,10),FIND("/",MID(K192,FIND("/",K192)+1,10))-1)),1),0))),0,1),1)+IFERROR(IF(M192&gt;=0,0,1),1)+IFERROR(IF(ISNUMBER(MATCH(N192,Lists!$B$2:$B$7,0)),0,1),1))=0,"OK","ERROR"))</f>
        <v>OK</v>
      </c>
      <c r="Q192" s="3" t="str">
        <f aca="false">IF(D192="","",TRIM(IF(IFERROR(IF(AND(TRIM(D192)=D192,LEN(D192)&gt;0),0,1),1)=1,"Name; ","")&amp;IF(IFERROR(IF(AND(LEN(E192)=10,ISNUMBER(VALUE(E192))),0,1),1)=1,"Phone; ","")&amp;IF(IFERROR(IF(AND(ISNUMBER(SEARCH("@",F192)),ISNUMBER(SEARCH(".",F192))),0,1),1)=1,"Email; ","")&amp;IF(IFERROR(IF(AND(LEN(J192)=6,ISNUMBER(VALUE(J192))),0,1),1)=1,"Pincode; ","")&amp;IF(IFERROR(IF(ISNUMBER(MATCH(TRIM(I192),Lists!$A$2:$A$20,0)),0,1),1)=1,"State; ","")&amp;IF(IFERROR(IF(AND(LEN(K192)=10,VALUE(LEFT(K192,FIND("/",K192)-1))&gt;=1,VALUE(LEFT(K192,FIND("/",K192)-1))&lt;=31,VALUE(LEFT(MID(K192,FIND("/",K192)+1,10),FIND("/",MID(K192,FIND("/",K192)+1,10))-1))&gt;=1,VALUE(LEFT(MID(K192,FIND("/",K192)+1,10),FIND("/",MID(K192,FIND("/",K192)+1,10))-1))&lt;=12,VALUE(LEFT(K192,FIND("/",K192)-1))&lt;=DAY(EOMONTH(DATE(VALUE(MID(MID(K192,FIND("/",K192)+1,10),FIND("/",MID(K192,FIND("/",K192)+1,10))+1,4)),VALUE(LEFT(MID(K192,FIND("/",K192)+1,10),FIND("/",MID(K192,FIND("/",K192)+1,10))-1)),1),0))),0,1),1)=1,"Date; ","")&amp;IF(IFERROR(IF(M192&gt;=0,0,1),1)=1,"Amount; ","")&amp;IF(IFERROR(IF(ISNUMBER(MATCH(N192,Lists!$B$2:$B$7,0)),0,1),1)=1,"Payment; ","")))</f>
        <v/>
      </c>
      <c r="R192" s="3" t="str">
        <f aca="false">IF(D192="","",IF(COUNTIFS($D$2:$D$701,D192,$E$2:$E$701,E192)&gt;1,"DUPLICATE","Unique"))</f>
        <v>Unique</v>
      </c>
    </row>
    <row r="193" customFormat="false" ht="15" hidden="false" customHeight="false" outlineLevel="0" collapsed="false">
      <c r="A193" s="3" t="n">
        <v>192</v>
      </c>
      <c r="B193" s="3" t="n">
        <v>4</v>
      </c>
      <c r="C193" s="3" t="s">
        <v>1471</v>
      </c>
      <c r="D193" s="3" t="s">
        <v>1472</v>
      </c>
      <c r="E193" s="3" t="s">
        <v>1473</v>
      </c>
      <c r="F193" s="3" t="s">
        <v>1474</v>
      </c>
      <c r="G193" s="3" t="s">
        <v>1475</v>
      </c>
      <c r="H193" s="3" t="s">
        <v>258</v>
      </c>
      <c r="I193" s="3" t="s">
        <v>63</v>
      </c>
      <c r="J193" s="3" t="s">
        <v>1476</v>
      </c>
      <c r="K193" s="3" t="s">
        <v>1477</v>
      </c>
      <c r="L193" s="3" t="s">
        <v>41</v>
      </c>
      <c r="M193" s="3" t="n">
        <v>6216.75</v>
      </c>
      <c r="N193" s="3" t="s">
        <v>40</v>
      </c>
      <c r="O193" s="3" t="n">
        <f aca="false">IFERROR(LEN(C193&amp;D193&amp;E193&amp;F193&amp;G193&amp;H193&amp;I193&amp;J193&amp;K193&amp;L193&amp;M193&amp;N193)/5,0)</f>
        <v>28.4</v>
      </c>
      <c r="P193" s="3" t="str">
        <f aca="false">IF(OR(D193="",C193=""),"",IF((IFERROR(IF(AND(TRIM(D193)=D193,LEN(D193)&gt;0),0,1),1)+IFERROR(IF(AND(LEN(E193)=10,ISNUMBER(VALUE(E193))),0,1),1)+IFERROR(IF(AND(ISNUMBER(SEARCH("@",F193)),ISNUMBER(SEARCH(".",F193))),0,1),1)+IFERROR(IF(AND(LEN(J193)=6,ISNUMBER(VALUE(J193))),0,1),1)+IFERROR(IF(ISNUMBER(MATCH(TRIM(I193),Lists!$A$2:$A$20,0)),0,1),1)+IFERROR(IF(AND(LEN(K193)=10,VALUE(LEFT(K193,FIND("/",K193)-1))&gt;=1,VALUE(LEFT(K193,FIND("/",K193)-1))&lt;=31,VALUE(LEFT(MID(K193,FIND("/",K193)+1,10),FIND("/",MID(K193,FIND("/",K193)+1,10))-1))&gt;=1,VALUE(LEFT(MID(K193,FIND("/",K193)+1,10),FIND("/",MID(K193,FIND("/",K193)+1,10))-1))&lt;=12,VALUE(LEFT(K193,FIND("/",K193)-1))&lt;=DAY(EOMONTH(DATE(VALUE(MID(MID(K193,FIND("/",K193)+1,10),FIND("/",MID(K193,FIND("/",K193)+1,10))+1,4)),VALUE(LEFT(MID(K193,FIND("/",K193)+1,10),FIND("/",MID(K193,FIND("/",K193)+1,10))-1)),1),0))),0,1),1)+IFERROR(IF(M193&gt;=0,0,1),1)+IFERROR(IF(ISNUMBER(MATCH(N193,Lists!$B$2:$B$7,0)),0,1),1))=0,"OK","ERROR"))</f>
        <v>OK</v>
      </c>
      <c r="Q193" s="3" t="str">
        <f aca="false">IF(D193="","",TRIM(IF(IFERROR(IF(AND(TRIM(D193)=D193,LEN(D193)&gt;0),0,1),1)=1,"Name; ","")&amp;IF(IFERROR(IF(AND(LEN(E193)=10,ISNUMBER(VALUE(E193))),0,1),1)=1,"Phone; ","")&amp;IF(IFERROR(IF(AND(ISNUMBER(SEARCH("@",F193)),ISNUMBER(SEARCH(".",F193))),0,1),1)=1,"Email; ","")&amp;IF(IFERROR(IF(AND(LEN(J193)=6,ISNUMBER(VALUE(J193))),0,1),1)=1,"Pincode; ","")&amp;IF(IFERROR(IF(ISNUMBER(MATCH(TRIM(I193),Lists!$A$2:$A$20,0)),0,1),1)=1,"State; ","")&amp;IF(IFERROR(IF(AND(LEN(K193)=10,VALUE(LEFT(K193,FIND("/",K193)-1))&gt;=1,VALUE(LEFT(K193,FIND("/",K193)-1))&lt;=31,VALUE(LEFT(MID(K193,FIND("/",K193)+1,10),FIND("/",MID(K193,FIND("/",K193)+1,10))-1))&gt;=1,VALUE(LEFT(MID(K193,FIND("/",K193)+1,10),FIND("/",MID(K193,FIND("/",K193)+1,10))-1))&lt;=12,VALUE(LEFT(K193,FIND("/",K193)-1))&lt;=DAY(EOMONTH(DATE(VALUE(MID(MID(K193,FIND("/",K193)+1,10),FIND("/",MID(K193,FIND("/",K193)+1,10))+1,4)),VALUE(LEFT(MID(K193,FIND("/",K193)+1,10),FIND("/",MID(K193,FIND("/",K193)+1,10))-1)),1),0))),0,1),1)=1,"Date; ","")&amp;IF(IFERROR(IF(M193&gt;=0,0,1),1)=1,"Amount; ","")&amp;IF(IFERROR(IF(ISNUMBER(MATCH(N193,Lists!$B$2:$B$7,0)),0,1),1)=1,"Payment; ","")))</f>
        <v/>
      </c>
      <c r="R193" s="3" t="str">
        <f aca="false">IF(D193="","",IF(COUNTIFS($D$2:$D$701,D193,$E$2:$E$701,E193)&gt;1,"DUPLICATE","Unique"))</f>
        <v>Unique</v>
      </c>
    </row>
    <row r="194" customFormat="false" ht="15" hidden="false" customHeight="false" outlineLevel="0" collapsed="false">
      <c r="A194" s="3" t="n">
        <v>193</v>
      </c>
      <c r="B194" s="3" t="n">
        <v>4</v>
      </c>
      <c r="C194" s="3" t="s">
        <v>1478</v>
      </c>
      <c r="D194" s="3" t="s">
        <v>1479</v>
      </c>
      <c r="E194" s="3" t="s">
        <v>1480</v>
      </c>
      <c r="F194" s="3" t="s">
        <v>1481</v>
      </c>
      <c r="G194" s="3" t="s">
        <v>1482</v>
      </c>
      <c r="H194" s="3" t="s">
        <v>370</v>
      </c>
      <c r="I194" s="3" t="s">
        <v>42</v>
      </c>
      <c r="J194" s="3" t="s">
        <v>1483</v>
      </c>
      <c r="K194" s="3" t="s">
        <v>1484</v>
      </c>
      <c r="L194" s="3" t="s">
        <v>62</v>
      </c>
      <c r="M194" s="3" t="n">
        <v>12591.05</v>
      </c>
      <c r="N194" s="3" t="s">
        <v>55</v>
      </c>
      <c r="O194" s="3" t="n">
        <f aca="false">IFERROR(LEN(C194&amp;D194&amp;E194&amp;F194&amp;G194&amp;H194&amp;I194&amp;J194&amp;K194&amp;L194&amp;M194&amp;N194)/5,0)</f>
        <v>26.2</v>
      </c>
      <c r="P194" s="3" t="str">
        <f aca="false">IF(OR(D194="",C194=""),"",IF((IFERROR(IF(AND(TRIM(D194)=D194,LEN(D194)&gt;0),0,1),1)+IFERROR(IF(AND(LEN(E194)=10,ISNUMBER(VALUE(E194))),0,1),1)+IFERROR(IF(AND(ISNUMBER(SEARCH("@",F194)),ISNUMBER(SEARCH(".",F194))),0,1),1)+IFERROR(IF(AND(LEN(J194)=6,ISNUMBER(VALUE(J194))),0,1),1)+IFERROR(IF(ISNUMBER(MATCH(TRIM(I194),Lists!$A$2:$A$20,0)),0,1),1)+IFERROR(IF(AND(LEN(K194)=10,VALUE(LEFT(K194,FIND("/",K194)-1))&gt;=1,VALUE(LEFT(K194,FIND("/",K194)-1))&lt;=31,VALUE(LEFT(MID(K194,FIND("/",K194)+1,10),FIND("/",MID(K194,FIND("/",K194)+1,10))-1))&gt;=1,VALUE(LEFT(MID(K194,FIND("/",K194)+1,10),FIND("/",MID(K194,FIND("/",K194)+1,10))-1))&lt;=12,VALUE(LEFT(K194,FIND("/",K194)-1))&lt;=DAY(EOMONTH(DATE(VALUE(MID(MID(K194,FIND("/",K194)+1,10),FIND("/",MID(K194,FIND("/",K194)+1,10))+1,4)),VALUE(LEFT(MID(K194,FIND("/",K194)+1,10),FIND("/",MID(K194,FIND("/",K194)+1,10))-1)),1),0))),0,1),1)+IFERROR(IF(M194&gt;=0,0,1),1)+IFERROR(IF(ISNUMBER(MATCH(N194,Lists!$B$2:$B$7,0)),0,1),1))=0,"OK","ERROR"))</f>
        <v>OK</v>
      </c>
      <c r="Q194" s="3" t="str">
        <f aca="false">IF(D194="","",TRIM(IF(IFERROR(IF(AND(TRIM(D194)=D194,LEN(D194)&gt;0),0,1),1)=1,"Name; ","")&amp;IF(IFERROR(IF(AND(LEN(E194)=10,ISNUMBER(VALUE(E194))),0,1),1)=1,"Phone; ","")&amp;IF(IFERROR(IF(AND(ISNUMBER(SEARCH("@",F194)),ISNUMBER(SEARCH(".",F194))),0,1),1)=1,"Email; ","")&amp;IF(IFERROR(IF(AND(LEN(J194)=6,ISNUMBER(VALUE(J194))),0,1),1)=1,"Pincode; ","")&amp;IF(IFERROR(IF(ISNUMBER(MATCH(TRIM(I194),Lists!$A$2:$A$20,0)),0,1),1)=1,"State; ","")&amp;IF(IFERROR(IF(AND(LEN(K194)=10,VALUE(LEFT(K194,FIND("/",K194)-1))&gt;=1,VALUE(LEFT(K194,FIND("/",K194)-1))&lt;=31,VALUE(LEFT(MID(K194,FIND("/",K194)+1,10),FIND("/",MID(K194,FIND("/",K194)+1,10))-1))&gt;=1,VALUE(LEFT(MID(K194,FIND("/",K194)+1,10),FIND("/",MID(K194,FIND("/",K194)+1,10))-1))&lt;=12,VALUE(LEFT(K194,FIND("/",K194)-1))&lt;=DAY(EOMONTH(DATE(VALUE(MID(MID(K194,FIND("/",K194)+1,10),FIND("/",MID(K194,FIND("/",K194)+1,10))+1,4)),VALUE(LEFT(MID(K194,FIND("/",K194)+1,10),FIND("/",MID(K194,FIND("/",K194)+1,10))-1)),1),0))),0,1),1)=1,"Date; ","")&amp;IF(IFERROR(IF(M194&gt;=0,0,1),1)=1,"Amount; ","")&amp;IF(IFERROR(IF(ISNUMBER(MATCH(N194,Lists!$B$2:$B$7,0)),0,1),1)=1,"Payment; ","")))</f>
        <v/>
      </c>
      <c r="R194" s="3" t="str">
        <f aca="false">IF(D194="","",IF(COUNTIFS($D$2:$D$701,D194,$E$2:$E$701,E194)&gt;1,"DUPLICATE","Unique"))</f>
        <v>Unique</v>
      </c>
    </row>
    <row r="195" customFormat="false" ht="15" hidden="false" customHeight="false" outlineLevel="0" collapsed="false">
      <c r="A195" s="3" t="n">
        <v>194</v>
      </c>
      <c r="B195" s="3" t="n">
        <v>4</v>
      </c>
      <c r="C195" s="3" t="s">
        <v>1485</v>
      </c>
      <c r="D195" s="3" t="s">
        <v>1486</v>
      </c>
      <c r="E195" s="3" t="s">
        <v>1487</v>
      </c>
      <c r="F195" s="3" t="s">
        <v>1488</v>
      </c>
      <c r="G195" s="3" t="s">
        <v>1489</v>
      </c>
      <c r="H195" s="3" t="s">
        <v>258</v>
      </c>
      <c r="I195" s="3" t="s">
        <v>63</v>
      </c>
      <c r="J195" s="3" t="s">
        <v>1490</v>
      </c>
      <c r="K195" s="3" t="s">
        <v>1491</v>
      </c>
      <c r="L195" s="3" t="s">
        <v>53</v>
      </c>
      <c r="M195" s="3" t="n">
        <v>7290.28</v>
      </c>
      <c r="N195" s="3" t="s">
        <v>55</v>
      </c>
      <c r="O195" s="3" t="n">
        <f aca="false">IFERROR(LEN(C195&amp;D195&amp;E195&amp;F195&amp;G195&amp;H195&amp;I195&amp;J195&amp;K195&amp;L195&amp;M195&amp;N195)/5,0)</f>
        <v>25.8</v>
      </c>
      <c r="P195" s="3" t="str">
        <f aca="false">IF(OR(D195="",C195=""),"",IF((IFERROR(IF(AND(TRIM(D195)=D195,LEN(D195)&gt;0),0,1),1)+IFERROR(IF(AND(LEN(E195)=10,ISNUMBER(VALUE(E195))),0,1),1)+IFERROR(IF(AND(ISNUMBER(SEARCH("@",F195)),ISNUMBER(SEARCH(".",F195))),0,1),1)+IFERROR(IF(AND(LEN(J195)=6,ISNUMBER(VALUE(J195))),0,1),1)+IFERROR(IF(ISNUMBER(MATCH(TRIM(I195),Lists!$A$2:$A$20,0)),0,1),1)+IFERROR(IF(AND(LEN(K195)=10,VALUE(LEFT(K195,FIND("/",K195)-1))&gt;=1,VALUE(LEFT(K195,FIND("/",K195)-1))&lt;=31,VALUE(LEFT(MID(K195,FIND("/",K195)+1,10),FIND("/",MID(K195,FIND("/",K195)+1,10))-1))&gt;=1,VALUE(LEFT(MID(K195,FIND("/",K195)+1,10),FIND("/",MID(K195,FIND("/",K195)+1,10))-1))&lt;=12,VALUE(LEFT(K195,FIND("/",K195)-1))&lt;=DAY(EOMONTH(DATE(VALUE(MID(MID(K195,FIND("/",K195)+1,10),FIND("/",MID(K195,FIND("/",K195)+1,10))+1,4)),VALUE(LEFT(MID(K195,FIND("/",K195)+1,10),FIND("/",MID(K195,FIND("/",K195)+1,10))-1)),1),0))),0,1),1)+IFERROR(IF(M195&gt;=0,0,1),1)+IFERROR(IF(ISNUMBER(MATCH(N195,Lists!$B$2:$B$7,0)),0,1),1))=0,"OK","ERROR"))</f>
        <v>OK</v>
      </c>
      <c r="Q195" s="3" t="str">
        <f aca="false">IF(D195="","",TRIM(IF(IFERROR(IF(AND(TRIM(D195)=D195,LEN(D195)&gt;0),0,1),1)=1,"Name; ","")&amp;IF(IFERROR(IF(AND(LEN(E195)=10,ISNUMBER(VALUE(E195))),0,1),1)=1,"Phone; ","")&amp;IF(IFERROR(IF(AND(ISNUMBER(SEARCH("@",F195)),ISNUMBER(SEARCH(".",F195))),0,1),1)=1,"Email; ","")&amp;IF(IFERROR(IF(AND(LEN(J195)=6,ISNUMBER(VALUE(J195))),0,1),1)=1,"Pincode; ","")&amp;IF(IFERROR(IF(ISNUMBER(MATCH(TRIM(I195),Lists!$A$2:$A$20,0)),0,1),1)=1,"State; ","")&amp;IF(IFERROR(IF(AND(LEN(K195)=10,VALUE(LEFT(K195,FIND("/",K195)-1))&gt;=1,VALUE(LEFT(K195,FIND("/",K195)-1))&lt;=31,VALUE(LEFT(MID(K195,FIND("/",K195)+1,10),FIND("/",MID(K195,FIND("/",K195)+1,10))-1))&gt;=1,VALUE(LEFT(MID(K195,FIND("/",K195)+1,10),FIND("/",MID(K195,FIND("/",K195)+1,10))-1))&lt;=12,VALUE(LEFT(K195,FIND("/",K195)-1))&lt;=DAY(EOMONTH(DATE(VALUE(MID(MID(K195,FIND("/",K195)+1,10),FIND("/",MID(K195,FIND("/",K195)+1,10))+1,4)),VALUE(LEFT(MID(K195,FIND("/",K195)+1,10),FIND("/",MID(K195,FIND("/",K195)+1,10))-1)),1),0))),0,1),1)=1,"Date; ","")&amp;IF(IFERROR(IF(M195&gt;=0,0,1),1)=1,"Amount; ","")&amp;IF(IFERROR(IF(ISNUMBER(MATCH(N195,Lists!$B$2:$B$7,0)),0,1),1)=1,"Payment; ","")))</f>
        <v/>
      </c>
      <c r="R195" s="3" t="str">
        <f aca="false">IF(D195="","",IF(COUNTIFS($D$2:$D$701,D195,$E$2:$E$701,E195)&gt;1,"DUPLICATE","Unique"))</f>
        <v>Unique</v>
      </c>
    </row>
    <row r="196" customFormat="false" ht="15" hidden="false" customHeight="false" outlineLevel="0" collapsed="false">
      <c r="A196" s="3" t="n">
        <v>195</v>
      </c>
      <c r="B196" s="3" t="n">
        <v>4</v>
      </c>
      <c r="C196" s="3" t="s">
        <v>1492</v>
      </c>
      <c r="D196" s="3" t="s">
        <v>1493</v>
      </c>
      <c r="E196" s="3" t="s">
        <v>1494</v>
      </c>
      <c r="F196" s="3" t="s">
        <v>1495</v>
      </c>
      <c r="G196" s="3" t="s">
        <v>1496</v>
      </c>
      <c r="H196" s="3" t="s">
        <v>189</v>
      </c>
      <c r="I196" s="3" t="s">
        <v>45</v>
      </c>
      <c r="J196" s="3" t="s">
        <v>1497</v>
      </c>
      <c r="K196" s="3" t="s">
        <v>1498</v>
      </c>
      <c r="L196" s="3" t="s">
        <v>74</v>
      </c>
      <c r="M196" s="3" t="n">
        <v>5296.55</v>
      </c>
      <c r="N196" s="3" t="s">
        <v>40</v>
      </c>
      <c r="O196" s="3" t="n">
        <f aca="false">IFERROR(LEN(C196&amp;D196&amp;E196&amp;F196&amp;G196&amp;H196&amp;I196&amp;J196&amp;K196&amp;L196&amp;M196&amp;N196)/5,0)</f>
        <v>23.8</v>
      </c>
      <c r="P196" s="3" t="str">
        <f aca="false">IF(OR(D196="",C196=""),"",IF((IFERROR(IF(AND(TRIM(D196)=D196,LEN(D196)&gt;0),0,1),1)+IFERROR(IF(AND(LEN(E196)=10,ISNUMBER(VALUE(E196))),0,1),1)+IFERROR(IF(AND(ISNUMBER(SEARCH("@",F196)),ISNUMBER(SEARCH(".",F196))),0,1),1)+IFERROR(IF(AND(LEN(J196)=6,ISNUMBER(VALUE(J196))),0,1),1)+IFERROR(IF(ISNUMBER(MATCH(TRIM(I196),Lists!$A$2:$A$20,0)),0,1),1)+IFERROR(IF(AND(LEN(K196)=10,VALUE(LEFT(K196,FIND("/",K196)-1))&gt;=1,VALUE(LEFT(K196,FIND("/",K196)-1))&lt;=31,VALUE(LEFT(MID(K196,FIND("/",K196)+1,10),FIND("/",MID(K196,FIND("/",K196)+1,10))-1))&gt;=1,VALUE(LEFT(MID(K196,FIND("/",K196)+1,10),FIND("/",MID(K196,FIND("/",K196)+1,10))-1))&lt;=12,VALUE(LEFT(K196,FIND("/",K196)-1))&lt;=DAY(EOMONTH(DATE(VALUE(MID(MID(K196,FIND("/",K196)+1,10),FIND("/",MID(K196,FIND("/",K196)+1,10))+1,4)),VALUE(LEFT(MID(K196,FIND("/",K196)+1,10),FIND("/",MID(K196,FIND("/",K196)+1,10))-1)),1),0))),0,1),1)+IFERROR(IF(M196&gt;=0,0,1),1)+IFERROR(IF(ISNUMBER(MATCH(N196,Lists!$B$2:$B$7,0)),0,1),1))=0,"OK","ERROR"))</f>
        <v>OK</v>
      </c>
      <c r="Q196" s="3" t="str">
        <f aca="false">IF(D196="","",TRIM(IF(IFERROR(IF(AND(TRIM(D196)=D196,LEN(D196)&gt;0),0,1),1)=1,"Name; ","")&amp;IF(IFERROR(IF(AND(LEN(E196)=10,ISNUMBER(VALUE(E196))),0,1),1)=1,"Phone; ","")&amp;IF(IFERROR(IF(AND(ISNUMBER(SEARCH("@",F196)),ISNUMBER(SEARCH(".",F196))),0,1),1)=1,"Email; ","")&amp;IF(IFERROR(IF(AND(LEN(J196)=6,ISNUMBER(VALUE(J196))),0,1),1)=1,"Pincode; ","")&amp;IF(IFERROR(IF(ISNUMBER(MATCH(TRIM(I196),Lists!$A$2:$A$20,0)),0,1),1)=1,"State; ","")&amp;IF(IFERROR(IF(AND(LEN(K196)=10,VALUE(LEFT(K196,FIND("/",K196)-1))&gt;=1,VALUE(LEFT(K196,FIND("/",K196)-1))&lt;=31,VALUE(LEFT(MID(K196,FIND("/",K196)+1,10),FIND("/",MID(K196,FIND("/",K196)+1,10))-1))&gt;=1,VALUE(LEFT(MID(K196,FIND("/",K196)+1,10),FIND("/",MID(K196,FIND("/",K196)+1,10))-1))&lt;=12,VALUE(LEFT(K196,FIND("/",K196)-1))&lt;=DAY(EOMONTH(DATE(VALUE(MID(MID(K196,FIND("/",K196)+1,10),FIND("/",MID(K196,FIND("/",K196)+1,10))+1,4)),VALUE(LEFT(MID(K196,FIND("/",K196)+1,10),FIND("/",MID(K196,FIND("/",K196)+1,10))-1)),1),0))),0,1),1)=1,"Date; ","")&amp;IF(IFERROR(IF(M196&gt;=0,0,1),1)=1,"Amount; ","")&amp;IF(IFERROR(IF(ISNUMBER(MATCH(N196,Lists!$B$2:$B$7,0)),0,1),1)=1,"Payment; ","")))</f>
        <v/>
      </c>
      <c r="R196" s="3" t="str">
        <f aca="false">IF(D196="","",IF(COUNTIFS($D$2:$D$701,D196,$E$2:$E$701,E196)&gt;1,"DUPLICATE","Unique"))</f>
        <v>Unique</v>
      </c>
    </row>
    <row r="197" customFormat="false" ht="15" hidden="false" customHeight="false" outlineLevel="0" collapsed="false">
      <c r="A197" s="3" t="n">
        <v>196</v>
      </c>
      <c r="B197" s="3" t="n">
        <v>4</v>
      </c>
      <c r="C197" s="3" t="s">
        <v>1499</v>
      </c>
      <c r="D197" s="3" t="s">
        <v>1500</v>
      </c>
      <c r="E197" s="3" t="s">
        <v>1501</v>
      </c>
      <c r="F197" s="3" t="s">
        <v>1502</v>
      </c>
      <c r="G197" s="3" t="s">
        <v>1503</v>
      </c>
      <c r="H197" s="3" t="s">
        <v>165</v>
      </c>
      <c r="I197" s="3" t="s">
        <v>63</v>
      </c>
      <c r="J197" s="3" t="s">
        <v>1504</v>
      </c>
      <c r="K197" s="3" t="s">
        <v>1505</v>
      </c>
      <c r="L197" s="3" t="s">
        <v>50</v>
      </c>
      <c r="M197" s="3" t="n">
        <v>14156.67</v>
      </c>
      <c r="N197" s="3" t="s">
        <v>55</v>
      </c>
      <c r="O197" s="3" t="n">
        <f aca="false">IFERROR(LEN(C197&amp;D197&amp;E197&amp;F197&amp;G197&amp;H197&amp;I197&amp;J197&amp;K197&amp;L197&amp;M197&amp;N197)/5,0)</f>
        <v>25.6</v>
      </c>
      <c r="P197" s="3" t="str">
        <f aca="false">IF(OR(D197="",C197=""),"",IF((IFERROR(IF(AND(TRIM(D197)=D197,LEN(D197)&gt;0),0,1),1)+IFERROR(IF(AND(LEN(E197)=10,ISNUMBER(VALUE(E197))),0,1),1)+IFERROR(IF(AND(ISNUMBER(SEARCH("@",F197)),ISNUMBER(SEARCH(".",F197))),0,1),1)+IFERROR(IF(AND(LEN(J197)=6,ISNUMBER(VALUE(J197))),0,1),1)+IFERROR(IF(ISNUMBER(MATCH(TRIM(I197),Lists!$A$2:$A$20,0)),0,1),1)+IFERROR(IF(AND(LEN(K197)=10,VALUE(LEFT(K197,FIND("/",K197)-1))&gt;=1,VALUE(LEFT(K197,FIND("/",K197)-1))&lt;=31,VALUE(LEFT(MID(K197,FIND("/",K197)+1,10),FIND("/",MID(K197,FIND("/",K197)+1,10))-1))&gt;=1,VALUE(LEFT(MID(K197,FIND("/",K197)+1,10),FIND("/",MID(K197,FIND("/",K197)+1,10))-1))&lt;=12,VALUE(LEFT(K197,FIND("/",K197)-1))&lt;=DAY(EOMONTH(DATE(VALUE(MID(MID(K197,FIND("/",K197)+1,10),FIND("/",MID(K197,FIND("/",K197)+1,10))+1,4)),VALUE(LEFT(MID(K197,FIND("/",K197)+1,10),FIND("/",MID(K197,FIND("/",K197)+1,10))-1)),1),0))),0,1),1)+IFERROR(IF(M197&gt;=0,0,1),1)+IFERROR(IF(ISNUMBER(MATCH(N197,Lists!$B$2:$B$7,0)),0,1),1))=0,"OK","ERROR"))</f>
        <v>OK</v>
      </c>
      <c r="Q197" s="3" t="str">
        <f aca="false">IF(D197="","",TRIM(IF(IFERROR(IF(AND(TRIM(D197)=D197,LEN(D197)&gt;0),0,1),1)=1,"Name; ","")&amp;IF(IFERROR(IF(AND(LEN(E197)=10,ISNUMBER(VALUE(E197))),0,1),1)=1,"Phone; ","")&amp;IF(IFERROR(IF(AND(ISNUMBER(SEARCH("@",F197)),ISNUMBER(SEARCH(".",F197))),0,1),1)=1,"Email; ","")&amp;IF(IFERROR(IF(AND(LEN(J197)=6,ISNUMBER(VALUE(J197))),0,1),1)=1,"Pincode; ","")&amp;IF(IFERROR(IF(ISNUMBER(MATCH(TRIM(I197),Lists!$A$2:$A$20,0)),0,1),1)=1,"State; ","")&amp;IF(IFERROR(IF(AND(LEN(K197)=10,VALUE(LEFT(K197,FIND("/",K197)-1))&gt;=1,VALUE(LEFT(K197,FIND("/",K197)-1))&lt;=31,VALUE(LEFT(MID(K197,FIND("/",K197)+1,10),FIND("/",MID(K197,FIND("/",K197)+1,10))-1))&gt;=1,VALUE(LEFT(MID(K197,FIND("/",K197)+1,10),FIND("/",MID(K197,FIND("/",K197)+1,10))-1))&lt;=12,VALUE(LEFT(K197,FIND("/",K197)-1))&lt;=DAY(EOMONTH(DATE(VALUE(MID(MID(K197,FIND("/",K197)+1,10),FIND("/",MID(K197,FIND("/",K197)+1,10))+1,4)),VALUE(LEFT(MID(K197,FIND("/",K197)+1,10),FIND("/",MID(K197,FIND("/",K197)+1,10))-1)),1),0))),0,1),1)=1,"Date; ","")&amp;IF(IFERROR(IF(M197&gt;=0,0,1),1)=1,"Amount; ","")&amp;IF(IFERROR(IF(ISNUMBER(MATCH(N197,Lists!$B$2:$B$7,0)),0,1),1)=1,"Payment; ","")))</f>
        <v/>
      </c>
      <c r="R197" s="3" t="str">
        <f aca="false">IF(D197="","",IF(COUNTIFS($D$2:$D$701,D197,$E$2:$E$701,E197)&gt;1,"DUPLICATE","Unique"))</f>
        <v>Unique</v>
      </c>
    </row>
    <row r="198" customFormat="false" ht="15" hidden="false" customHeight="false" outlineLevel="0" collapsed="false">
      <c r="A198" s="3" t="n">
        <v>197</v>
      </c>
      <c r="B198" s="3" t="n">
        <v>4</v>
      </c>
      <c r="C198" s="3" t="s">
        <v>1506</v>
      </c>
      <c r="D198" s="3" t="s">
        <v>1507</v>
      </c>
      <c r="E198" s="3" t="s">
        <v>1508</v>
      </c>
      <c r="F198" s="3" t="s">
        <v>1509</v>
      </c>
      <c r="G198" s="3" t="s">
        <v>1510</v>
      </c>
      <c r="H198" s="3" t="s">
        <v>250</v>
      </c>
      <c r="I198" s="3" t="s">
        <v>65</v>
      </c>
      <c r="J198" s="3" t="s">
        <v>1511</v>
      </c>
      <c r="K198" s="3" t="s">
        <v>1512</v>
      </c>
      <c r="L198" s="3" t="s">
        <v>58</v>
      </c>
      <c r="M198" s="3" t="n">
        <v>4253.13</v>
      </c>
      <c r="N198" s="3" t="s">
        <v>55</v>
      </c>
      <c r="O198" s="3" t="n">
        <f aca="false">IFERROR(LEN(C198&amp;D198&amp;E198&amp;F198&amp;G198&amp;H198&amp;I198&amp;J198&amp;K198&amp;L198&amp;M198&amp;N198)/5,0)</f>
        <v>26.8</v>
      </c>
      <c r="P198" s="3" t="str">
        <f aca="false">IF(OR(D198="",C198=""),"",IF((IFERROR(IF(AND(TRIM(D198)=D198,LEN(D198)&gt;0),0,1),1)+IFERROR(IF(AND(LEN(E198)=10,ISNUMBER(VALUE(E198))),0,1),1)+IFERROR(IF(AND(ISNUMBER(SEARCH("@",F198)),ISNUMBER(SEARCH(".",F198))),0,1),1)+IFERROR(IF(AND(LEN(J198)=6,ISNUMBER(VALUE(J198))),0,1),1)+IFERROR(IF(ISNUMBER(MATCH(TRIM(I198),Lists!$A$2:$A$20,0)),0,1),1)+IFERROR(IF(AND(LEN(K198)=10,VALUE(LEFT(K198,FIND("/",K198)-1))&gt;=1,VALUE(LEFT(K198,FIND("/",K198)-1))&lt;=31,VALUE(LEFT(MID(K198,FIND("/",K198)+1,10),FIND("/",MID(K198,FIND("/",K198)+1,10))-1))&gt;=1,VALUE(LEFT(MID(K198,FIND("/",K198)+1,10),FIND("/",MID(K198,FIND("/",K198)+1,10))-1))&lt;=12,VALUE(LEFT(K198,FIND("/",K198)-1))&lt;=DAY(EOMONTH(DATE(VALUE(MID(MID(K198,FIND("/",K198)+1,10),FIND("/",MID(K198,FIND("/",K198)+1,10))+1,4)),VALUE(LEFT(MID(K198,FIND("/",K198)+1,10),FIND("/",MID(K198,FIND("/",K198)+1,10))-1)),1),0))),0,1),1)+IFERROR(IF(M198&gt;=0,0,1),1)+IFERROR(IF(ISNUMBER(MATCH(N198,Lists!$B$2:$B$7,0)),0,1),1))=0,"OK","ERROR"))</f>
        <v>OK</v>
      </c>
      <c r="Q198" s="3" t="str">
        <f aca="false">IF(D198="","",TRIM(IF(IFERROR(IF(AND(TRIM(D198)=D198,LEN(D198)&gt;0),0,1),1)=1,"Name; ","")&amp;IF(IFERROR(IF(AND(LEN(E198)=10,ISNUMBER(VALUE(E198))),0,1),1)=1,"Phone; ","")&amp;IF(IFERROR(IF(AND(ISNUMBER(SEARCH("@",F198)),ISNUMBER(SEARCH(".",F198))),0,1),1)=1,"Email; ","")&amp;IF(IFERROR(IF(AND(LEN(J198)=6,ISNUMBER(VALUE(J198))),0,1),1)=1,"Pincode; ","")&amp;IF(IFERROR(IF(ISNUMBER(MATCH(TRIM(I198),Lists!$A$2:$A$20,0)),0,1),1)=1,"State; ","")&amp;IF(IFERROR(IF(AND(LEN(K198)=10,VALUE(LEFT(K198,FIND("/",K198)-1))&gt;=1,VALUE(LEFT(K198,FIND("/",K198)-1))&lt;=31,VALUE(LEFT(MID(K198,FIND("/",K198)+1,10),FIND("/",MID(K198,FIND("/",K198)+1,10))-1))&gt;=1,VALUE(LEFT(MID(K198,FIND("/",K198)+1,10),FIND("/",MID(K198,FIND("/",K198)+1,10))-1))&lt;=12,VALUE(LEFT(K198,FIND("/",K198)-1))&lt;=DAY(EOMONTH(DATE(VALUE(MID(MID(K198,FIND("/",K198)+1,10),FIND("/",MID(K198,FIND("/",K198)+1,10))+1,4)),VALUE(LEFT(MID(K198,FIND("/",K198)+1,10),FIND("/",MID(K198,FIND("/",K198)+1,10))-1)),1),0))),0,1),1)=1,"Date; ","")&amp;IF(IFERROR(IF(M198&gt;=0,0,1),1)=1,"Amount; ","")&amp;IF(IFERROR(IF(ISNUMBER(MATCH(N198,Lists!$B$2:$B$7,0)),0,1),1)=1,"Payment; ","")))</f>
        <v/>
      </c>
      <c r="R198" s="3" t="str">
        <f aca="false">IF(D198="","",IF(COUNTIFS($D$2:$D$701,D198,$E$2:$E$701,E198)&gt;1,"DUPLICATE","Unique"))</f>
        <v>Unique</v>
      </c>
    </row>
    <row r="199" customFormat="false" ht="15" hidden="false" customHeight="false" outlineLevel="0" collapsed="false">
      <c r="A199" s="3" t="n">
        <v>198</v>
      </c>
      <c r="B199" s="3" t="n">
        <v>4</v>
      </c>
      <c r="C199" s="3" t="s">
        <v>1513</v>
      </c>
      <c r="D199" s="3" t="s">
        <v>1514</v>
      </c>
      <c r="E199" s="3" t="s">
        <v>1515</v>
      </c>
      <c r="F199" s="3" t="s">
        <v>1516</v>
      </c>
      <c r="G199" s="3" t="s">
        <v>1517</v>
      </c>
      <c r="H199" s="3" t="s">
        <v>472</v>
      </c>
      <c r="I199" s="3" t="s">
        <v>63</v>
      </c>
      <c r="J199" s="3" t="s">
        <v>1518</v>
      </c>
      <c r="K199" s="3" t="s">
        <v>1519</v>
      </c>
      <c r="L199" s="3" t="s">
        <v>66</v>
      </c>
      <c r="M199" s="3" t="n">
        <v>10145.33</v>
      </c>
      <c r="N199" s="3" t="s">
        <v>43</v>
      </c>
      <c r="O199" s="3" t="n">
        <f aca="false">IFERROR(LEN(C199&amp;D199&amp;E199&amp;F199&amp;G199&amp;H199&amp;I199&amp;J199&amp;K199&amp;L199&amp;M199&amp;N199)/5,0)</f>
        <v>28.2</v>
      </c>
      <c r="P199" s="3" t="str">
        <f aca="false">IF(OR(D199="",C199=""),"",IF((IFERROR(IF(AND(TRIM(D199)=D199,LEN(D199)&gt;0),0,1),1)+IFERROR(IF(AND(LEN(E199)=10,ISNUMBER(VALUE(E199))),0,1),1)+IFERROR(IF(AND(ISNUMBER(SEARCH("@",F199)),ISNUMBER(SEARCH(".",F199))),0,1),1)+IFERROR(IF(AND(LEN(J199)=6,ISNUMBER(VALUE(J199))),0,1),1)+IFERROR(IF(ISNUMBER(MATCH(TRIM(I199),Lists!$A$2:$A$20,0)),0,1),1)+IFERROR(IF(AND(LEN(K199)=10,VALUE(LEFT(K199,FIND("/",K199)-1))&gt;=1,VALUE(LEFT(K199,FIND("/",K199)-1))&lt;=31,VALUE(LEFT(MID(K199,FIND("/",K199)+1,10),FIND("/",MID(K199,FIND("/",K199)+1,10))-1))&gt;=1,VALUE(LEFT(MID(K199,FIND("/",K199)+1,10),FIND("/",MID(K199,FIND("/",K199)+1,10))-1))&lt;=12,VALUE(LEFT(K199,FIND("/",K199)-1))&lt;=DAY(EOMONTH(DATE(VALUE(MID(MID(K199,FIND("/",K199)+1,10),FIND("/",MID(K199,FIND("/",K199)+1,10))+1,4)),VALUE(LEFT(MID(K199,FIND("/",K199)+1,10),FIND("/",MID(K199,FIND("/",K199)+1,10))-1)),1),0))),0,1),1)+IFERROR(IF(M199&gt;=0,0,1),1)+IFERROR(IF(ISNUMBER(MATCH(N199,Lists!$B$2:$B$7,0)),0,1),1))=0,"OK","ERROR"))</f>
        <v>OK</v>
      </c>
      <c r="Q199" s="3" t="str">
        <f aca="false">IF(D199="","",TRIM(IF(IFERROR(IF(AND(TRIM(D199)=D199,LEN(D199)&gt;0),0,1),1)=1,"Name; ","")&amp;IF(IFERROR(IF(AND(LEN(E199)=10,ISNUMBER(VALUE(E199))),0,1),1)=1,"Phone; ","")&amp;IF(IFERROR(IF(AND(ISNUMBER(SEARCH("@",F199)),ISNUMBER(SEARCH(".",F199))),0,1),1)=1,"Email; ","")&amp;IF(IFERROR(IF(AND(LEN(J199)=6,ISNUMBER(VALUE(J199))),0,1),1)=1,"Pincode; ","")&amp;IF(IFERROR(IF(ISNUMBER(MATCH(TRIM(I199),Lists!$A$2:$A$20,0)),0,1),1)=1,"State; ","")&amp;IF(IFERROR(IF(AND(LEN(K199)=10,VALUE(LEFT(K199,FIND("/",K199)-1))&gt;=1,VALUE(LEFT(K199,FIND("/",K199)-1))&lt;=31,VALUE(LEFT(MID(K199,FIND("/",K199)+1,10),FIND("/",MID(K199,FIND("/",K199)+1,10))-1))&gt;=1,VALUE(LEFT(MID(K199,FIND("/",K199)+1,10),FIND("/",MID(K199,FIND("/",K199)+1,10))-1))&lt;=12,VALUE(LEFT(K199,FIND("/",K199)-1))&lt;=DAY(EOMONTH(DATE(VALUE(MID(MID(K199,FIND("/",K199)+1,10),FIND("/",MID(K199,FIND("/",K199)+1,10))+1,4)),VALUE(LEFT(MID(K199,FIND("/",K199)+1,10),FIND("/",MID(K199,FIND("/",K199)+1,10))-1)),1),0))),0,1),1)=1,"Date; ","")&amp;IF(IFERROR(IF(M199&gt;=0,0,1),1)=1,"Amount; ","")&amp;IF(IFERROR(IF(ISNUMBER(MATCH(N199,Lists!$B$2:$B$7,0)),0,1),1)=1,"Payment; ","")))</f>
        <v/>
      </c>
      <c r="R199" s="3" t="str">
        <f aca="false">IF(D199="","",IF(COUNTIFS($D$2:$D$701,D199,$E$2:$E$701,E199)&gt;1,"DUPLICATE","Unique"))</f>
        <v>Unique</v>
      </c>
    </row>
    <row r="200" customFormat="false" ht="15" hidden="false" customHeight="false" outlineLevel="0" collapsed="false">
      <c r="A200" s="3" t="n">
        <v>199</v>
      </c>
      <c r="B200" s="3" t="n">
        <v>4</v>
      </c>
      <c r="C200" s="3" t="s">
        <v>1520</v>
      </c>
      <c r="D200" s="3" t="s">
        <v>1521</v>
      </c>
      <c r="E200" s="3" t="s">
        <v>1522</v>
      </c>
      <c r="F200" s="3" t="s">
        <v>1523</v>
      </c>
      <c r="G200" s="3" t="s">
        <v>1524</v>
      </c>
      <c r="H200" s="3" t="s">
        <v>110</v>
      </c>
      <c r="I200" s="3" t="s">
        <v>71</v>
      </c>
      <c r="J200" s="3" t="s">
        <v>1525</v>
      </c>
      <c r="K200" s="3" t="s">
        <v>1526</v>
      </c>
      <c r="L200" s="3" t="s">
        <v>58</v>
      </c>
      <c r="M200" s="3" t="n">
        <v>7326.79</v>
      </c>
      <c r="N200" s="3" t="s">
        <v>49</v>
      </c>
      <c r="O200" s="3" t="n">
        <f aca="false">IFERROR(LEN(C200&amp;D200&amp;E200&amp;F200&amp;G200&amp;H200&amp;I200&amp;J200&amp;K200&amp;L200&amp;M200&amp;N200)/5,0)</f>
        <v>27.4</v>
      </c>
      <c r="P200" s="3" t="str">
        <f aca="false">IF(OR(D200="",C200=""),"",IF((IFERROR(IF(AND(TRIM(D200)=D200,LEN(D200)&gt;0),0,1),1)+IFERROR(IF(AND(LEN(E200)=10,ISNUMBER(VALUE(E200))),0,1),1)+IFERROR(IF(AND(ISNUMBER(SEARCH("@",F200)),ISNUMBER(SEARCH(".",F200))),0,1),1)+IFERROR(IF(AND(LEN(J200)=6,ISNUMBER(VALUE(J200))),0,1),1)+IFERROR(IF(ISNUMBER(MATCH(TRIM(I200),Lists!$A$2:$A$20,0)),0,1),1)+IFERROR(IF(AND(LEN(K200)=10,VALUE(LEFT(K200,FIND("/",K200)-1))&gt;=1,VALUE(LEFT(K200,FIND("/",K200)-1))&lt;=31,VALUE(LEFT(MID(K200,FIND("/",K200)+1,10),FIND("/",MID(K200,FIND("/",K200)+1,10))-1))&gt;=1,VALUE(LEFT(MID(K200,FIND("/",K200)+1,10),FIND("/",MID(K200,FIND("/",K200)+1,10))-1))&lt;=12,VALUE(LEFT(K200,FIND("/",K200)-1))&lt;=DAY(EOMONTH(DATE(VALUE(MID(MID(K200,FIND("/",K200)+1,10),FIND("/",MID(K200,FIND("/",K200)+1,10))+1,4)),VALUE(LEFT(MID(K200,FIND("/",K200)+1,10),FIND("/",MID(K200,FIND("/",K200)+1,10))-1)),1),0))),0,1),1)+IFERROR(IF(M200&gt;=0,0,1),1)+IFERROR(IF(ISNUMBER(MATCH(N200,Lists!$B$2:$B$7,0)),0,1),1))=0,"OK","ERROR"))</f>
        <v>OK</v>
      </c>
      <c r="Q200" s="3" t="str">
        <f aca="false">IF(D200="","",TRIM(IF(IFERROR(IF(AND(TRIM(D200)=D200,LEN(D200)&gt;0),0,1),1)=1,"Name; ","")&amp;IF(IFERROR(IF(AND(LEN(E200)=10,ISNUMBER(VALUE(E200))),0,1),1)=1,"Phone; ","")&amp;IF(IFERROR(IF(AND(ISNUMBER(SEARCH("@",F200)),ISNUMBER(SEARCH(".",F200))),0,1),1)=1,"Email; ","")&amp;IF(IFERROR(IF(AND(LEN(J200)=6,ISNUMBER(VALUE(J200))),0,1),1)=1,"Pincode; ","")&amp;IF(IFERROR(IF(ISNUMBER(MATCH(TRIM(I200),Lists!$A$2:$A$20,0)),0,1),1)=1,"State; ","")&amp;IF(IFERROR(IF(AND(LEN(K200)=10,VALUE(LEFT(K200,FIND("/",K200)-1))&gt;=1,VALUE(LEFT(K200,FIND("/",K200)-1))&lt;=31,VALUE(LEFT(MID(K200,FIND("/",K200)+1,10),FIND("/",MID(K200,FIND("/",K200)+1,10))-1))&gt;=1,VALUE(LEFT(MID(K200,FIND("/",K200)+1,10),FIND("/",MID(K200,FIND("/",K200)+1,10))-1))&lt;=12,VALUE(LEFT(K200,FIND("/",K200)-1))&lt;=DAY(EOMONTH(DATE(VALUE(MID(MID(K200,FIND("/",K200)+1,10),FIND("/",MID(K200,FIND("/",K200)+1,10))+1,4)),VALUE(LEFT(MID(K200,FIND("/",K200)+1,10),FIND("/",MID(K200,FIND("/",K200)+1,10))-1)),1),0))),0,1),1)=1,"Date; ","")&amp;IF(IFERROR(IF(M200&gt;=0,0,1),1)=1,"Amount; ","")&amp;IF(IFERROR(IF(ISNUMBER(MATCH(N200,Lists!$B$2:$B$7,0)),0,1),1)=1,"Payment; ","")))</f>
        <v/>
      </c>
      <c r="R200" s="3" t="str">
        <f aca="false">IF(D200="","",IF(COUNTIFS($D$2:$D$701,D200,$E$2:$E$701,E200)&gt;1,"DUPLICATE","Unique"))</f>
        <v>Unique</v>
      </c>
    </row>
    <row r="201" customFormat="false" ht="15" hidden="false" customHeight="false" outlineLevel="0" collapsed="false">
      <c r="A201" s="3" t="n">
        <v>200</v>
      </c>
      <c r="B201" s="3" t="n">
        <v>4</v>
      </c>
      <c r="C201" s="3" t="s">
        <v>1527</v>
      </c>
      <c r="D201" s="3" t="s">
        <v>1528</v>
      </c>
      <c r="E201" s="3" t="s">
        <v>1529</v>
      </c>
      <c r="F201" s="3" t="s">
        <v>1530</v>
      </c>
      <c r="G201" s="3" t="s">
        <v>1531</v>
      </c>
      <c r="H201" s="3" t="s">
        <v>540</v>
      </c>
      <c r="I201" s="3" t="s">
        <v>71</v>
      </c>
      <c r="J201" s="3" t="s">
        <v>1532</v>
      </c>
      <c r="K201" s="3" t="s">
        <v>1533</v>
      </c>
      <c r="L201" s="3" t="s">
        <v>58</v>
      </c>
      <c r="M201" s="3" t="n">
        <v>6441.79</v>
      </c>
      <c r="N201" s="3" t="s">
        <v>55</v>
      </c>
      <c r="O201" s="3" t="n">
        <f aca="false">IFERROR(LEN(C201&amp;D201&amp;E201&amp;F201&amp;G201&amp;H201&amp;I201&amp;J201&amp;K201&amp;L201&amp;M201&amp;N201)/5,0)</f>
        <v>24.2</v>
      </c>
      <c r="P201" s="3" t="str">
        <f aca="false">IF(OR(D201="",C201=""),"",IF((IFERROR(IF(AND(TRIM(D201)=D201,LEN(D201)&gt;0),0,1),1)+IFERROR(IF(AND(LEN(E201)=10,ISNUMBER(VALUE(E201))),0,1),1)+IFERROR(IF(AND(ISNUMBER(SEARCH("@",F201)),ISNUMBER(SEARCH(".",F201))),0,1),1)+IFERROR(IF(AND(LEN(J201)=6,ISNUMBER(VALUE(J201))),0,1),1)+IFERROR(IF(ISNUMBER(MATCH(TRIM(I201),Lists!$A$2:$A$20,0)),0,1),1)+IFERROR(IF(AND(LEN(K201)=10,VALUE(LEFT(K201,FIND("/",K201)-1))&gt;=1,VALUE(LEFT(K201,FIND("/",K201)-1))&lt;=31,VALUE(LEFT(MID(K201,FIND("/",K201)+1,10),FIND("/",MID(K201,FIND("/",K201)+1,10))-1))&gt;=1,VALUE(LEFT(MID(K201,FIND("/",K201)+1,10),FIND("/",MID(K201,FIND("/",K201)+1,10))-1))&lt;=12,VALUE(LEFT(K201,FIND("/",K201)-1))&lt;=DAY(EOMONTH(DATE(VALUE(MID(MID(K201,FIND("/",K201)+1,10),FIND("/",MID(K201,FIND("/",K201)+1,10))+1,4)),VALUE(LEFT(MID(K201,FIND("/",K201)+1,10),FIND("/",MID(K201,FIND("/",K201)+1,10))-1)),1),0))),0,1),1)+IFERROR(IF(M201&gt;=0,0,1),1)+IFERROR(IF(ISNUMBER(MATCH(N201,Lists!$B$2:$B$7,0)),0,1),1))=0,"OK","ERROR"))</f>
        <v>OK</v>
      </c>
      <c r="Q201" s="3" t="str">
        <f aca="false">IF(D201="","",TRIM(IF(IFERROR(IF(AND(TRIM(D201)=D201,LEN(D201)&gt;0),0,1),1)=1,"Name; ","")&amp;IF(IFERROR(IF(AND(LEN(E201)=10,ISNUMBER(VALUE(E201))),0,1),1)=1,"Phone; ","")&amp;IF(IFERROR(IF(AND(ISNUMBER(SEARCH("@",F201)),ISNUMBER(SEARCH(".",F201))),0,1),1)=1,"Email; ","")&amp;IF(IFERROR(IF(AND(LEN(J201)=6,ISNUMBER(VALUE(J201))),0,1),1)=1,"Pincode; ","")&amp;IF(IFERROR(IF(ISNUMBER(MATCH(TRIM(I201),Lists!$A$2:$A$20,0)),0,1),1)=1,"State; ","")&amp;IF(IFERROR(IF(AND(LEN(K201)=10,VALUE(LEFT(K201,FIND("/",K201)-1))&gt;=1,VALUE(LEFT(K201,FIND("/",K201)-1))&lt;=31,VALUE(LEFT(MID(K201,FIND("/",K201)+1,10),FIND("/",MID(K201,FIND("/",K201)+1,10))-1))&gt;=1,VALUE(LEFT(MID(K201,FIND("/",K201)+1,10),FIND("/",MID(K201,FIND("/",K201)+1,10))-1))&lt;=12,VALUE(LEFT(K201,FIND("/",K201)-1))&lt;=DAY(EOMONTH(DATE(VALUE(MID(MID(K201,FIND("/",K201)+1,10),FIND("/",MID(K201,FIND("/",K201)+1,10))+1,4)),VALUE(LEFT(MID(K201,FIND("/",K201)+1,10),FIND("/",MID(K201,FIND("/",K201)+1,10))-1)),1),0))),0,1),1)=1,"Date; ","")&amp;IF(IFERROR(IF(M201&gt;=0,0,1),1)=1,"Amount; ","")&amp;IF(IFERROR(IF(ISNUMBER(MATCH(N201,Lists!$B$2:$B$7,0)),0,1),1)=1,"Payment; ","")))</f>
        <v/>
      </c>
      <c r="R201" s="3" t="str">
        <f aca="false">IF(D201="","",IF(COUNTIFS($D$2:$D$701,D201,$E$2:$E$701,E201)&gt;1,"DUPLICATE","Unique"))</f>
        <v>Unique</v>
      </c>
    </row>
    <row r="202" customFormat="false" ht="15" hidden="false" customHeight="false" outlineLevel="0" collapsed="false">
      <c r="A202" s="3" t="n">
        <v>201</v>
      </c>
      <c r="B202" s="3" t="n">
        <v>5</v>
      </c>
      <c r="C202" s="3" t="s">
        <v>1534</v>
      </c>
      <c r="D202" s="3" t="s">
        <v>1535</v>
      </c>
      <c r="E202" s="3" t="s">
        <v>1536</v>
      </c>
      <c r="F202" s="3" t="s">
        <v>1537</v>
      </c>
      <c r="G202" s="3" t="s">
        <v>1538</v>
      </c>
      <c r="H202" s="3" t="s">
        <v>1539</v>
      </c>
      <c r="I202" s="3" t="s">
        <v>39</v>
      </c>
      <c r="J202" s="3" t="s">
        <v>1540</v>
      </c>
      <c r="K202" s="3" t="s">
        <v>1541</v>
      </c>
      <c r="L202" s="3" t="s">
        <v>62</v>
      </c>
      <c r="M202" s="3" t="n">
        <v>8849.9</v>
      </c>
      <c r="N202" s="3" t="s">
        <v>40</v>
      </c>
      <c r="O202" s="3" t="n">
        <f aca="false">IFERROR(LEN(C202&amp;D202&amp;E202&amp;F202&amp;G202&amp;H202&amp;I202&amp;J202&amp;K202&amp;L202&amp;M202&amp;N202)/5,0)</f>
        <v>25</v>
      </c>
      <c r="P202" s="3" t="str">
        <f aca="false">IF(OR(D202="",C202=""),"",IF((IFERROR(IF(AND(TRIM(D202)=D202,LEN(D202)&gt;0),0,1),1)+IFERROR(IF(AND(LEN(E202)=10,ISNUMBER(VALUE(E202))),0,1),1)+IFERROR(IF(AND(ISNUMBER(SEARCH("@",F202)),ISNUMBER(SEARCH(".",F202))),0,1),1)+IFERROR(IF(AND(LEN(J202)=6,ISNUMBER(VALUE(J202))),0,1),1)+IFERROR(IF(ISNUMBER(MATCH(TRIM(I202),Lists!$A$2:$A$20,0)),0,1),1)+IFERROR(IF(AND(LEN(K202)=10,VALUE(LEFT(K202,FIND("/",K202)-1))&gt;=1,VALUE(LEFT(K202,FIND("/",K202)-1))&lt;=31,VALUE(LEFT(MID(K202,FIND("/",K202)+1,10),FIND("/",MID(K202,FIND("/",K202)+1,10))-1))&gt;=1,VALUE(LEFT(MID(K202,FIND("/",K202)+1,10),FIND("/",MID(K202,FIND("/",K202)+1,10))-1))&lt;=12,VALUE(LEFT(K202,FIND("/",K202)-1))&lt;=DAY(EOMONTH(DATE(VALUE(MID(MID(K202,FIND("/",K202)+1,10),FIND("/",MID(K202,FIND("/",K202)+1,10))+1,4)),VALUE(LEFT(MID(K202,FIND("/",K202)+1,10),FIND("/",MID(K202,FIND("/",K202)+1,10))-1)),1),0))),0,1),1)+IFERROR(IF(M202&gt;=0,0,1),1)+IFERROR(IF(ISNUMBER(MATCH(N202,Lists!$B$2:$B$7,0)),0,1),1))=0,"OK","ERROR"))</f>
        <v>OK</v>
      </c>
      <c r="Q202" s="3" t="str">
        <f aca="false">IF(D202="","",TRIM(IF(IFERROR(IF(AND(TRIM(D202)=D202,LEN(D202)&gt;0),0,1),1)=1,"Name; ","")&amp;IF(IFERROR(IF(AND(LEN(E202)=10,ISNUMBER(VALUE(E202))),0,1),1)=1,"Phone; ","")&amp;IF(IFERROR(IF(AND(ISNUMBER(SEARCH("@",F202)),ISNUMBER(SEARCH(".",F202))),0,1),1)=1,"Email; ","")&amp;IF(IFERROR(IF(AND(LEN(J202)=6,ISNUMBER(VALUE(J202))),0,1),1)=1,"Pincode; ","")&amp;IF(IFERROR(IF(ISNUMBER(MATCH(TRIM(I202),Lists!$A$2:$A$20,0)),0,1),1)=1,"State; ","")&amp;IF(IFERROR(IF(AND(LEN(K202)=10,VALUE(LEFT(K202,FIND("/",K202)-1))&gt;=1,VALUE(LEFT(K202,FIND("/",K202)-1))&lt;=31,VALUE(LEFT(MID(K202,FIND("/",K202)+1,10),FIND("/",MID(K202,FIND("/",K202)+1,10))-1))&gt;=1,VALUE(LEFT(MID(K202,FIND("/",K202)+1,10),FIND("/",MID(K202,FIND("/",K202)+1,10))-1))&lt;=12,VALUE(LEFT(K202,FIND("/",K202)-1))&lt;=DAY(EOMONTH(DATE(VALUE(MID(MID(K202,FIND("/",K202)+1,10),FIND("/",MID(K202,FIND("/",K202)+1,10))+1,4)),VALUE(LEFT(MID(K202,FIND("/",K202)+1,10),FIND("/",MID(K202,FIND("/",K202)+1,10))-1)),1),0))),0,1),1)=1,"Date; ","")&amp;IF(IFERROR(IF(M202&gt;=0,0,1),1)=1,"Amount; ","")&amp;IF(IFERROR(IF(ISNUMBER(MATCH(N202,Lists!$B$2:$B$7,0)),0,1),1)=1,"Payment; ","")))</f>
        <v/>
      </c>
      <c r="R202" s="3" t="str">
        <f aca="false">IF(D202="","",IF(COUNTIFS($D$2:$D$701,D202,$E$2:$E$701,E202)&gt;1,"DUPLICATE","Unique"))</f>
        <v>Unique</v>
      </c>
    </row>
    <row r="203" customFormat="false" ht="15" hidden="false" customHeight="false" outlineLevel="0" collapsed="false">
      <c r="A203" s="3" t="n">
        <v>202</v>
      </c>
      <c r="B203" s="3" t="n">
        <v>5</v>
      </c>
      <c r="C203" s="3" t="s">
        <v>1542</v>
      </c>
      <c r="D203" s="3" t="s">
        <v>1543</v>
      </c>
      <c r="E203" s="3" t="s">
        <v>1544</v>
      </c>
      <c r="F203" s="3" t="s">
        <v>1545</v>
      </c>
      <c r="G203" s="3" t="s">
        <v>1546</v>
      </c>
      <c r="H203" s="3" t="s">
        <v>472</v>
      </c>
      <c r="I203" s="3" t="s">
        <v>63</v>
      </c>
      <c r="J203" s="3" t="s">
        <v>1547</v>
      </c>
      <c r="K203" s="3" t="s">
        <v>1548</v>
      </c>
      <c r="L203" s="3" t="s">
        <v>66</v>
      </c>
      <c r="M203" s="3" t="n">
        <v>8883.7</v>
      </c>
      <c r="N203" s="3" t="s">
        <v>46</v>
      </c>
      <c r="O203" s="3" t="n">
        <f aca="false">IFERROR(LEN(C203&amp;D203&amp;E203&amp;F203&amp;G203&amp;H203&amp;I203&amp;J203&amp;K203&amp;L203&amp;M203&amp;N203)/5,0)</f>
        <v>29.8</v>
      </c>
      <c r="P203" s="3" t="str">
        <f aca="false">IF(OR(D203="",C203=""),"",IF((IFERROR(IF(AND(TRIM(D203)=D203,LEN(D203)&gt;0),0,1),1)+IFERROR(IF(AND(LEN(E203)=10,ISNUMBER(VALUE(E203))),0,1),1)+IFERROR(IF(AND(ISNUMBER(SEARCH("@",F203)),ISNUMBER(SEARCH(".",F203))),0,1),1)+IFERROR(IF(AND(LEN(J203)=6,ISNUMBER(VALUE(J203))),0,1),1)+IFERROR(IF(ISNUMBER(MATCH(TRIM(I203),Lists!$A$2:$A$20,0)),0,1),1)+IFERROR(IF(AND(LEN(K203)=10,VALUE(LEFT(K203,FIND("/",K203)-1))&gt;=1,VALUE(LEFT(K203,FIND("/",K203)-1))&lt;=31,VALUE(LEFT(MID(K203,FIND("/",K203)+1,10),FIND("/",MID(K203,FIND("/",K203)+1,10))-1))&gt;=1,VALUE(LEFT(MID(K203,FIND("/",K203)+1,10),FIND("/",MID(K203,FIND("/",K203)+1,10))-1))&lt;=12,VALUE(LEFT(K203,FIND("/",K203)-1))&lt;=DAY(EOMONTH(DATE(VALUE(MID(MID(K203,FIND("/",K203)+1,10),FIND("/",MID(K203,FIND("/",K203)+1,10))+1,4)),VALUE(LEFT(MID(K203,FIND("/",K203)+1,10),FIND("/",MID(K203,FIND("/",K203)+1,10))-1)),1),0))),0,1),1)+IFERROR(IF(M203&gt;=0,0,1),1)+IFERROR(IF(ISNUMBER(MATCH(N203,Lists!$B$2:$B$7,0)),0,1),1))=0,"OK","ERROR"))</f>
        <v>OK</v>
      </c>
      <c r="Q203" s="3" t="str">
        <f aca="false">IF(D203="","",TRIM(IF(IFERROR(IF(AND(TRIM(D203)=D203,LEN(D203)&gt;0),0,1),1)=1,"Name; ","")&amp;IF(IFERROR(IF(AND(LEN(E203)=10,ISNUMBER(VALUE(E203))),0,1),1)=1,"Phone; ","")&amp;IF(IFERROR(IF(AND(ISNUMBER(SEARCH("@",F203)),ISNUMBER(SEARCH(".",F203))),0,1),1)=1,"Email; ","")&amp;IF(IFERROR(IF(AND(LEN(J203)=6,ISNUMBER(VALUE(J203))),0,1),1)=1,"Pincode; ","")&amp;IF(IFERROR(IF(ISNUMBER(MATCH(TRIM(I203),Lists!$A$2:$A$20,0)),0,1),1)=1,"State; ","")&amp;IF(IFERROR(IF(AND(LEN(K203)=10,VALUE(LEFT(K203,FIND("/",K203)-1))&gt;=1,VALUE(LEFT(K203,FIND("/",K203)-1))&lt;=31,VALUE(LEFT(MID(K203,FIND("/",K203)+1,10),FIND("/",MID(K203,FIND("/",K203)+1,10))-1))&gt;=1,VALUE(LEFT(MID(K203,FIND("/",K203)+1,10),FIND("/",MID(K203,FIND("/",K203)+1,10))-1))&lt;=12,VALUE(LEFT(K203,FIND("/",K203)-1))&lt;=DAY(EOMONTH(DATE(VALUE(MID(MID(K203,FIND("/",K203)+1,10),FIND("/",MID(K203,FIND("/",K203)+1,10))+1,4)),VALUE(LEFT(MID(K203,FIND("/",K203)+1,10),FIND("/",MID(K203,FIND("/",K203)+1,10))-1)),1),0))),0,1),1)=1,"Date; ","")&amp;IF(IFERROR(IF(M203&gt;=0,0,1),1)=1,"Amount; ","")&amp;IF(IFERROR(IF(ISNUMBER(MATCH(N203,Lists!$B$2:$B$7,0)),0,1),1)=1,"Payment; ","")))</f>
        <v/>
      </c>
      <c r="R203" s="3" t="str">
        <f aca="false">IF(D203="","",IF(COUNTIFS($D$2:$D$701,D203,$E$2:$E$701,E203)&gt;1,"DUPLICATE","Unique"))</f>
        <v>Unique</v>
      </c>
    </row>
    <row r="204" customFormat="false" ht="15" hidden="false" customHeight="false" outlineLevel="0" collapsed="false">
      <c r="A204" s="3" t="n">
        <v>203</v>
      </c>
      <c r="B204" s="3" t="n">
        <v>5</v>
      </c>
      <c r="C204" s="3" t="s">
        <v>1549</v>
      </c>
      <c r="D204" s="3" t="s">
        <v>1550</v>
      </c>
      <c r="E204" s="3" t="s">
        <v>1551</v>
      </c>
      <c r="F204" s="3" t="s">
        <v>1552</v>
      </c>
      <c r="G204" s="3" t="s">
        <v>1553</v>
      </c>
      <c r="H204" s="3" t="s">
        <v>205</v>
      </c>
      <c r="I204" s="3" t="s">
        <v>45</v>
      </c>
      <c r="J204" s="3" t="s">
        <v>1554</v>
      </c>
      <c r="K204" s="3" t="s">
        <v>1555</v>
      </c>
      <c r="L204" s="3" t="s">
        <v>47</v>
      </c>
      <c r="M204" s="3" t="n">
        <v>9134.72</v>
      </c>
      <c r="N204" s="3" t="s">
        <v>46</v>
      </c>
      <c r="O204" s="3" t="n">
        <f aca="false">IFERROR(LEN(C204&amp;D204&amp;E204&amp;F204&amp;G204&amp;H204&amp;I204&amp;J204&amp;K204&amp;L204&amp;M204&amp;N204)/5,0)</f>
        <v>25</v>
      </c>
      <c r="P204" s="3" t="str">
        <f aca="false">IF(OR(D204="",C204=""),"",IF((IFERROR(IF(AND(TRIM(D204)=D204,LEN(D204)&gt;0),0,1),1)+IFERROR(IF(AND(LEN(E204)=10,ISNUMBER(VALUE(E204))),0,1),1)+IFERROR(IF(AND(ISNUMBER(SEARCH("@",F204)),ISNUMBER(SEARCH(".",F204))),0,1),1)+IFERROR(IF(AND(LEN(J204)=6,ISNUMBER(VALUE(J204))),0,1),1)+IFERROR(IF(ISNUMBER(MATCH(TRIM(I204),Lists!$A$2:$A$20,0)),0,1),1)+IFERROR(IF(AND(LEN(K204)=10,VALUE(LEFT(K204,FIND("/",K204)-1))&gt;=1,VALUE(LEFT(K204,FIND("/",K204)-1))&lt;=31,VALUE(LEFT(MID(K204,FIND("/",K204)+1,10),FIND("/",MID(K204,FIND("/",K204)+1,10))-1))&gt;=1,VALUE(LEFT(MID(K204,FIND("/",K204)+1,10),FIND("/",MID(K204,FIND("/",K204)+1,10))-1))&lt;=12,VALUE(LEFT(K204,FIND("/",K204)-1))&lt;=DAY(EOMONTH(DATE(VALUE(MID(MID(K204,FIND("/",K204)+1,10),FIND("/",MID(K204,FIND("/",K204)+1,10))+1,4)),VALUE(LEFT(MID(K204,FIND("/",K204)+1,10),FIND("/",MID(K204,FIND("/",K204)+1,10))-1)),1),0))),0,1),1)+IFERROR(IF(M204&gt;=0,0,1),1)+IFERROR(IF(ISNUMBER(MATCH(N204,Lists!$B$2:$B$7,0)),0,1),1))=0,"OK","ERROR"))</f>
        <v>OK</v>
      </c>
      <c r="Q204" s="3" t="str">
        <f aca="false">IF(D204="","",TRIM(IF(IFERROR(IF(AND(TRIM(D204)=D204,LEN(D204)&gt;0),0,1),1)=1,"Name; ","")&amp;IF(IFERROR(IF(AND(LEN(E204)=10,ISNUMBER(VALUE(E204))),0,1),1)=1,"Phone; ","")&amp;IF(IFERROR(IF(AND(ISNUMBER(SEARCH("@",F204)),ISNUMBER(SEARCH(".",F204))),0,1),1)=1,"Email; ","")&amp;IF(IFERROR(IF(AND(LEN(J204)=6,ISNUMBER(VALUE(J204))),0,1),1)=1,"Pincode; ","")&amp;IF(IFERROR(IF(ISNUMBER(MATCH(TRIM(I204),Lists!$A$2:$A$20,0)),0,1),1)=1,"State; ","")&amp;IF(IFERROR(IF(AND(LEN(K204)=10,VALUE(LEFT(K204,FIND("/",K204)-1))&gt;=1,VALUE(LEFT(K204,FIND("/",K204)-1))&lt;=31,VALUE(LEFT(MID(K204,FIND("/",K204)+1,10),FIND("/",MID(K204,FIND("/",K204)+1,10))-1))&gt;=1,VALUE(LEFT(MID(K204,FIND("/",K204)+1,10),FIND("/",MID(K204,FIND("/",K204)+1,10))-1))&lt;=12,VALUE(LEFT(K204,FIND("/",K204)-1))&lt;=DAY(EOMONTH(DATE(VALUE(MID(MID(K204,FIND("/",K204)+1,10),FIND("/",MID(K204,FIND("/",K204)+1,10))+1,4)),VALUE(LEFT(MID(K204,FIND("/",K204)+1,10),FIND("/",MID(K204,FIND("/",K204)+1,10))-1)),1),0))),0,1),1)=1,"Date; ","")&amp;IF(IFERROR(IF(M204&gt;=0,0,1),1)=1,"Amount; ","")&amp;IF(IFERROR(IF(ISNUMBER(MATCH(N204,Lists!$B$2:$B$7,0)),0,1),1)=1,"Payment; ","")))</f>
        <v/>
      </c>
      <c r="R204" s="3" t="str">
        <f aca="false">IF(D204="","",IF(COUNTIFS($D$2:$D$701,D204,$E$2:$E$701,E204)&gt;1,"DUPLICATE","Unique"))</f>
        <v>Unique</v>
      </c>
    </row>
    <row r="205" customFormat="false" ht="15" hidden="false" customHeight="false" outlineLevel="0" collapsed="false">
      <c r="A205" s="3" t="n">
        <v>204</v>
      </c>
      <c r="B205" s="3" t="n">
        <v>5</v>
      </c>
      <c r="C205" s="3" t="s">
        <v>1556</v>
      </c>
      <c r="D205" s="3" t="s">
        <v>1557</v>
      </c>
      <c r="E205" s="3" t="s">
        <v>1558</v>
      </c>
      <c r="F205" s="3" t="s">
        <v>1559</v>
      </c>
      <c r="G205" s="3" t="s">
        <v>1560</v>
      </c>
      <c r="H205" s="3" t="s">
        <v>250</v>
      </c>
      <c r="I205" s="3" t="s">
        <v>65</v>
      </c>
      <c r="J205" s="3" t="s">
        <v>1561</v>
      </c>
      <c r="K205" s="3" t="s">
        <v>1562</v>
      </c>
      <c r="L205" s="3" t="s">
        <v>44</v>
      </c>
      <c r="M205" s="3" t="n">
        <v>13499.33</v>
      </c>
      <c r="N205" s="3" t="s">
        <v>43</v>
      </c>
      <c r="O205" s="3" t="n">
        <f aca="false">IFERROR(LEN(C205&amp;D205&amp;E205&amp;F205&amp;G205&amp;H205&amp;I205&amp;J205&amp;K205&amp;L205&amp;M205&amp;N205)/5,0)</f>
        <v>26.2</v>
      </c>
      <c r="P205" s="3" t="str">
        <f aca="false">IF(OR(D205="",C205=""),"",IF((IFERROR(IF(AND(TRIM(D205)=D205,LEN(D205)&gt;0),0,1),1)+IFERROR(IF(AND(LEN(E205)=10,ISNUMBER(VALUE(E205))),0,1),1)+IFERROR(IF(AND(ISNUMBER(SEARCH("@",F205)),ISNUMBER(SEARCH(".",F205))),0,1),1)+IFERROR(IF(AND(LEN(J205)=6,ISNUMBER(VALUE(J205))),0,1),1)+IFERROR(IF(ISNUMBER(MATCH(TRIM(I205),Lists!$A$2:$A$20,0)),0,1),1)+IFERROR(IF(AND(LEN(K205)=10,VALUE(LEFT(K205,FIND("/",K205)-1))&gt;=1,VALUE(LEFT(K205,FIND("/",K205)-1))&lt;=31,VALUE(LEFT(MID(K205,FIND("/",K205)+1,10),FIND("/",MID(K205,FIND("/",K205)+1,10))-1))&gt;=1,VALUE(LEFT(MID(K205,FIND("/",K205)+1,10),FIND("/",MID(K205,FIND("/",K205)+1,10))-1))&lt;=12,VALUE(LEFT(K205,FIND("/",K205)-1))&lt;=DAY(EOMONTH(DATE(VALUE(MID(MID(K205,FIND("/",K205)+1,10),FIND("/",MID(K205,FIND("/",K205)+1,10))+1,4)),VALUE(LEFT(MID(K205,FIND("/",K205)+1,10),FIND("/",MID(K205,FIND("/",K205)+1,10))-1)),1),0))),0,1),1)+IFERROR(IF(M205&gt;=0,0,1),1)+IFERROR(IF(ISNUMBER(MATCH(N205,Lists!$B$2:$B$7,0)),0,1),1))=0,"OK","ERROR"))</f>
        <v>OK</v>
      </c>
      <c r="Q205" s="3" t="str">
        <f aca="false">IF(D205="","",TRIM(IF(IFERROR(IF(AND(TRIM(D205)=D205,LEN(D205)&gt;0),0,1),1)=1,"Name; ","")&amp;IF(IFERROR(IF(AND(LEN(E205)=10,ISNUMBER(VALUE(E205))),0,1),1)=1,"Phone; ","")&amp;IF(IFERROR(IF(AND(ISNUMBER(SEARCH("@",F205)),ISNUMBER(SEARCH(".",F205))),0,1),1)=1,"Email; ","")&amp;IF(IFERROR(IF(AND(LEN(J205)=6,ISNUMBER(VALUE(J205))),0,1),1)=1,"Pincode; ","")&amp;IF(IFERROR(IF(ISNUMBER(MATCH(TRIM(I205),Lists!$A$2:$A$20,0)),0,1),1)=1,"State; ","")&amp;IF(IFERROR(IF(AND(LEN(K205)=10,VALUE(LEFT(K205,FIND("/",K205)-1))&gt;=1,VALUE(LEFT(K205,FIND("/",K205)-1))&lt;=31,VALUE(LEFT(MID(K205,FIND("/",K205)+1,10),FIND("/",MID(K205,FIND("/",K205)+1,10))-1))&gt;=1,VALUE(LEFT(MID(K205,FIND("/",K205)+1,10),FIND("/",MID(K205,FIND("/",K205)+1,10))-1))&lt;=12,VALUE(LEFT(K205,FIND("/",K205)-1))&lt;=DAY(EOMONTH(DATE(VALUE(MID(MID(K205,FIND("/",K205)+1,10),FIND("/",MID(K205,FIND("/",K205)+1,10))+1,4)),VALUE(LEFT(MID(K205,FIND("/",K205)+1,10),FIND("/",MID(K205,FIND("/",K205)+1,10))-1)),1),0))),0,1),1)=1,"Date; ","")&amp;IF(IFERROR(IF(M205&gt;=0,0,1),1)=1,"Amount; ","")&amp;IF(IFERROR(IF(ISNUMBER(MATCH(N205,Lists!$B$2:$B$7,0)),0,1),1)=1,"Payment; ","")))</f>
        <v/>
      </c>
      <c r="R205" s="3" t="str">
        <f aca="false">IF(D205="","",IF(COUNTIFS($D$2:$D$701,D205,$E$2:$E$701,E205)&gt;1,"DUPLICATE","Unique"))</f>
        <v>Unique</v>
      </c>
    </row>
    <row r="206" customFormat="false" ht="15" hidden="false" customHeight="false" outlineLevel="0" collapsed="false">
      <c r="A206" s="3" t="n">
        <v>205</v>
      </c>
      <c r="B206" s="3" t="n">
        <v>5</v>
      </c>
      <c r="C206" s="3" t="s">
        <v>1563</v>
      </c>
      <c r="D206" s="3" t="s">
        <v>1564</v>
      </c>
      <c r="E206" s="3" t="s">
        <v>1565</v>
      </c>
      <c r="F206" s="3" t="s">
        <v>1566</v>
      </c>
      <c r="G206" s="3" t="s">
        <v>1567</v>
      </c>
      <c r="H206" s="3" t="s">
        <v>197</v>
      </c>
      <c r="I206" s="3" t="s">
        <v>77</v>
      </c>
      <c r="J206" s="3" t="s">
        <v>1568</v>
      </c>
      <c r="K206" s="3" t="s">
        <v>482</v>
      </c>
      <c r="L206" s="3" t="s">
        <v>58</v>
      </c>
      <c r="M206" s="3" t="n">
        <v>3727.25</v>
      </c>
      <c r="N206" s="3" t="s">
        <v>52</v>
      </c>
      <c r="O206" s="3" t="n">
        <f aca="false">IFERROR(LEN(C206&amp;D206&amp;E206&amp;F206&amp;G206&amp;H206&amp;I206&amp;J206&amp;K206&amp;L206&amp;M206&amp;N206)/5,0)</f>
        <v>30</v>
      </c>
      <c r="P206" s="3" t="str">
        <f aca="false">IF(OR(D206="",C206=""),"",IF((IFERROR(IF(AND(TRIM(D206)=D206,LEN(D206)&gt;0),0,1),1)+IFERROR(IF(AND(LEN(E206)=10,ISNUMBER(VALUE(E206))),0,1),1)+IFERROR(IF(AND(ISNUMBER(SEARCH("@",F206)),ISNUMBER(SEARCH(".",F206))),0,1),1)+IFERROR(IF(AND(LEN(J206)=6,ISNUMBER(VALUE(J206))),0,1),1)+IFERROR(IF(ISNUMBER(MATCH(TRIM(I206),Lists!$A$2:$A$20,0)),0,1),1)+IFERROR(IF(AND(LEN(K206)=10,VALUE(LEFT(K206,FIND("/",K206)-1))&gt;=1,VALUE(LEFT(K206,FIND("/",K206)-1))&lt;=31,VALUE(LEFT(MID(K206,FIND("/",K206)+1,10),FIND("/",MID(K206,FIND("/",K206)+1,10))-1))&gt;=1,VALUE(LEFT(MID(K206,FIND("/",K206)+1,10),FIND("/",MID(K206,FIND("/",K206)+1,10))-1))&lt;=12,VALUE(LEFT(K206,FIND("/",K206)-1))&lt;=DAY(EOMONTH(DATE(VALUE(MID(MID(K206,FIND("/",K206)+1,10),FIND("/",MID(K206,FIND("/",K206)+1,10))+1,4)),VALUE(LEFT(MID(K206,FIND("/",K206)+1,10),FIND("/",MID(K206,FIND("/",K206)+1,10))-1)),1),0))),0,1),1)+IFERROR(IF(M206&gt;=0,0,1),1)+IFERROR(IF(ISNUMBER(MATCH(N206,Lists!$B$2:$B$7,0)),0,1),1))=0,"OK","ERROR"))</f>
        <v>OK</v>
      </c>
      <c r="Q206" s="3" t="str">
        <f aca="false">IF(D206="","",TRIM(IF(IFERROR(IF(AND(TRIM(D206)=D206,LEN(D206)&gt;0),0,1),1)=1,"Name; ","")&amp;IF(IFERROR(IF(AND(LEN(E206)=10,ISNUMBER(VALUE(E206))),0,1),1)=1,"Phone; ","")&amp;IF(IFERROR(IF(AND(ISNUMBER(SEARCH("@",F206)),ISNUMBER(SEARCH(".",F206))),0,1),1)=1,"Email; ","")&amp;IF(IFERROR(IF(AND(LEN(J206)=6,ISNUMBER(VALUE(J206))),0,1),1)=1,"Pincode; ","")&amp;IF(IFERROR(IF(ISNUMBER(MATCH(TRIM(I206),Lists!$A$2:$A$20,0)),0,1),1)=1,"State; ","")&amp;IF(IFERROR(IF(AND(LEN(K206)=10,VALUE(LEFT(K206,FIND("/",K206)-1))&gt;=1,VALUE(LEFT(K206,FIND("/",K206)-1))&lt;=31,VALUE(LEFT(MID(K206,FIND("/",K206)+1,10),FIND("/",MID(K206,FIND("/",K206)+1,10))-1))&gt;=1,VALUE(LEFT(MID(K206,FIND("/",K206)+1,10),FIND("/",MID(K206,FIND("/",K206)+1,10))-1))&lt;=12,VALUE(LEFT(K206,FIND("/",K206)-1))&lt;=DAY(EOMONTH(DATE(VALUE(MID(MID(K206,FIND("/",K206)+1,10),FIND("/",MID(K206,FIND("/",K206)+1,10))+1,4)),VALUE(LEFT(MID(K206,FIND("/",K206)+1,10),FIND("/",MID(K206,FIND("/",K206)+1,10))-1)),1),0))),0,1),1)=1,"Date; ","")&amp;IF(IFERROR(IF(M206&gt;=0,0,1),1)=1,"Amount; ","")&amp;IF(IFERROR(IF(ISNUMBER(MATCH(N206,Lists!$B$2:$B$7,0)),0,1),1)=1,"Payment; ","")))</f>
        <v/>
      </c>
      <c r="R206" s="3" t="str">
        <f aca="false">IF(D206="","",IF(COUNTIFS($D$2:$D$701,D206,$E$2:$E$701,E206)&gt;1,"DUPLICATE","Unique"))</f>
        <v>Unique</v>
      </c>
    </row>
    <row r="207" customFormat="false" ht="15" hidden="false" customHeight="false" outlineLevel="0" collapsed="false">
      <c r="A207" s="3" t="n">
        <v>206</v>
      </c>
      <c r="B207" s="3" t="n">
        <v>5</v>
      </c>
      <c r="C207" s="3" t="s">
        <v>1569</v>
      </c>
      <c r="D207" s="3" t="s">
        <v>1570</v>
      </c>
      <c r="E207" s="3" t="s">
        <v>1571</v>
      </c>
      <c r="F207" s="3" t="s">
        <v>1572</v>
      </c>
      <c r="G207" s="3" t="s">
        <v>1573</v>
      </c>
      <c r="H207" s="3" t="s">
        <v>472</v>
      </c>
      <c r="I207" s="3" t="s">
        <v>63</v>
      </c>
      <c r="J207" s="3" t="s">
        <v>1574</v>
      </c>
      <c r="K207" s="3" t="s">
        <v>1575</v>
      </c>
      <c r="L207" s="3" t="s">
        <v>68</v>
      </c>
      <c r="M207" s="3" t="n">
        <v>11764.67</v>
      </c>
      <c r="N207" s="3" t="s">
        <v>46</v>
      </c>
      <c r="O207" s="3" t="n">
        <f aca="false">IFERROR(LEN(C207&amp;D207&amp;E207&amp;F207&amp;G207&amp;H207&amp;I207&amp;J207&amp;K207&amp;L207&amp;M207&amp;N207)/5,0)</f>
        <v>28.8</v>
      </c>
      <c r="P207" s="3" t="str">
        <f aca="false">IF(OR(D207="",C207=""),"",IF((IFERROR(IF(AND(TRIM(D207)=D207,LEN(D207)&gt;0),0,1),1)+IFERROR(IF(AND(LEN(E207)=10,ISNUMBER(VALUE(E207))),0,1),1)+IFERROR(IF(AND(ISNUMBER(SEARCH("@",F207)),ISNUMBER(SEARCH(".",F207))),0,1),1)+IFERROR(IF(AND(LEN(J207)=6,ISNUMBER(VALUE(J207))),0,1),1)+IFERROR(IF(ISNUMBER(MATCH(TRIM(I207),Lists!$A$2:$A$20,0)),0,1),1)+IFERROR(IF(AND(LEN(K207)=10,VALUE(LEFT(K207,FIND("/",K207)-1))&gt;=1,VALUE(LEFT(K207,FIND("/",K207)-1))&lt;=31,VALUE(LEFT(MID(K207,FIND("/",K207)+1,10),FIND("/",MID(K207,FIND("/",K207)+1,10))-1))&gt;=1,VALUE(LEFT(MID(K207,FIND("/",K207)+1,10),FIND("/",MID(K207,FIND("/",K207)+1,10))-1))&lt;=12,VALUE(LEFT(K207,FIND("/",K207)-1))&lt;=DAY(EOMONTH(DATE(VALUE(MID(MID(K207,FIND("/",K207)+1,10),FIND("/",MID(K207,FIND("/",K207)+1,10))+1,4)),VALUE(LEFT(MID(K207,FIND("/",K207)+1,10),FIND("/",MID(K207,FIND("/",K207)+1,10))-1)),1),0))),0,1),1)+IFERROR(IF(M207&gt;=0,0,1),1)+IFERROR(IF(ISNUMBER(MATCH(N207,Lists!$B$2:$B$7,0)),0,1),1))=0,"OK","ERROR"))</f>
        <v>OK</v>
      </c>
      <c r="Q207" s="3" t="str">
        <f aca="false">IF(D207="","",TRIM(IF(IFERROR(IF(AND(TRIM(D207)=D207,LEN(D207)&gt;0),0,1),1)=1,"Name; ","")&amp;IF(IFERROR(IF(AND(LEN(E207)=10,ISNUMBER(VALUE(E207))),0,1),1)=1,"Phone; ","")&amp;IF(IFERROR(IF(AND(ISNUMBER(SEARCH("@",F207)),ISNUMBER(SEARCH(".",F207))),0,1),1)=1,"Email; ","")&amp;IF(IFERROR(IF(AND(LEN(J207)=6,ISNUMBER(VALUE(J207))),0,1),1)=1,"Pincode; ","")&amp;IF(IFERROR(IF(ISNUMBER(MATCH(TRIM(I207),Lists!$A$2:$A$20,0)),0,1),1)=1,"State; ","")&amp;IF(IFERROR(IF(AND(LEN(K207)=10,VALUE(LEFT(K207,FIND("/",K207)-1))&gt;=1,VALUE(LEFT(K207,FIND("/",K207)-1))&lt;=31,VALUE(LEFT(MID(K207,FIND("/",K207)+1,10),FIND("/",MID(K207,FIND("/",K207)+1,10))-1))&gt;=1,VALUE(LEFT(MID(K207,FIND("/",K207)+1,10),FIND("/",MID(K207,FIND("/",K207)+1,10))-1))&lt;=12,VALUE(LEFT(K207,FIND("/",K207)-1))&lt;=DAY(EOMONTH(DATE(VALUE(MID(MID(K207,FIND("/",K207)+1,10),FIND("/",MID(K207,FIND("/",K207)+1,10))+1,4)),VALUE(LEFT(MID(K207,FIND("/",K207)+1,10),FIND("/",MID(K207,FIND("/",K207)+1,10))-1)),1),0))),0,1),1)=1,"Date; ","")&amp;IF(IFERROR(IF(M207&gt;=0,0,1),1)=1,"Amount; ","")&amp;IF(IFERROR(IF(ISNUMBER(MATCH(N207,Lists!$B$2:$B$7,0)),0,1),1)=1,"Payment; ","")))</f>
        <v/>
      </c>
      <c r="R207" s="3" t="str">
        <f aca="false">IF(D207="","",IF(COUNTIFS($D$2:$D$701,D207,$E$2:$E$701,E207)&gt;1,"DUPLICATE","Unique"))</f>
        <v>Unique</v>
      </c>
    </row>
    <row r="208" customFormat="false" ht="15" hidden="false" customHeight="false" outlineLevel="0" collapsed="false">
      <c r="A208" s="3" t="n">
        <v>207</v>
      </c>
      <c r="B208" s="3" t="n">
        <v>5</v>
      </c>
      <c r="C208" s="3" t="s">
        <v>1576</v>
      </c>
      <c r="D208" s="3" t="s">
        <v>1577</v>
      </c>
      <c r="E208" s="3" t="s">
        <v>1578</v>
      </c>
      <c r="F208" s="3" t="s">
        <v>1579</v>
      </c>
      <c r="G208" s="3" t="s">
        <v>1580</v>
      </c>
      <c r="H208" s="3" t="s">
        <v>370</v>
      </c>
      <c r="I208" s="3" t="s">
        <v>42</v>
      </c>
      <c r="J208" s="3" t="s">
        <v>1581</v>
      </c>
      <c r="K208" s="3" t="s">
        <v>1582</v>
      </c>
      <c r="L208" s="3" t="s">
        <v>72</v>
      </c>
      <c r="M208" s="3" t="n">
        <v>4520.23</v>
      </c>
      <c r="N208" s="3" t="s">
        <v>55</v>
      </c>
      <c r="O208" s="3" t="n">
        <f aca="false">IFERROR(LEN(C208&amp;D208&amp;E208&amp;F208&amp;G208&amp;H208&amp;I208&amp;J208&amp;K208&amp;L208&amp;M208&amp;N208)/5,0)</f>
        <v>26.2</v>
      </c>
      <c r="P208" s="3" t="str">
        <f aca="false">IF(OR(D208="",C208=""),"",IF((IFERROR(IF(AND(TRIM(D208)=D208,LEN(D208)&gt;0),0,1),1)+IFERROR(IF(AND(LEN(E208)=10,ISNUMBER(VALUE(E208))),0,1),1)+IFERROR(IF(AND(ISNUMBER(SEARCH("@",F208)),ISNUMBER(SEARCH(".",F208))),0,1),1)+IFERROR(IF(AND(LEN(J208)=6,ISNUMBER(VALUE(J208))),0,1),1)+IFERROR(IF(ISNUMBER(MATCH(TRIM(I208),Lists!$A$2:$A$20,0)),0,1),1)+IFERROR(IF(AND(LEN(K208)=10,VALUE(LEFT(K208,FIND("/",K208)-1))&gt;=1,VALUE(LEFT(K208,FIND("/",K208)-1))&lt;=31,VALUE(LEFT(MID(K208,FIND("/",K208)+1,10),FIND("/",MID(K208,FIND("/",K208)+1,10))-1))&gt;=1,VALUE(LEFT(MID(K208,FIND("/",K208)+1,10),FIND("/",MID(K208,FIND("/",K208)+1,10))-1))&lt;=12,VALUE(LEFT(K208,FIND("/",K208)-1))&lt;=DAY(EOMONTH(DATE(VALUE(MID(MID(K208,FIND("/",K208)+1,10),FIND("/",MID(K208,FIND("/",K208)+1,10))+1,4)),VALUE(LEFT(MID(K208,FIND("/",K208)+1,10),FIND("/",MID(K208,FIND("/",K208)+1,10))-1)),1),0))),0,1),1)+IFERROR(IF(M208&gt;=0,0,1),1)+IFERROR(IF(ISNUMBER(MATCH(N208,Lists!$B$2:$B$7,0)),0,1),1))=0,"OK","ERROR"))</f>
        <v>OK</v>
      </c>
      <c r="Q208" s="3" t="str">
        <f aca="false">IF(D208="","",TRIM(IF(IFERROR(IF(AND(TRIM(D208)=D208,LEN(D208)&gt;0),0,1),1)=1,"Name; ","")&amp;IF(IFERROR(IF(AND(LEN(E208)=10,ISNUMBER(VALUE(E208))),0,1),1)=1,"Phone; ","")&amp;IF(IFERROR(IF(AND(ISNUMBER(SEARCH("@",F208)),ISNUMBER(SEARCH(".",F208))),0,1),1)=1,"Email; ","")&amp;IF(IFERROR(IF(AND(LEN(J208)=6,ISNUMBER(VALUE(J208))),0,1),1)=1,"Pincode; ","")&amp;IF(IFERROR(IF(ISNUMBER(MATCH(TRIM(I208),Lists!$A$2:$A$20,0)),0,1),1)=1,"State; ","")&amp;IF(IFERROR(IF(AND(LEN(K208)=10,VALUE(LEFT(K208,FIND("/",K208)-1))&gt;=1,VALUE(LEFT(K208,FIND("/",K208)-1))&lt;=31,VALUE(LEFT(MID(K208,FIND("/",K208)+1,10),FIND("/",MID(K208,FIND("/",K208)+1,10))-1))&gt;=1,VALUE(LEFT(MID(K208,FIND("/",K208)+1,10),FIND("/",MID(K208,FIND("/",K208)+1,10))-1))&lt;=12,VALUE(LEFT(K208,FIND("/",K208)-1))&lt;=DAY(EOMONTH(DATE(VALUE(MID(MID(K208,FIND("/",K208)+1,10),FIND("/",MID(K208,FIND("/",K208)+1,10))+1,4)),VALUE(LEFT(MID(K208,FIND("/",K208)+1,10),FIND("/",MID(K208,FIND("/",K208)+1,10))-1)),1),0))),0,1),1)=1,"Date; ","")&amp;IF(IFERROR(IF(M208&gt;=0,0,1),1)=1,"Amount; ","")&amp;IF(IFERROR(IF(ISNUMBER(MATCH(N208,Lists!$B$2:$B$7,0)),0,1),1)=1,"Payment; ","")))</f>
        <v/>
      </c>
      <c r="R208" s="3" t="str">
        <f aca="false">IF(D208="","",IF(COUNTIFS($D$2:$D$701,D208,$E$2:$E$701,E208)&gt;1,"DUPLICATE","Unique"))</f>
        <v>Unique</v>
      </c>
    </row>
    <row r="209" customFormat="false" ht="15" hidden="false" customHeight="false" outlineLevel="0" collapsed="false">
      <c r="A209" s="3" t="n">
        <v>208</v>
      </c>
      <c r="B209" s="3" t="n">
        <v>5</v>
      </c>
      <c r="C209" s="3" t="s">
        <v>1583</v>
      </c>
      <c r="D209" s="3" t="s">
        <v>1584</v>
      </c>
      <c r="E209" s="3" t="s">
        <v>1585</v>
      </c>
      <c r="F209" s="3" t="s">
        <v>1586</v>
      </c>
      <c r="G209" s="3" t="s">
        <v>1587</v>
      </c>
      <c r="H209" s="3" t="s">
        <v>149</v>
      </c>
      <c r="I209" s="3" t="s">
        <v>61</v>
      </c>
      <c r="J209" s="3" t="s">
        <v>1588</v>
      </c>
      <c r="K209" s="3" t="s">
        <v>1589</v>
      </c>
      <c r="L209" s="3" t="s">
        <v>41</v>
      </c>
      <c r="M209" s="3" t="n">
        <v>8128.02</v>
      </c>
      <c r="N209" s="3" t="s">
        <v>43</v>
      </c>
      <c r="O209" s="3" t="n">
        <f aca="false">IFERROR(LEN(C209&amp;D209&amp;E209&amp;F209&amp;G209&amp;H209&amp;I209&amp;J209&amp;K209&amp;L209&amp;M209&amp;N209)/5,0)</f>
        <v>29.2</v>
      </c>
      <c r="P209" s="3" t="str">
        <f aca="false">IF(OR(D209="",C209=""),"",IF((IFERROR(IF(AND(TRIM(D209)=D209,LEN(D209)&gt;0),0,1),1)+IFERROR(IF(AND(LEN(E209)=10,ISNUMBER(VALUE(E209))),0,1),1)+IFERROR(IF(AND(ISNUMBER(SEARCH("@",F209)),ISNUMBER(SEARCH(".",F209))),0,1),1)+IFERROR(IF(AND(LEN(J209)=6,ISNUMBER(VALUE(J209))),0,1),1)+IFERROR(IF(ISNUMBER(MATCH(TRIM(I209),Lists!$A$2:$A$20,0)),0,1),1)+IFERROR(IF(AND(LEN(K209)=10,VALUE(LEFT(K209,FIND("/",K209)-1))&gt;=1,VALUE(LEFT(K209,FIND("/",K209)-1))&lt;=31,VALUE(LEFT(MID(K209,FIND("/",K209)+1,10),FIND("/",MID(K209,FIND("/",K209)+1,10))-1))&gt;=1,VALUE(LEFT(MID(K209,FIND("/",K209)+1,10),FIND("/",MID(K209,FIND("/",K209)+1,10))-1))&lt;=12,VALUE(LEFT(K209,FIND("/",K209)-1))&lt;=DAY(EOMONTH(DATE(VALUE(MID(MID(K209,FIND("/",K209)+1,10),FIND("/",MID(K209,FIND("/",K209)+1,10))+1,4)),VALUE(LEFT(MID(K209,FIND("/",K209)+1,10),FIND("/",MID(K209,FIND("/",K209)+1,10))-1)),1),0))),0,1),1)+IFERROR(IF(M209&gt;=0,0,1),1)+IFERROR(IF(ISNUMBER(MATCH(N209,Lists!$B$2:$B$7,0)),0,1),1))=0,"OK","ERROR"))</f>
        <v>OK</v>
      </c>
      <c r="Q209" s="3" t="str">
        <f aca="false">IF(D209="","",TRIM(IF(IFERROR(IF(AND(TRIM(D209)=D209,LEN(D209)&gt;0),0,1),1)=1,"Name; ","")&amp;IF(IFERROR(IF(AND(LEN(E209)=10,ISNUMBER(VALUE(E209))),0,1),1)=1,"Phone; ","")&amp;IF(IFERROR(IF(AND(ISNUMBER(SEARCH("@",F209)),ISNUMBER(SEARCH(".",F209))),0,1),1)=1,"Email; ","")&amp;IF(IFERROR(IF(AND(LEN(J209)=6,ISNUMBER(VALUE(J209))),0,1),1)=1,"Pincode; ","")&amp;IF(IFERROR(IF(ISNUMBER(MATCH(TRIM(I209),Lists!$A$2:$A$20,0)),0,1),1)=1,"State; ","")&amp;IF(IFERROR(IF(AND(LEN(K209)=10,VALUE(LEFT(K209,FIND("/",K209)-1))&gt;=1,VALUE(LEFT(K209,FIND("/",K209)-1))&lt;=31,VALUE(LEFT(MID(K209,FIND("/",K209)+1,10),FIND("/",MID(K209,FIND("/",K209)+1,10))-1))&gt;=1,VALUE(LEFT(MID(K209,FIND("/",K209)+1,10),FIND("/",MID(K209,FIND("/",K209)+1,10))-1))&lt;=12,VALUE(LEFT(K209,FIND("/",K209)-1))&lt;=DAY(EOMONTH(DATE(VALUE(MID(MID(K209,FIND("/",K209)+1,10),FIND("/",MID(K209,FIND("/",K209)+1,10))+1,4)),VALUE(LEFT(MID(K209,FIND("/",K209)+1,10),FIND("/",MID(K209,FIND("/",K209)+1,10))-1)),1),0))),0,1),1)=1,"Date; ","")&amp;IF(IFERROR(IF(M209&gt;=0,0,1),1)=1,"Amount; ","")&amp;IF(IFERROR(IF(ISNUMBER(MATCH(N209,Lists!$B$2:$B$7,0)),0,1),1)=1,"Payment; ","")))</f>
        <v/>
      </c>
      <c r="R209" s="3" t="str">
        <f aca="false">IF(D209="","",IF(COUNTIFS($D$2:$D$701,D209,$E$2:$E$701,E209)&gt;1,"DUPLICATE","Unique"))</f>
        <v>Unique</v>
      </c>
    </row>
    <row r="210" customFormat="false" ht="15" hidden="false" customHeight="false" outlineLevel="0" collapsed="false">
      <c r="A210" s="3" t="n">
        <v>209</v>
      </c>
      <c r="B210" s="3" t="n">
        <v>5</v>
      </c>
      <c r="C210" s="3" t="s">
        <v>1590</v>
      </c>
      <c r="D210" s="3" t="s">
        <v>1591</v>
      </c>
      <c r="E210" s="3" t="s">
        <v>1592</v>
      </c>
      <c r="F210" s="3" t="s">
        <v>1593</v>
      </c>
      <c r="G210" s="3" t="s">
        <v>1594</v>
      </c>
      <c r="H210" s="3" t="s">
        <v>385</v>
      </c>
      <c r="I210" s="3" t="s">
        <v>73</v>
      </c>
      <c r="J210" s="3" t="s">
        <v>1595</v>
      </c>
      <c r="K210" s="3" t="s">
        <v>1519</v>
      </c>
      <c r="L210" s="3" t="s">
        <v>64</v>
      </c>
      <c r="M210" s="3" t="n">
        <v>2746.69</v>
      </c>
      <c r="N210" s="3" t="s">
        <v>49</v>
      </c>
      <c r="O210" s="3" t="n">
        <f aca="false">IFERROR(LEN(C210&amp;D210&amp;E210&amp;F210&amp;G210&amp;H210&amp;I210&amp;J210&amp;K210&amp;L210&amp;M210&amp;N210)/5,0)</f>
        <v>25.4</v>
      </c>
      <c r="P210" s="3" t="str">
        <f aca="false">IF(OR(D210="",C210=""),"",IF((IFERROR(IF(AND(TRIM(D210)=D210,LEN(D210)&gt;0),0,1),1)+IFERROR(IF(AND(LEN(E210)=10,ISNUMBER(VALUE(E210))),0,1),1)+IFERROR(IF(AND(ISNUMBER(SEARCH("@",F210)),ISNUMBER(SEARCH(".",F210))),0,1),1)+IFERROR(IF(AND(LEN(J210)=6,ISNUMBER(VALUE(J210))),0,1),1)+IFERROR(IF(ISNUMBER(MATCH(TRIM(I210),Lists!$A$2:$A$20,0)),0,1),1)+IFERROR(IF(AND(LEN(K210)=10,VALUE(LEFT(K210,FIND("/",K210)-1))&gt;=1,VALUE(LEFT(K210,FIND("/",K210)-1))&lt;=31,VALUE(LEFT(MID(K210,FIND("/",K210)+1,10),FIND("/",MID(K210,FIND("/",K210)+1,10))-1))&gt;=1,VALUE(LEFT(MID(K210,FIND("/",K210)+1,10),FIND("/",MID(K210,FIND("/",K210)+1,10))-1))&lt;=12,VALUE(LEFT(K210,FIND("/",K210)-1))&lt;=DAY(EOMONTH(DATE(VALUE(MID(MID(K210,FIND("/",K210)+1,10),FIND("/",MID(K210,FIND("/",K210)+1,10))+1,4)),VALUE(LEFT(MID(K210,FIND("/",K210)+1,10),FIND("/",MID(K210,FIND("/",K210)+1,10))-1)),1),0))),0,1),1)+IFERROR(IF(M210&gt;=0,0,1),1)+IFERROR(IF(ISNUMBER(MATCH(N210,Lists!$B$2:$B$7,0)),0,1),1))=0,"OK","ERROR"))</f>
        <v>OK</v>
      </c>
      <c r="Q210" s="3" t="str">
        <f aca="false">IF(D210="","",TRIM(IF(IFERROR(IF(AND(TRIM(D210)=D210,LEN(D210)&gt;0),0,1),1)=1,"Name; ","")&amp;IF(IFERROR(IF(AND(LEN(E210)=10,ISNUMBER(VALUE(E210))),0,1),1)=1,"Phone; ","")&amp;IF(IFERROR(IF(AND(ISNUMBER(SEARCH("@",F210)),ISNUMBER(SEARCH(".",F210))),0,1),1)=1,"Email; ","")&amp;IF(IFERROR(IF(AND(LEN(J210)=6,ISNUMBER(VALUE(J210))),0,1),1)=1,"Pincode; ","")&amp;IF(IFERROR(IF(ISNUMBER(MATCH(TRIM(I210),Lists!$A$2:$A$20,0)),0,1),1)=1,"State; ","")&amp;IF(IFERROR(IF(AND(LEN(K210)=10,VALUE(LEFT(K210,FIND("/",K210)-1))&gt;=1,VALUE(LEFT(K210,FIND("/",K210)-1))&lt;=31,VALUE(LEFT(MID(K210,FIND("/",K210)+1,10),FIND("/",MID(K210,FIND("/",K210)+1,10))-1))&gt;=1,VALUE(LEFT(MID(K210,FIND("/",K210)+1,10),FIND("/",MID(K210,FIND("/",K210)+1,10))-1))&lt;=12,VALUE(LEFT(K210,FIND("/",K210)-1))&lt;=DAY(EOMONTH(DATE(VALUE(MID(MID(K210,FIND("/",K210)+1,10),FIND("/",MID(K210,FIND("/",K210)+1,10))+1,4)),VALUE(LEFT(MID(K210,FIND("/",K210)+1,10),FIND("/",MID(K210,FIND("/",K210)+1,10))-1)),1),0))),0,1),1)=1,"Date; ","")&amp;IF(IFERROR(IF(M210&gt;=0,0,1),1)=1,"Amount; ","")&amp;IF(IFERROR(IF(ISNUMBER(MATCH(N210,Lists!$B$2:$B$7,0)),0,1),1)=1,"Payment; ","")))</f>
        <v/>
      </c>
      <c r="R210" s="3" t="str">
        <f aca="false">IF(D210="","",IF(COUNTIFS($D$2:$D$701,D210,$E$2:$E$701,E210)&gt;1,"DUPLICATE","Unique"))</f>
        <v>Unique</v>
      </c>
    </row>
    <row r="211" customFormat="false" ht="15" hidden="false" customHeight="false" outlineLevel="0" collapsed="false">
      <c r="A211" s="3" t="n">
        <v>210</v>
      </c>
      <c r="B211" s="3" t="n">
        <v>5</v>
      </c>
      <c r="C211" s="3" t="s">
        <v>1596</v>
      </c>
      <c r="D211" s="3" t="s">
        <v>1597</v>
      </c>
      <c r="E211" s="3" t="s">
        <v>1598</v>
      </c>
      <c r="F211" s="3" t="s">
        <v>1599</v>
      </c>
      <c r="G211" s="3" t="s">
        <v>1600</v>
      </c>
      <c r="H211" s="3" t="s">
        <v>1193</v>
      </c>
      <c r="I211" s="3" t="s">
        <v>39</v>
      </c>
      <c r="J211" s="3" t="s">
        <v>1601</v>
      </c>
      <c r="K211" s="3" t="s">
        <v>1602</v>
      </c>
      <c r="L211" s="3" t="s">
        <v>44</v>
      </c>
      <c r="M211" s="3" t="n">
        <v>3621.18</v>
      </c>
      <c r="N211" s="3" t="s">
        <v>52</v>
      </c>
      <c r="O211" s="3" t="n">
        <f aca="false">IFERROR(LEN(C211&amp;D211&amp;E211&amp;F211&amp;G211&amp;H211&amp;I211&amp;J211&amp;K211&amp;L211&amp;M211&amp;N211)/5,0)</f>
        <v>27.6</v>
      </c>
      <c r="P211" s="3" t="str">
        <f aca="false">IF(OR(D211="",C211=""),"",IF((IFERROR(IF(AND(TRIM(D211)=D211,LEN(D211)&gt;0),0,1),1)+IFERROR(IF(AND(LEN(E211)=10,ISNUMBER(VALUE(E211))),0,1),1)+IFERROR(IF(AND(ISNUMBER(SEARCH("@",F211)),ISNUMBER(SEARCH(".",F211))),0,1),1)+IFERROR(IF(AND(LEN(J211)=6,ISNUMBER(VALUE(J211))),0,1),1)+IFERROR(IF(ISNUMBER(MATCH(TRIM(I211),Lists!$A$2:$A$20,0)),0,1),1)+IFERROR(IF(AND(LEN(K211)=10,VALUE(LEFT(K211,FIND("/",K211)-1))&gt;=1,VALUE(LEFT(K211,FIND("/",K211)-1))&lt;=31,VALUE(LEFT(MID(K211,FIND("/",K211)+1,10),FIND("/",MID(K211,FIND("/",K211)+1,10))-1))&gt;=1,VALUE(LEFT(MID(K211,FIND("/",K211)+1,10),FIND("/",MID(K211,FIND("/",K211)+1,10))-1))&lt;=12,VALUE(LEFT(K211,FIND("/",K211)-1))&lt;=DAY(EOMONTH(DATE(VALUE(MID(MID(K211,FIND("/",K211)+1,10),FIND("/",MID(K211,FIND("/",K211)+1,10))+1,4)),VALUE(LEFT(MID(K211,FIND("/",K211)+1,10),FIND("/",MID(K211,FIND("/",K211)+1,10))-1)),1),0))),0,1),1)+IFERROR(IF(M211&gt;=0,0,1),1)+IFERROR(IF(ISNUMBER(MATCH(N211,Lists!$B$2:$B$7,0)),0,1),1))=0,"OK","ERROR"))</f>
        <v>OK</v>
      </c>
      <c r="Q211" s="3" t="str">
        <f aca="false">IF(D211="","",TRIM(IF(IFERROR(IF(AND(TRIM(D211)=D211,LEN(D211)&gt;0),0,1),1)=1,"Name; ","")&amp;IF(IFERROR(IF(AND(LEN(E211)=10,ISNUMBER(VALUE(E211))),0,1),1)=1,"Phone; ","")&amp;IF(IFERROR(IF(AND(ISNUMBER(SEARCH("@",F211)),ISNUMBER(SEARCH(".",F211))),0,1),1)=1,"Email; ","")&amp;IF(IFERROR(IF(AND(LEN(J211)=6,ISNUMBER(VALUE(J211))),0,1),1)=1,"Pincode; ","")&amp;IF(IFERROR(IF(ISNUMBER(MATCH(TRIM(I211),Lists!$A$2:$A$20,0)),0,1),1)=1,"State; ","")&amp;IF(IFERROR(IF(AND(LEN(K211)=10,VALUE(LEFT(K211,FIND("/",K211)-1))&gt;=1,VALUE(LEFT(K211,FIND("/",K211)-1))&lt;=31,VALUE(LEFT(MID(K211,FIND("/",K211)+1,10),FIND("/",MID(K211,FIND("/",K211)+1,10))-1))&gt;=1,VALUE(LEFT(MID(K211,FIND("/",K211)+1,10),FIND("/",MID(K211,FIND("/",K211)+1,10))-1))&lt;=12,VALUE(LEFT(K211,FIND("/",K211)-1))&lt;=DAY(EOMONTH(DATE(VALUE(MID(MID(K211,FIND("/",K211)+1,10),FIND("/",MID(K211,FIND("/",K211)+1,10))+1,4)),VALUE(LEFT(MID(K211,FIND("/",K211)+1,10),FIND("/",MID(K211,FIND("/",K211)+1,10))-1)),1),0))),0,1),1)=1,"Date; ","")&amp;IF(IFERROR(IF(M211&gt;=0,0,1),1)=1,"Amount; ","")&amp;IF(IFERROR(IF(ISNUMBER(MATCH(N211,Lists!$B$2:$B$7,0)),0,1),1)=1,"Payment; ","")))</f>
        <v/>
      </c>
      <c r="R211" s="3" t="str">
        <f aca="false">IF(D211="","",IF(COUNTIFS($D$2:$D$701,D211,$E$2:$E$701,E211)&gt;1,"DUPLICATE","Unique"))</f>
        <v>Unique</v>
      </c>
    </row>
    <row r="212" customFormat="false" ht="15" hidden="false" customHeight="false" outlineLevel="0" collapsed="false">
      <c r="A212" s="3" t="n">
        <v>211</v>
      </c>
      <c r="B212" s="3" t="n">
        <v>5</v>
      </c>
      <c r="C212" s="3" t="s">
        <v>1603</v>
      </c>
      <c r="D212" s="3" t="s">
        <v>1604</v>
      </c>
      <c r="E212" s="3" t="s">
        <v>1605</v>
      </c>
      <c r="F212" s="3" t="s">
        <v>1606</v>
      </c>
      <c r="G212" s="3" t="s">
        <v>1607</v>
      </c>
      <c r="H212" s="3" t="s">
        <v>340</v>
      </c>
      <c r="I212" s="3" t="s">
        <v>75</v>
      </c>
      <c r="J212" s="3" t="s">
        <v>1608</v>
      </c>
      <c r="K212" s="3" t="s">
        <v>1609</v>
      </c>
      <c r="L212" s="3" t="s">
        <v>58</v>
      </c>
      <c r="M212" s="3" t="n">
        <v>2287.97</v>
      </c>
      <c r="N212" s="3" t="s">
        <v>40</v>
      </c>
      <c r="O212" s="3" t="n">
        <f aca="false">IFERROR(LEN(C212&amp;D212&amp;E212&amp;F212&amp;G212&amp;H212&amp;I212&amp;J212&amp;K212&amp;L212&amp;M212&amp;N212)/5,0)</f>
        <v>26.2</v>
      </c>
      <c r="P212" s="3" t="str">
        <f aca="false">IF(OR(D212="",C212=""),"",IF((IFERROR(IF(AND(TRIM(D212)=D212,LEN(D212)&gt;0),0,1),1)+IFERROR(IF(AND(LEN(E212)=10,ISNUMBER(VALUE(E212))),0,1),1)+IFERROR(IF(AND(ISNUMBER(SEARCH("@",F212)),ISNUMBER(SEARCH(".",F212))),0,1),1)+IFERROR(IF(AND(LEN(J212)=6,ISNUMBER(VALUE(J212))),0,1),1)+IFERROR(IF(ISNUMBER(MATCH(TRIM(I212),Lists!$A$2:$A$20,0)),0,1),1)+IFERROR(IF(AND(LEN(K212)=10,VALUE(LEFT(K212,FIND("/",K212)-1))&gt;=1,VALUE(LEFT(K212,FIND("/",K212)-1))&lt;=31,VALUE(LEFT(MID(K212,FIND("/",K212)+1,10),FIND("/",MID(K212,FIND("/",K212)+1,10))-1))&gt;=1,VALUE(LEFT(MID(K212,FIND("/",K212)+1,10),FIND("/",MID(K212,FIND("/",K212)+1,10))-1))&lt;=12,VALUE(LEFT(K212,FIND("/",K212)-1))&lt;=DAY(EOMONTH(DATE(VALUE(MID(MID(K212,FIND("/",K212)+1,10),FIND("/",MID(K212,FIND("/",K212)+1,10))+1,4)),VALUE(LEFT(MID(K212,FIND("/",K212)+1,10),FIND("/",MID(K212,FIND("/",K212)+1,10))-1)),1),0))),0,1),1)+IFERROR(IF(M212&gt;=0,0,1),1)+IFERROR(IF(ISNUMBER(MATCH(N212,Lists!$B$2:$B$7,0)),0,1),1))=0,"OK","ERROR"))</f>
        <v>OK</v>
      </c>
      <c r="Q212" s="3" t="str">
        <f aca="false">IF(D212="","",TRIM(IF(IFERROR(IF(AND(TRIM(D212)=D212,LEN(D212)&gt;0),0,1),1)=1,"Name; ","")&amp;IF(IFERROR(IF(AND(LEN(E212)=10,ISNUMBER(VALUE(E212))),0,1),1)=1,"Phone; ","")&amp;IF(IFERROR(IF(AND(ISNUMBER(SEARCH("@",F212)),ISNUMBER(SEARCH(".",F212))),0,1),1)=1,"Email; ","")&amp;IF(IFERROR(IF(AND(LEN(J212)=6,ISNUMBER(VALUE(J212))),0,1),1)=1,"Pincode; ","")&amp;IF(IFERROR(IF(ISNUMBER(MATCH(TRIM(I212),Lists!$A$2:$A$20,0)),0,1),1)=1,"State; ","")&amp;IF(IFERROR(IF(AND(LEN(K212)=10,VALUE(LEFT(K212,FIND("/",K212)-1))&gt;=1,VALUE(LEFT(K212,FIND("/",K212)-1))&lt;=31,VALUE(LEFT(MID(K212,FIND("/",K212)+1,10),FIND("/",MID(K212,FIND("/",K212)+1,10))-1))&gt;=1,VALUE(LEFT(MID(K212,FIND("/",K212)+1,10),FIND("/",MID(K212,FIND("/",K212)+1,10))-1))&lt;=12,VALUE(LEFT(K212,FIND("/",K212)-1))&lt;=DAY(EOMONTH(DATE(VALUE(MID(MID(K212,FIND("/",K212)+1,10),FIND("/",MID(K212,FIND("/",K212)+1,10))+1,4)),VALUE(LEFT(MID(K212,FIND("/",K212)+1,10),FIND("/",MID(K212,FIND("/",K212)+1,10))-1)),1),0))),0,1),1)=1,"Date; ","")&amp;IF(IFERROR(IF(M212&gt;=0,0,1),1)=1,"Amount; ","")&amp;IF(IFERROR(IF(ISNUMBER(MATCH(N212,Lists!$B$2:$B$7,0)),0,1),1)=1,"Payment; ","")))</f>
        <v/>
      </c>
      <c r="R212" s="3" t="str">
        <f aca="false">IF(D212="","",IF(COUNTIFS($D$2:$D$701,D212,$E$2:$E$701,E212)&gt;1,"DUPLICATE","Unique"))</f>
        <v>Unique</v>
      </c>
    </row>
    <row r="213" customFormat="false" ht="15" hidden="false" customHeight="false" outlineLevel="0" collapsed="false">
      <c r="A213" s="3" t="n">
        <v>212</v>
      </c>
      <c r="B213" s="3" t="n">
        <v>5</v>
      </c>
      <c r="C213" s="3" t="s">
        <v>1610</v>
      </c>
      <c r="D213" s="3" t="s">
        <v>1611</v>
      </c>
      <c r="E213" s="3" t="s">
        <v>1612</v>
      </c>
      <c r="F213" s="3" t="s">
        <v>1613</v>
      </c>
      <c r="G213" s="3" t="s">
        <v>1614</v>
      </c>
      <c r="H213" s="3" t="s">
        <v>863</v>
      </c>
      <c r="I213" s="3" t="s">
        <v>57</v>
      </c>
      <c r="J213" s="3" t="s">
        <v>1615</v>
      </c>
      <c r="K213" s="3" t="s">
        <v>159</v>
      </c>
      <c r="L213" s="3" t="s">
        <v>72</v>
      </c>
      <c r="M213" s="3" t="n">
        <v>217.96</v>
      </c>
      <c r="N213" s="3" t="s">
        <v>55</v>
      </c>
      <c r="O213" s="3" t="n">
        <f aca="false">IFERROR(LEN(C213&amp;D213&amp;E213&amp;F213&amp;G213&amp;H213&amp;I213&amp;J213&amp;K213&amp;L213&amp;M213&amp;N213)/5,0)</f>
        <v>23.2</v>
      </c>
      <c r="P213" s="3" t="str">
        <f aca="false">IF(OR(D213="",C213=""),"",IF((IFERROR(IF(AND(TRIM(D213)=D213,LEN(D213)&gt;0),0,1),1)+IFERROR(IF(AND(LEN(E213)=10,ISNUMBER(VALUE(E213))),0,1),1)+IFERROR(IF(AND(ISNUMBER(SEARCH("@",F213)),ISNUMBER(SEARCH(".",F213))),0,1),1)+IFERROR(IF(AND(LEN(J213)=6,ISNUMBER(VALUE(J213))),0,1),1)+IFERROR(IF(ISNUMBER(MATCH(TRIM(I213),Lists!$A$2:$A$20,0)),0,1),1)+IFERROR(IF(AND(LEN(K213)=10,VALUE(LEFT(K213,FIND("/",K213)-1))&gt;=1,VALUE(LEFT(K213,FIND("/",K213)-1))&lt;=31,VALUE(LEFT(MID(K213,FIND("/",K213)+1,10),FIND("/",MID(K213,FIND("/",K213)+1,10))-1))&gt;=1,VALUE(LEFT(MID(K213,FIND("/",K213)+1,10),FIND("/",MID(K213,FIND("/",K213)+1,10))-1))&lt;=12,VALUE(LEFT(K213,FIND("/",K213)-1))&lt;=DAY(EOMONTH(DATE(VALUE(MID(MID(K213,FIND("/",K213)+1,10),FIND("/",MID(K213,FIND("/",K213)+1,10))+1,4)),VALUE(LEFT(MID(K213,FIND("/",K213)+1,10),FIND("/",MID(K213,FIND("/",K213)+1,10))-1)),1),0))),0,1),1)+IFERROR(IF(M213&gt;=0,0,1),1)+IFERROR(IF(ISNUMBER(MATCH(N213,Lists!$B$2:$B$7,0)),0,1),1))=0,"OK","ERROR"))</f>
        <v>OK</v>
      </c>
      <c r="Q213" s="3" t="str">
        <f aca="false">IF(D213="","",TRIM(IF(IFERROR(IF(AND(TRIM(D213)=D213,LEN(D213)&gt;0),0,1),1)=1,"Name; ","")&amp;IF(IFERROR(IF(AND(LEN(E213)=10,ISNUMBER(VALUE(E213))),0,1),1)=1,"Phone; ","")&amp;IF(IFERROR(IF(AND(ISNUMBER(SEARCH("@",F213)),ISNUMBER(SEARCH(".",F213))),0,1),1)=1,"Email; ","")&amp;IF(IFERROR(IF(AND(LEN(J213)=6,ISNUMBER(VALUE(J213))),0,1),1)=1,"Pincode; ","")&amp;IF(IFERROR(IF(ISNUMBER(MATCH(TRIM(I213),Lists!$A$2:$A$20,0)),0,1),1)=1,"State; ","")&amp;IF(IFERROR(IF(AND(LEN(K213)=10,VALUE(LEFT(K213,FIND("/",K213)-1))&gt;=1,VALUE(LEFT(K213,FIND("/",K213)-1))&lt;=31,VALUE(LEFT(MID(K213,FIND("/",K213)+1,10),FIND("/",MID(K213,FIND("/",K213)+1,10))-1))&gt;=1,VALUE(LEFT(MID(K213,FIND("/",K213)+1,10),FIND("/",MID(K213,FIND("/",K213)+1,10))-1))&lt;=12,VALUE(LEFT(K213,FIND("/",K213)-1))&lt;=DAY(EOMONTH(DATE(VALUE(MID(MID(K213,FIND("/",K213)+1,10),FIND("/",MID(K213,FIND("/",K213)+1,10))+1,4)),VALUE(LEFT(MID(K213,FIND("/",K213)+1,10),FIND("/",MID(K213,FIND("/",K213)+1,10))-1)),1),0))),0,1),1)=1,"Date; ","")&amp;IF(IFERROR(IF(M213&gt;=0,0,1),1)=1,"Amount; ","")&amp;IF(IFERROR(IF(ISNUMBER(MATCH(N213,Lists!$B$2:$B$7,0)),0,1),1)=1,"Payment; ","")))</f>
        <v/>
      </c>
      <c r="R213" s="3" t="str">
        <f aca="false">IF(D213="","",IF(COUNTIFS($D$2:$D$701,D213,$E$2:$E$701,E213)&gt;1,"DUPLICATE","Unique"))</f>
        <v>Unique</v>
      </c>
    </row>
    <row r="214" customFormat="false" ht="15" hidden="false" customHeight="false" outlineLevel="0" collapsed="false">
      <c r="A214" s="3" t="n">
        <v>213</v>
      </c>
      <c r="B214" s="3" t="n">
        <v>5</v>
      </c>
      <c r="C214" s="3" t="s">
        <v>1616</v>
      </c>
      <c r="D214" s="3" t="s">
        <v>1617</v>
      </c>
      <c r="E214" s="3" t="s">
        <v>1618</v>
      </c>
      <c r="F214" s="3" t="s">
        <v>1619</v>
      </c>
      <c r="G214" s="3" t="s">
        <v>1620</v>
      </c>
      <c r="H214" s="3" t="s">
        <v>235</v>
      </c>
      <c r="I214" s="3" t="s">
        <v>71</v>
      </c>
      <c r="J214" s="3" t="s">
        <v>1621</v>
      </c>
      <c r="K214" s="3" t="s">
        <v>1622</v>
      </c>
      <c r="L214" s="3" t="s">
        <v>74</v>
      </c>
      <c r="M214" s="3" t="n">
        <v>8789.95</v>
      </c>
      <c r="N214" s="3" t="s">
        <v>46</v>
      </c>
      <c r="O214" s="3" t="n">
        <f aca="false">IFERROR(LEN(C214&amp;D214&amp;E214&amp;F214&amp;G214&amp;H214&amp;I214&amp;J214&amp;K214&amp;L214&amp;M214&amp;N214)/5,0)</f>
        <v>27.4</v>
      </c>
      <c r="P214" s="3" t="str">
        <f aca="false">IF(OR(D214="",C214=""),"",IF((IFERROR(IF(AND(TRIM(D214)=D214,LEN(D214)&gt;0),0,1),1)+IFERROR(IF(AND(LEN(E214)=10,ISNUMBER(VALUE(E214))),0,1),1)+IFERROR(IF(AND(ISNUMBER(SEARCH("@",F214)),ISNUMBER(SEARCH(".",F214))),0,1),1)+IFERROR(IF(AND(LEN(J214)=6,ISNUMBER(VALUE(J214))),0,1),1)+IFERROR(IF(ISNUMBER(MATCH(TRIM(I214),Lists!$A$2:$A$20,0)),0,1),1)+IFERROR(IF(AND(LEN(K214)=10,VALUE(LEFT(K214,FIND("/",K214)-1))&gt;=1,VALUE(LEFT(K214,FIND("/",K214)-1))&lt;=31,VALUE(LEFT(MID(K214,FIND("/",K214)+1,10),FIND("/",MID(K214,FIND("/",K214)+1,10))-1))&gt;=1,VALUE(LEFT(MID(K214,FIND("/",K214)+1,10),FIND("/",MID(K214,FIND("/",K214)+1,10))-1))&lt;=12,VALUE(LEFT(K214,FIND("/",K214)-1))&lt;=DAY(EOMONTH(DATE(VALUE(MID(MID(K214,FIND("/",K214)+1,10),FIND("/",MID(K214,FIND("/",K214)+1,10))+1,4)),VALUE(LEFT(MID(K214,FIND("/",K214)+1,10),FIND("/",MID(K214,FIND("/",K214)+1,10))-1)),1),0))),0,1),1)+IFERROR(IF(M214&gt;=0,0,1),1)+IFERROR(IF(ISNUMBER(MATCH(N214,Lists!$B$2:$B$7,0)),0,1),1))=0,"OK","ERROR"))</f>
        <v>OK</v>
      </c>
      <c r="Q214" s="3" t="str">
        <f aca="false">IF(D214="","",TRIM(IF(IFERROR(IF(AND(TRIM(D214)=D214,LEN(D214)&gt;0),0,1),1)=1,"Name; ","")&amp;IF(IFERROR(IF(AND(LEN(E214)=10,ISNUMBER(VALUE(E214))),0,1),1)=1,"Phone; ","")&amp;IF(IFERROR(IF(AND(ISNUMBER(SEARCH("@",F214)),ISNUMBER(SEARCH(".",F214))),0,1),1)=1,"Email; ","")&amp;IF(IFERROR(IF(AND(LEN(J214)=6,ISNUMBER(VALUE(J214))),0,1),1)=1,"Pincode; ","")&amp;IF(IFERROR(IF(ISNUMBER(MATCH(TRIM(I214),Lists!$A$2:$A$20,0)),0,1),1)=1,"State; ","")&amp;IF(IFERROR(IF(AND(LEN(K214)=10,VALUE(LEFT(K214,FIND("/",K214)-1))&gt;=1,VALUE(LEFT(K214,FIND("/",K214)-1))&lt;=31,VALUE(LEFT(MID(K214,FIND("/",K214)+1,10),FIND("/",MID(K214,FIND("/",K214)+1,10))-1))&gt;=1,VALUE(LEFT(MID(K214,FIND("/",K214)+1,10),FIND("/",MID(K214,FIND("/",K214)+1,10))-1))&lt;=12,VALUE(LEFT(K214,FIND("/",K214)-1))&lt;=DAY(EOMONTH(DATE(VALUE(MID(MID(K214,FIND("/",K214)+1,10),FIND("/",MID(K214,FIND("/",K214)+1,10))+1,4)),VALUE(LEFT(MID(K214,FIND("/",K214)+1,10),FIND("/",MID(K214,FIND("/",K214)+1,10))-1)),1),0))),0,1),1)=1,"Date; ","")&amp;IF(IFERROR(IF(M214&gt;=0,0,1),1)=1,"Amount; ","")&amp;IF(IFERROR(IF(ISNUMBER(MATCH(N214,Lists!$B$2:$B$7,0)),0,1),1)=1,"Payment; ","")))</f>
        <v/>
      </c>
      <c r="R214" s="3" t="str">
        <f aca="false">IF(D214="","",IF(COUNTIFS($D$2:$D$701,D214,$E$2:$E$701,E214)&gt;1,"DUPLICATE","Unique"))</f>
        <v>Unique</v>
      </c>
    </row>
    <row r="215" customFormat="false" ht="15" hidden="false" customHeight="false" outlineLevel="0" collapsed="false">
      <c r="A215" s="3" t="n">
        <v>214</v>
      </c>
      <c r="B215" s="3" t="n">
        <v>5</v>
      </c>
      <c r="C215" s="3" t="s">
        <v>1623</v>
      </c>
      <c r="D215" s="3" t="s">
        <v>1624</v>
      </c>
      <c r="E215" s="3" t="s">
        <v>1625</v>
      </c>
      <c r="F215" s="3" t="s">
        <v>1626</v>
      </c>
      <c r="G215" s="3" t="s">
        <v>1627</v>
      </c>
      <c r="H215" s="3" t="s">
        <v>510</v>
      </c>
      <c r="I215" s="3" t="s">
        <v>57</v>
      </c>
      <c r="J215" s="3" t="s">
        <v>1628</v>
      </c>
      <c r="K215" s="3" t="s">
        <v>1629</v>
      </c>
      <c r="L215" s="3" t="s">
        <v>58</v>
      </c>
      <c r="M215" s="3" t="n">
        <v>9120.79</v>
      </c>
      <c r="N215" s="3" t="s">
        <v>52</v>
      </c>
      <c r="O215" s="3" t="n">
        <f aca="false">IFERROR(LEN(C215&amp;D215&amp;E215&amp;F215&amp;G215&amp;H215&amp;I215&amp;J215&amp;K215&amp;L215&amp;M215&amp;N215)/5,0)</f>
        <v>28.2</v>
      </c>
      <c r="P215" s="3" t="str">
        <f aca="false">IF(OR(D215="",C215=""),"",IF((IFERROR(IF(AND(TRIM(D215)=D215,LEN(D215)&gt;0),0,1),1)+IFERROR(IF(AND(LEN(E215)=10,ISNUMBER(VALUE(E215))),0,1),1)+IFERROR(IF(AND(ISNUMBER(SEARCH("@",F215)),ISNUMBER(SEARCH(".",F215))),0,1),1)+IFERROR(IF(AND(LEN(J215)=6,ISNUMBER(VALUE(J215))),0,1),1)+IFERROR(IF(ISNUMBER(MATCH(TRIM(I215),Lists!$A$2:$A$20,0)),0,1),1)+IFERROR(IF(AND(LEN(K215)=10,VALUE(LEFT(K215,FIND("/",K215)-1))&gt;=1,VALUE(LEFT(K215,FIND("/",K215)-1))&lt;=31,VALUE(LEFT(MID(K215,FIND("/",K215)+1,10),FIND("/",MID(K215,FIND("/",K215)+1,10))-1))&gt;=1,VALUE(LEFT(MID(K215,FIND("/",K215)+1,10),FIND("/",MID(K215,FIND("/",K215)+1,10))-1))&lt;=12,VALUE(LEFT(K215,FIND("/",K215)-1))&lt;=DAY(EOMONTH(DATE(VALUE(MID(MID(K215,FIND("/",K215)+1,10),FIND("/",MID(K215,FIND("/",K215)+1,10))+1,4)),VALUE(LEFT(MID(K215,FIND("/",K215)+1,10),FIND("/",MID(K215,FIND("/",K215)+1,10))-1)),1),0))),0,1),1)+IFERROR(IF(M215&gt;=0,0,1),1)+IFERROR(IF(ISNUMBER(MATCH(N215,Lists!$B$2:$B$7,0)),0,1),1))=0,"OK","ERROR"))</f>
        <v>OK</v>
      </c>
      <c r="Q215" s="3" t="str">
        <f aca="false">IF(D215="","",TRIM(IF(IFERROR(IF(AND(TRIM(D215)=D215,LEN(D215)&gt;0),0,1),1)=1,"Name; ","")&amp;IF(IFERROR(IF(AND(LEN(E215)=10,ISNUMBER(VALUE(E215))),0,1),1)=1,"Phone; ","")&amp;IF(IFERROR(IF(AND(ISNUMBER(SEARCH("@",F215)),ISNUMBER(SEARCH(".",F215))),0,1),1)=1,"Email; ","")&amp;IF(IFERROR(IF(AND(LEN(J215)=6,ISNUMBER(VALUE(J215))),0,1),1)=1,"Pincode; ","")&amp;IF(IFERROR(IF(ISNUMBER(MATCH(TRIM(I215),Lists!$A$2:$A$20,0)),0,1),1)=1,"State; ","")&amp;IF(IFERROR(IF(AND(LEN(K215)=10,VALUE(LEFT(K215,FIND("/",K215)-1))&gt;=1,VALUE(LEFT(K215,FIND("/",K215)-1))&lt;=31,VALUE(LEFT(MID(K215,FIND("/",K215)+1,10),FIND("/",MID(K215,FIND("/",K215)+1,10))-1))&gt;=1,VALUE(LEFT(MID(K215,FIND("/",K215)+1,10),FIND("/",MID(K215,FIND("/",K215)+1,10))-1))&lt;=12,VALUE(LEFT(K215,FIND("/",K215)-1))&lt;=DAY(EOMONTH(DATE(VALUE(MID(MID(K215,FIND("/",K215)+1,10),FIND("/",MID(K215,FIND("/",K215)+1,10))+1,4)),VALUE(LEFT(MID(K215,FIND("/",K215)+1,10),FIND("/",MID(K215,FIND("/",K215)+1,10))-1)),1),0))),0,1),1)=1,"Date; ","")&amp;IF(IFERROR(IF(M215&gt;=0,0,1),1)=1,"Amount; ","")&amp;IF(IFERROR(IF(ISNUMBER(MATCH(N215,Lists!$B$2:$B$7,0)),0,1),1)=1,"Payment; ","")))</f>
        <v/>
      </c>
      <c r="R215" s="3" t="str">
        <f aca="false">IF(D215="","",IF(COUNTIFS($D$2:$D$701,D215,$E$2:$E$701,E215)&gt;1,"DUPLICATE","Unique"))</f>
        <v>Unique</v>
      </c>
    </row>
    <row r="216" customFormat="false" ht="15" hidden="false" customHeight="false" outlineLevel="0" collapsed="false">
      <c r="A216" s="3" t="n">
        <v>215</v>
      </c>
      <c r="B216" s="3" t="n">
        <v>5</v>
      </c>
      <c r="C216" s="3" t="s">
        <v>1630</v>
      </c>
      <c r="D216" s="3" t="s">
        <v>1631</v>
      </c>
      <c r="E216" s="3" t="s">
        <v>1632</v>
      </c>
      <c r="F216" s="3" t="s">
        <v>1633</v>
      </c>
      <c r="G216" s="3" t="s">
        <v>1634</v>
      </c>
      <c r="H216" s="3" t="s">
        <v>149</v>
      </c>
      <c r="I216" s="3" t="s">
        <v>61</v>
      </c>
      <c r="J216" s="3" t="s">
        <v>1635</v>
      </c>
      <c r="K216" s="3" t="s">
        <v>872</v>
      </c>
      <c r="L216" s="3" t="s">
        <v>60</v>
      </c>
      <c r="M216" s="3" t="n">
        <v>12572.13</v>
      </c>
      <c r="N216" s="3" t="s">
        <v>43</v>
      </c>
      <c r="O216" s="3" t="n">
        <f aca="false">IFERROR(LEN(C216&amp;D216&amp;E216&amp;F216&amp;G216&amp;H216&amp;I216&amp;J216&amp;K216&amp;L216&amp;M216&amp;N216)/5,0)</f>
        <v>27.8</v>
      </c>
      <c r="P216" s="3" t="str">
        <f aca="false">IF(OR(D216="",C216=""),"",IF((IFERROR(IF(AND(TRIM(D216)=D216,LEN(D216)&gt;0),0,1),1)+IFERROR(IF(AND(LEN(E216)=10,ISNUMBER(VALUE(E216))),0,1),1)+IFERROR(IF(AND(ISNUMBER(SEARCH("@",F216)),ISNUMBER(SEARCH(".",F216))),0,1),1)+IFERROR(IF(AND(LEN(J216)=6,ISNUMBER(VALUE(J216))),0,1),1)+IFERROR(IF(ISNUMBER(MATCH(TRIM(I216),Lists!$A$2:$A$20,0)),0,1),1)+IFERROR(IF(AND(LEN(K216)=10,VALUE(LEFT(K216,FIND("/",K216)-1))&gt;=1,VALUE(LEFT(K216,FIND("/",K216)-1))&lt;=31,VALUE(LEFT(MID(K216,FIND("/",K216)+1,10),FIND("/",MID(K216,FIND("/",K216)+1,10))-1))&gt;=1,VALUE(LEFT(MID(K216,FIND("/",K216)+1,10),FIND("/",MID(K216,FIND("/",K216)+1,10))-1))&lt;=12,VALUE(LEFT(K216,FIND("/",K216)-1))&lt;=DAY(EOMONTH(DATE(VALUE(MID(MID(K216,FIND("/",K216)+1,10),FIND("/",MID(K216,FIND("/",K216)+1,10))+1,4)),VALUE(LEFT(MID(K216,FIND("/",K216)+1,10),FIND("/",MID(K216,FIND("/",K216)+1,10))-1)),1),0))),0,1),1)+IFERROR(IF(M216&gt;=0,0,1),1)+IFERROR(IF(ISNUMBER(MATCH(N216,Lists!$B$2:$B$7,0)),0,1),1))=0,"OK","ERROR"))</f>
        <v>OK</v>
      </c>
      <c r="Q216" s="3" t="str">
        <f aca="false">IF(D216="","",TRIM(IF(IFERROR(IF(AND(TRIM(D216)=D216,LEN(D216)&gt;0),0,1),1)=1,"Name; ","")&amp;IF(IFERROR(IF(AND(LEN(E216)=10,ISNUMBER(VALUE(E216))),0,1),1)=1,"Phone; ","")&amp;IF(IFERROR(IF(AND(ISNUMBER(SEARCH("@",F216)),ISNUMBER(SEARCH(".",F216))),0,1),1)=1,"Email; ","")&amp;IF(IFERROR(IF(AND(LEN(J216)=6,ISNUMBER(VALUE(J216))),0,1),1)=1,"Pincode; ","")&amp;IF(IFERROR(IF(ISNUMBER(MATCH(TRIM(I216),Lists!$A$2:$A$20,0)),0,1),1)=1,"State; ","")&amp;IF(IFERROR(IF(AND(LEN(K216)=10,VALUE(LEFT(K216,FIND("/",K216)-1))&gt;=1,VALUE(LEFT(K216,FIND("/",K216)-1))&lt;=31,VALUE(LEFT(MID(K216,FIND("/",K216)+1,10),FIND("/",MID(K216,FIND("/",K216)+1,10))-1))&gt;=1,VALUE(LEFT(MID(K216,FIND("/",K216)+1,10),FIND("/",MID(K216,FIND("/",K216)+1,10))-1))&lt;=12,VALUE(LEFT(K216,FIND("/",K216)-1))&lt;=DAY(EOMONTH(DATE(VALUE(MID(MID(K216,FIND("/",K216)+1,10),FIND("/",MID(K216,FIND("/",K216)+1,10))+1,4)),VALUE(LEFT(MID(K216,FIND("/",K216)+1,10),FIND("/",MID(K216,FIND("/",K216)+1,10))-1)),1),0))),0,1),1)=1,"Date; ","")&amp;IF(IFERROR(IF(M216&gt;=0,0,1),1)=1,"Amount; ","")&amp;IF(IFERROR(IF(ISNUMBER(MATCH(N216,Lists!$B$2:$B$7,0)),0,1),1)=1,"Payment; ","")))</f>
        <v/>
      </c>
      <c r="R216" s="3" t="str">
        <f aca="false">IF(D216="","",IF(COUNTIFS($D$2:$D$701,D216,$E$2:$E$701,E216)&gt;1,"DUPLICATE","Unique"))</f>
        <v>Unique</v>
      </c>
    </row>
    <row r="217" customFormat="false" ht="15" hidden="false" customHeight="false" outlineLevel="0" collapsed="false">
      <c r="A217" s="3" t="n">
        <v>216</v>
      </c>
      <c r="B217" s="3" t="n">
        <v>5</v>
      </c>
      <c r="C217" s="3" t="s">
        <v>1636</v>
      </c>
      <c r="D217" s="3" t="s">
        <v>1637</v>
      </c>
      <c r="E217" s="3" t="s">
        <v>1638</v>
      </c>
      <c r="F217" s="3" t="s">
        <v>1639</v>
      </c>
      <c r="G217" s="3" t="s">
        <v>1640</v>
      </c>
      <c r="H217" s="3" t="s">
        <v>102</v>
      </c>
      <c r="I217" s="3" t="s">
        <v>48</v>
      </c>
      <c r="J217" s="3" t="s">
        <v>1641</v>
      </c>
      <c r="K217" s="3" t="s">
        <v>1642</v>
      </c>
      <c r="L217" s="3" t="s">
        <v>64</v>
      </c>
      <c r="M217" s="3" t="n">
        <v>795.53</v>
      </c>
      <c r="N217" s="3" t="s">
        <v>49</v>
      </c>
      <c r="O217" s="3" t="n">
        <f aca="false">IFERROR(LEN(C217&amp;D217&amp;E217&amp;F217&amp;G217&amp;H217&amp;I217&amp;J217&amp;K217&amp;L217&amp;M217&amp;N217)/5,0)</f>
        <v>27</v>
      </c>
      <c r="P217" s="3" t="str">
        <f aca="false">IF(OR(D217="",C217=""),"",IF((IFERROR(IF(AND(TRIM(D217)=D217,LEN(D217)&gt;0),0,1),1)+IFERROR(IF(AND(LEN(E217)=10,ISNUMBER(VALUE(E217))),0,1),1)+IFERROR(IF(AND(ISNUMBER(SEARCH("@",F217)),ISNUMBER(SEARCH(".",F217))),0,1),1)+IFERROR(IF(AND(LEN(J217)=6,ISNUMBER(VALUE(J217))),0,1),1)+IFERROR(IF(ISNUMBER(MATCH(TRIM(I217),Lists!$A$2:$A$20,0)),0,1),1)+IFERROR(IF(AND(LEN(K217)=10,VALUE(LEFT(K217,FIND("/",K217)-1))&gt;=1,VALUE(LEFT(K217,FIND("/",K217)-1))&lt;=31,VALUE(LEFT(MID(K217,FIND("/",K217)+1,10),FIND("/",MID(K217,FIND("/",K217)+1,10))-1))&gt;=1,VALUE(LEFT(MID(K217,FIND("/",K217)+1,10),FIND("/",MID(K217,FIND("/",K217)+1,10))-1))&lt;=12,VALUE(LEFT(K217,FIND("/",K217)-1))&lt;=DAY(EOMONTH(DATE(VALUE(MID(MID(K217,FIND("/",K217)+1,10),FIND("/",MID(K217,FIND("/",K217)+1,10))+1,4)),VALUE(LEFT(MID(K217,FIND("/",K217)+1,10),FIND("/",MID(K217,FIND("/",K217)+1,10))-1)),1),0))),0,1),1)+IFERROR(IF(M217&gt;=0,0,1),1)+IFERROR(IF(ISNUMBER(MATCH(N217,Lists!$B$2:$B$7,0)),0,1),1))=0,"OK","ERROR"))</f>
        <v>OK</v>
      </c>
      <c r="Q217" s="3" t="str">
        <f aca="false">IF(D217="","",TRIM(IF(IFERROR(IF(AND(TRIM(D217)=D217,LEN(D217)&gt;0),0,1),1)=1,"Name; ","")&amp;IF(IFERROR(IF(AND(LEN(E217)=10,ISNUMBER(VALUE(E217))),0,1),1)=1,"Phone; ","")&amp;IF(IFERROR(IF(AND(ISNUMBER(SEARCH("@",F217)),ISNUMBER(SEARCH(".",F217))),0,1),1)=1,"Email; ","")&amp;IF(IFERROR(IF(AND(LEN(J217)=6,ISNUMBER(VALUE(J217))),0,1),1)=1,"Pincode; ","")&amp;IF(IFERROR(IF(ISNUMBER(MATCH(TRIM(I217),Lists!$A$2:$A$20,0)),0,1),1)=1,"State; ","")&amp;IF(IFERROR(IF(AND(LEN(K217)=10,VALUE(LEFT(K217,FIND("/",K217)-1))&gt;=1,VALUE(LEFT(K217,FIND("/",K217)-1))&lt;=31,VALUE(LEFT(MID(K217,FIND("/",K217)+1,10),FIND("/",MID(K217,FIND("/",K217)+1,10))-1))&gt;=1,VALUE(LEFT(MID(K217,FIND("/",K217)+1,10),FIND("/",MID(K217,FIND("/",K217)+1,10))-1))&lt;=12,VALUE(LEFT(K217,FIND("/",K217)-1))&lt;=DAY(EOMONTH(DATE(VALUE(MID(MID(K217,FIND("/",K217)+1,10),FIND("/",MID(K217,FIND("/",K217)+1,10))+1,4)),VALUE(LEFT(MID(K217,FIND("/",K217)+1,10),FIND("/",MID(K217,FIND("/",K217)+1,10))-1)),1),0))),0,1),1)=1,"Date; ","")&amp;IF(IFERROR(IF(M217&gt;=0,0,1),1)=1,"Amount; ","")&amp;IF(IFERROR(IF(ISNUMBER(MATCH(N217,Lists!$B$2:$B$7,0)),0,1),1)=1,"Payment; ","")))</f>
        <v/>
      </c>
      <c r="R217" s="3" t="str">
        <f aca="false">IF(D217="","",IF(COUNTIFS($D$2:$D$701,D217,$E$2:$E$701,E217)&gt;1,"DUPLICATE","Unique"))</f>
        <v>Unique</v>
      </c>
    </row>
    <row r="218" customFormat="false" ht="15" hidden="false" customHeight="false" outlineLevel="0" collapsed="false">
      <c r="A218" s="3" t="n">
        <v>217</v>
      </c>
      <c r="B218" s="3" t="n">
        <v>5</v>
      </c>
      <c r="C218" s="3" t="s">
        <v>1643</v>
      </c>
      <c r="D218" s="3" t="s">
        <v>1644</v>
      </c>
      <c r="E218" s="3" t="s">
        <v>1645</v>
      </c>
      <c r="F218" s="3" t="s">
        <v>1646</v>
      </c>
      <c r="G218" s="3" t="s">
        <v>1647</v>
      </c>
      <c r="H218" s="3" t="s">
        <v>310</v>
      </c>
      <c r="I218" s="3" t="s">
        <v>69</v>
      </c>
      <c r="J218" s="3" t="s">
        <v>1648</v>
      </c>
      <c r="K218" s="3" t="s">
        <v>1649</v>
      </c>
      <c r="L218" s="3" t="s">
        <v>56</v>
      </c>
      <c r="M218" s="3" t="n">
        <v>3979.25</v>
      </c>
      <c r="N218" s="3" t="s">
        <v>40</v>
      </c>
      <c r="O218" s="3" t="n">
        <f aca="false">IFERROR(LEN(C218&amp;D218&amp;E218&amp;F218&amp;G218&amp;H218&amp;I218&amp;J218&amp;K218&amp;L218&amp;M218&amp;N218)/5,0)</f>
        <v>29</v>
      </c>
      <c r="P218" s="3" t="str">
        <f aca="false">IF(OR(D218="",C218=""),"",IF((IFERROR(IF(AND(TRIM(D218)=D218,LEN(D218)&gt;0),0,1),1)+IFERROR(IF(AND(LEN(E218)=10,ISNUMBER(VALUE(E218))),0,1),1)+IFERROR(IF(AND(ISNUMBER(SEARCH("@",F218)),ISNUMBER(SEARCH(".",F218))),0,1),1)+IFERROR(IF(AND(LEN(J218)=6,ISNUMBER(VALUE(J218))),0,1),1)+IFERROR(IF(ISNUMBER(MATCH(TRIM(I218),Lists!$A$2:$A$20,0)),0,1),1)+IFERROR(IF(AND(LEN(K218)=10,VALUE(LEFT(K218,FIND("/",K218)-1))&gt;=1,VALUE(LEFT(K218,FIND("/",K218)-1))&lt;=31,VALUE(LEFT(MID(K218,FIND("/",K218)+1,10),FIND("/",MID(K218,FIND("/",K218)+1,10))-1))&gt;=1,VALUE(LEFT(MID(K218,FIND("/",K218)+1,10),FIND("/",MID(K218,FIND("/",K218)+1,10))-1))&lt;=12,VALUE(LEFT(K218,FIND("/",K218)-1))&lt;=DAY(EOMONTH(DATE(VALUE(MID(MID(K218,FIND("/",K218)+1,10),FIND("/",MID(K218,FIND("/",K218)+1,10))+1,4)),VALUE(LEFT(MID(K218,FIND("/",K218)+1,10),FIND("/",MID(K218,FIND("/",K218)+1,10))-1)),1),0))),0,1),1)+IFERROR(IF(M218&gt;=0,0,1),1)+IFERROR(IF(ISNUMBER(MATCH(N218,Lists!$B$2:$B$7,0)),0,1),1))=0,"OK","ERROR"))</f>
        <v>OK</v>
      </c>
      <c r="Q218" s="3" t="str">
        <f aca="false">IF(D218="","",TRIM(IF(IFERROR(IF(AND(TRIM(D218)=D218,LEN(D218)&gt;0),0,1),1)=1,"Name; ","")&amp;IF(IFERROR(IF(AND(LEN(E218)=10,ISNUMBER(VALUE(E218))),0,1),1)=1,"Phone; ","")&amp;IF(IFERROR(IF(AND(ISNUMBER(SEARCH("@",F218)),ISNUMBER(SEARCH(".",F218))),0,1),1)=1,"Email; ","")&amp;IF(IFERROR(IF(AND(LEN(J218)=6,ISNUMBER(VALUE(J218))),0,1),1)=1,"Pincode; ","")&amp;IF(IFERROR(IF(ISNUMBER(MATCH(TRIM(I218),Lists!$A$2:$A$20,0)),0,1),1)=1,"State; ","")&amp;IF(IFERROR(IF(AND(LEN(K218)=10,VALUE(LEFT(K218,FIND("/",K218)-1))&gt;=1,VALUE(LEFT(K218,FIND("/",K218)-1))&lt;=31,VALUE(LEFT(MID(K218,FIND("/",K218)+1,10),FIND("/",MID(K218,FIND("/",K218)+1,10))-1))&gt;=1,VALUE(LEFT(MID(K218,FIND("/",K218)+1,10),FIND("/",MID(K218,FIND("/",K218)+1,10))-1))&lt;=12,VALUE(LEFT(K218,FIND("/",K218)-1))&lt;=DAY(EOMONTH(DATE(VALUE(MID(MID(K218,FIND("/",K218)+1,10),FIND("/",MID(K218,FIND("/",K218)+1,10))+1,4)),VALUE(LEFT(MID(K218,FIND("/",K218)+1,10),FIND("/",MID(K218,FIND("/",K218)+1,10))-1)),1),0))),0,1),1)=1,"Date; ","")&amp;IF(IFERROR(IF(M218&gt;=0,0,1),1)=1,"Amount; ","")&amp;IF(IFERROR(IF(ISNUMBER(MATCH(N218,Lists!$B$2:$B$7,0)),0,1),1)=1,"Payment; ","")))</f>
        <v/>
      </c>
      <c r="R218" s="3" t="str">
        <f aca="false">IF(D218="","",IF(COUNTIFS($D$2:$D$701,D218,$E$2:$E$701,E218)&gt;1,"DUPLICATE","Unique"))</f>
        <v>Unique</v>
      </c>
    </row>
    <row r="219" customFormat="false" ht="15" hidden="false" customHeight="false" outlineLevel="0" collapsed="false">
      <c r="A219" s="3" t="n">
        <v>218</v>
      </c>
      <c r="B219" s="3" t="n">
        <v>5</v>
      </c>
      <c r="C219" s="3" t="s">
        <v>1650</v>
      </c>
      <c r="D219" s="3" t="s">
        <v>1651</v>
      </c>
      <c r="E219" s="3" t="s">
        <v>1652</v>
      </c>
      <c r="F219" s="3" t="s">
        <v>1653</v>
      </c>
      <c r="G219" s="3" t="s">
        <v>1654</v>
      </c>
      <c r="H219" s="3" t="s">
        <v>1094</v>
      </c>
      <c r="I219" s="3" t="s">
        <v>54</v>
      </c>
      <c r="J219" s="3" t="s">
        <v>1655</v>
      </c>
      <c r="K219" s="3" t="s">
        <v>1656</v>
      </c>
      <c r="L219" s="3" t="s">
        <v>50</v>
      </c>
      <c r="M219" s="3" t="n">
        <v>9779.54</v>
      </c>
      <c r="N219" s="3" t="s">
        <v>43</v>
      </c>
      <c r="O219" s="3" t="n">
        <f aca="false">IFERROR(LEN(C219&amp;D219&amp;E219&amp;F219&amp;G219&amp;H219&amp;I219&amp;J219&amp;K219&amp;L219&amp;M219&amp;N219)/5,0)</f>
        <v>26.2</v>
      </c>
      <c r="P219" s="3" t="str">
        <f aca="false">IF(OR(D219="",C219=""),"",IF((IFERROR(IF(AND(TRIM(D219)=D219,LEN(D219)&gt;0),0,1),1)+IFERROR(IF(AND(LEN(E219)=10,ISNUMBER(VALUE(E219))),0,1),1)+IFERROR(IF(AND(ISNUMBER(SEARCH("@",F219)),ISNUMBER(SEARCH(".",F219))),0,1),1)+IFERROR(IF(AND(LEN(J219)=6,ISNUMBER(VALUE(J219))),0,1),1)+IFERROR(IF(ISNUMBER(MATCH(TRIM(I219),Lists!$A$2:$A$20,0)),0,1),1)+IFERROR(IF(AND(LEN(K219)=10,VALUE(LEFT(K219,FIND("/",K219)-1))&gt;=1,VALUE(LEFT(K219,FIND("/",K219)-1))&lt;=31,VALUE(LEFT(MID(K219,FIND("/",K219)+1,10),FIND("/",MID(K219,FIND("/",K219)+1,10))-1))&gt;=1,VALUE(LEFT(MID(K219,FIND("/",K219)+1,10),FIND("/",MID(K219,FIND("/",K219)+1,10))-1))&lt;=12,VALUE(LEFT(K219,FIND("/",K219)-1))&lt;=DAY(EOMONTH(DATE(VALUE(MID(MID(K219,FIND("/",K219)+1,10),FIND("/",MID(K219,FIND("/",K219)+1,10))+1,4)),VALUE(LEFT(MID(K219,FIND("/",K219)+1,10),FIND("/",MID(K219,FIND("/",K219)+1,10))-1)),1),0))),0,1),1)+IFERROR(IF(M219&gt;=0,0,1),1)+IFERROR(IF(ISNUMBER(MATCH(N219,Lists!$B$2:$B$7,0)),0,1),1))=0,"OK","ERROR"))</f>
        <v>OK</v>
      </c>
      <c r="Q219" s="3" t="str">
        <f aca="false">IF(D219="","",TRIM(IF(IFERROR(IF(AND(TRIM(D219)=D219,LEN(D219)&gt;0),0,1),1)=1,"Name; ","")&amp;IF(IFERROR(IF(AND(LEN(E219)=10,ISNUMBER(VALUE(E219))),0,1),1)=1,"Phone; ","")&amp;IF(IFERROR(IF(AND(ISNUMBER(SEARCH("@",F219)),ISNUMBER(SEARCH(".",F219))),0,1),1)=1,"Email; ","")&amp;IF(IFERROR(IF(AND(LEN(J219)=6,ISNUMBER(VALUE(J219))),0,1),1)=1,"Pincode; ","")&amp;IF(IFERROR(IF(ISNUMBER(MATCH(TRIM(I219),Lists!$A$2:$A$20,0)),0,1),1)=1,"State; ","")&amp;IF(IFERROR(IF(AND(LEN(K219)=10,VALUE(LEFT(K219,FIND("/",K219)-1))&gt;=1,VALUE(LEFT(K219,FIND("/",K219)-1))&lt;=31,VALUE(LEFT(MID(K219,FIND("/",K219)+1,10),FIND("/",MID(K219,FIND("/",K219)+1,10))-1))&gt;=1,VALUE(LEFT(MID(K219,FIND("/",K219)+1,10),FIND("/",MID(K219,FIND("/",K219)+1,10))-1))&lt;=12,VALUE(LEFT(K219,FIND("/",K219)-1))&lt;=DAY(EOMONTH(DATE(VALUE(MID(MID(K219,FIND("/",K219)+1,10),FIND("/",MID(K219,FIND("/",K219)+1,10))+1,4)),VALUE(LEFT(MID(K219,FIND("/",K219)+1,10),FIND("/",MID(K219,FIND("/",K219)+1,10))-1)),1),0))),0,1),1)=1,"Date; ","")&amp;IF(IFERROR(IF(M219&gt;=0,0,1),1)=1,"Amount; ","")&amp;IF(IFERROR(IF(ISNUMBER(MATCH(N219,Lists!$B$2:$B$7,0)),0,1),1)=1,"Payment; ","")))</f>
        <v/>
      </c>
      <c r="R219" s="3" t="str">
        <f aca="false">IF(D219="","",IF(COUNTIFS($D$2:$D$701,D219,$E$2:$E$701,E219)&gt;1,"DUPLICATE","Unique"))</f>
        <v>Unique</v>
      </c>
    </row>
    <row r="220" customFormat="false" ht="15" hidden="false" customHeight="false" outlineLevel="0" collapsed="false">
      <c r="A220" s="3" t="n">
        <v>219</v>
      </c>
      <c r="B220" s="3" t="n">
        <v>5</v>
      </c>
      <c r="C220" s="3" t="s">
        <v>1657</v>
      </c>
      <c r="D220" s="3" t="s">
        <v>1658</v>
      </c>
      <c r="E220" s="3" t="s">
        <v>1659</v>
      </c>
      <c r="F220" s="3" t="s">
        <v>1660</v>
      </c>
      <c r="G220" s="3" t="s">
        <v>1661</v>
      </c>
      <c r="H220" s="3" t="s">
        <v>502</v>
      </c>
      <c r="I220" s="3" t="s">
        <v>73</v>
      </c>
      <c r="J220" s="3" t="s">
        <v>1662</v>
      </c>
      <c r="K220" s="3" t="s">
        <v>1663</v>
      </c>
      <c r="L220" s="3" t="s">
        <v>64</v>
      </c>
      <c r="M220" s="3" t="n">
        <v>7840.35</v>
      </c>
      <c r="N220" s="3" t="s">
        <v>43</v>
      </c>
      <c r="O220" s="3" t="n">
        <f aca="false">IFERROR(LEN(C220&amp;D220&amp;E220&amp;F220&amp;G220&amp;H220&amp;I220&amp;J220&amp;K220&amp;L220&amp;M220&amp;N220)/5,0)</f>
        <v>27.2</v>
      </c>
      <c r="P220" s="3" t="str">
        <f aca="false">IF(OR(D220="",C220=""),"",IF((IFERROR(IF(AND(TRIM(D220)=D220,LEN(D220)&gt;0),0,1),1)+IFERROR(IF(AND(LEN(E220)=10,ISNUMBER(VALUE(E220))),0,1),1)+IFERROR(IF(AND(ISNUMBER(SEARCH("@",F220)),ISNUMBER(SEARCH(".",F220))),0,1),1)+IFERROR(IF(AND(LEN(J220)=6,ISNUMBER(VALUE(J220))),0,1),1)+IFERROR(IF(ISNUMBER(MATCH(TRIM(I220),Lists!$A$2:$A$20,0)),0,1),1)+IFERROR(IF(AND(LEN(K220)=10,VALUE(LEFT(K220,FIND("/",K220)-1))&gt;=1,VALUE(LEFT(K220,FIND("/",K220)-1))&lt;=31,VALUE(LEFT(MID(K220,FIND("/",K220)+1,10),FIND("/",MID(K220,FIND("/",K220)+1,10))-1))&gt;=1,VALUE(LEFT(MID(K220,FIND("/",K220)+1,10),FIND("/",MID(K220,FIND("/",K220)+1,10))-1))&lt;=12,VALUE(LEFT(K220,FIND("/",K220)-1))&lt;=DAY(EOMONTH(DATE(VALUE(MID(MID(K220,FIND("/",K220)+1,10),FIND("/",MID(K220,FIND("/",K220)+1,10))+1,4)),VALUE(LEFT(MID(K220,FIND("/",K220)+1,10),FIND("/",MID(K220,FIND("/",K220)+1,10))-1)),1),0))),0,1),1)+IFERROR(IF(M220&gt;=0,0,1),1)+IFERROR(IF(ISNUMBER(MATCH(N220,Lists!$B$2:$B$7,0)),0,1),1))=0,"OK","ERROR"))</f>
        <v>OK</v>
      </c>
      <c r="Q220" s="3" t="str">
        <f aca="false">IF(D220="","",TRIM(IF(IFERROR(IF(AND(TRIM(D220)=D220,LEN(D220)&gt;0),0,1),1)=1,"Name; ","")&amp;IF(IFERROR(IF(AND(LEN(E220)=10,ISNUMBER(VALUE(E220))),0,1),1)=1,"Phone; ","")&amp;IF(IFERROR(IF(AND(ISNUMBER(SEARCH("@",F220)),ISNUMBER(SEARCH(".",F220))),0,1),1)=1,"Email; ","")&amp;IF(IFERROR(IF(AND(LEN(J220)=6,ISNUMBER(VALUE(J220))),0,1),1)=1,"Pincode; ","")&amp;IF(IFERROR(IF(ISNUMBER(MATCH(TRIM(I220),Lists!$A$2:$A$20,0)),0,1),1)=1,"State; ","")&amp;IF(IFERROR(IF(AND(LEN(K220)=10,VALUE(LEFT(K220,FIND("/",K220)-1))&gt;=1,VALUE(LEFT(K220,FIND("/",K220)-1))&lt;=31,VALUE(LEFT(MID(K220,FIND("/",K220)+1,10),FIND("/",MID(K220,FIND("/",K220)+1,10))-1))&gt;=1,VALUE(LEFT(MID(K220,FIND("/",K220)+1,10),FIND("/",MID(K220,FIND("/",K220)+1,10))-1))&lt;=12,VALUE(LEFT(K220,FIND("/",K220)-1))&lt;=DAY(EOMONTH(DATE(VALUE(MID(MID(K220,FIND("/",K220)+1,10),FIND("/",MID(K220,FIND("/",K220)+1,10))+1,4)),VALUE(LEFT(MID(K220,FIND("/",K220)+1,10),FIND("/",MID(K220,FIND("/",K220)+1,10))-1)),1),0))),0,1),1)=1,"Date; ","")&amp;IF(IFERROR(IF(M220&gt;=0,0,1),1)=1,"Amount; ","")&amp;IF(IFERROR(IF(ISNUMBER(MATCH(N220,Lists!$B$2:$B$7,0)),0,1),1)=1,"Payment; ","")))</f>
        <v/>
      </c>
      <c r="R220" s="3" t="str">
        <f aca="false">IF(D220="","",IF(COUNTIFS($D$2:$D$701,D220,$E$2:$E$701,E220)&gt;1,"DUPLICATE","Unique"))</f>
        <v>Unique</v>
      </c>
    </row>
    <row r="221" customFormat="false" ht="15" hidden="false" customHeight="false" outlineLevel="0" collapsed="false">
      <c r="A221" s="3" t="n">
        <v>220</v>
      </c>
      <c r="B221" s="3" t="n">
        <v>5</v>
      </c>
      <c r="C221" s="3" t="s">
        <v>1664</v>
      </c>
      <c r="D221" s="3" t="s">
        <v>1665</v>
      </c>
      <c r="E221" s="3" t="s">
        <v>1666</v>
      </c>
      <c r="F221" s="3" t="s">
        <v>1667</v>
      </c>
      <c r="G221" s="3" t="s">
        <v>1668</v>
      </c>
      <c r="H221" s="3" t="s">
        <v>250</v>
      </c>
      <c r="I221" s="3" t="s">
        <v>65</v>
      </c>
      <c r="J221" s="3" t="s">
        <v>1669</v>
      </c>
      <c r="K221" s="3" t="s">
        <v>1670</v>
      </c>
      <c r="L221" s="3" t="s">
        <v>53</v>
      </c>
      <c r="M221" s="3" t="n">
        <v>1668.55</v>
      </c>
      <c r="N221" s="3" t="s">
        <v>55</v>
      </c>
      <c r="O221" s="3" t="n">
        <f aca="false">IFERROR(LEN(C221&amp;D221&amp;E221&amp;F221&amp;G221&amp;H221&amp;I221&amp;J221&amp;K221&amp;L221&amp;M221&amp;N221)/5,0)</f>
        <v>27.8</v>
      </c>
      <c r="P221" s="3" t="str">
        <f aca="false">IF(OR(D221="",C221=""),"",IF((IFERROR(IF(AND(TRIM(D221)=D221,LEN(D221)&gt;0),0,1),1)+IFERROR(IF(AND(LEN(E221)=10,ISNUMBER(VALUE(E221))),0,1),1)+IFERROR(IF(AND(ISNUMBER(SEARCH("@",F221)),ISNUMBER(SEARCH(".",F221))),0,1),1)+IFERROR(IF(AND(LEN(J221)=6,ISNUMBER(VALUE(J221))),0,1),1)+IFERROR(IF(ISNUMBER(MATCH(TRIM(I221),Lists!$A$2:$A$20,0)),0,1),1)+IFERROR(IF(AND(LEN(K221)=10,VALUE(LEFT(K221,FIND("/",K221)-1))&gt;=1,VALUE(LEFT(K221,FIND("/",K221)-1))&lt;=31,VALUE(LEFT(MID(K221,FIND("/",K221)+1,10),FIND("/",MID(K221,FIND("/",K221)+1,10))-1))&gt;=1,VALUE(LEFT(MID(K221,FIND("/",K221)+1,10),FIND("/",MID(K221,FIND("/",K221)+1,10))-1))&lt;=12,VALUE(LEFT(K221,FIND("/",K221)-1))&lt;=DAY(EOMONTH(DATE(VALUE(MID(MID(K221,FIND("/",K221)+1,10),FIND("/",MID(K221,FIND("/",K221)+1,10))+1,4)),VALUE(LEFT(MID(K221,FIND("/",K221)+1,10),FIND("/",MID(K221,FIND("/",K221)+1,10))-1)),1),0))),0,1),1)+IFERROR(IF(M221&gt;=0,0,1),1)+IFERROR(IF(ISNUMBER(MATCH(N221,Lists!$B$2:$B$7,0)),0,1),1))=0,"OK","ERROR"))</f>
        <v>OK</v>
      </c>
      <c r="Q221" s="3" t="str">
        <f aca="false">IF(D221="","",TRIM(IF(IFERROR(IF(AND(TRIM(D221)=D221,LEN(D221)&gt;0),0,1),1)=1,"Name; ","")&amp;IF(IFERROR(IF(AND(LEN(E221)=10,ISNUMBER(VALUE(E221))),0,1),1)=1,"Phone; ","")&amp;IF(IFERROR(IF(AND(ISNUMBER(SEARCH("@",F221)),ISNUMBER(SEARCH(".",F221))),0,1),1)=1,"Email; ","")&amp;IF(IFERROR(IF(AND(LEN(J221)=6,ISNUMBER(VALUE(J221))),0,1),1)=1,"Pincode; ","")&amp;IF(IFERROR(IF(ISNUMBER(MATCH(TRIM(I221),Lists!$A$2:$A$20,0)),0,1),1)=1,"State; ","")&amp;IF(IFERROR(IF(AND(LEN(K221)=10,VALUE(LEFT(K221,FIND("/",K221)-1))&gt;=1,VALUE(LEFT(K221,FIND("/",K221)-1))&lt;=31,VALUE(LEFT(MID(K221,FIND("/",K221)+1,10),FIND("/",MID(K221,FIND("/",K221)+1,10))-1))&gt;=1,VALUE(LEFT(MID(K221,FIND("/",K221)+1,10),FIND("/",MID(K221,FIND("/",K221)+1,10))-1))&lt;=12,VALUE(LEFT(K221,FIND("/",K221)-1))&lt;=DAY(EOMONTH(DATE(VALUE(MID(MID(K221,FIND("/",K221)+1,10),FIND("/",MID(K221,FIND("/",K221)+1,10))+1,4)),VALUE(LEFT(MID(K221,FIND("/",K221)+1,10),FIND("/",MID(K221,FIND("/",K221)+1,10))-1)),1),0))),0,1),1)=1,"Date; ","")&amp;IF(IFERROR(IF(M221&gt;=0,0,1),1)=1,"Amount; ","")&amp;IF(IFERROR(IF(ISNUMBER(MATCH(N221,Lists!$B$2:$B$7,0)),0,1),1)=1,"Payment; ","")))</f>
        <v/>
      </c>
      <c r="R221" s="3" t="str">
        <f aca="false">IF(D221="","",IF(COUNTIFS($D$2:$D$701,D221,$E$2:$E$701,E221)&gt;1,"DUPLICATE","Unique"))</f>
        <v>Unique</v>
      </c>
    </row>
    <row r="222" customFormat="false" ht="15" hidden="false" customHeight="false" outlineLevel="0" collapsed="false">
      <c r="A222" s="3" t="n">
        <v>221</v>
      </c>
      <c r="B222" s="3" t="n">
        <v>5</v>
      </c>
      <c r="C222" s="3" t="s">
        <v>1671</v>
      </c>
      <c r="D222" s="3" t="s">
        <v>1672</v>
      </c>
      <c r="E222" s="3" t="s">
        <v>1673</v>
      </c>
      <c r="F222" s="3" t="s">
        <v>1674</v>
      </c>
      <c r="G222" s="3" t="s">
        <v>1675</v>
      </c>
      <c r="H222" s="3" t="s">
        <v>134</v>
      </c>
      <c r="I222" s="3" t="s">
        <v>65</v>
      </c>
      <c r="J222" s="3" t="s">
        <v>1676</v>
      </c>
      <c r="K222" s="3" t="s">
        <v>1677</v>
      </c>
      <c r="L222" s="3" t="s">
        <v>72</v>
      </c>
      <c r="M222" s="3" t="n">
        <v>4144.19</v>
      </c>
      <c r="N222" s="3" t="s">
        <v>52</v>
      </c>
      <c r="O222" s="3" t="n">
        <f aca="false">IFERROR(LEN(C222&amp;D222&amp;E222&amp;F222&amp;G222&amp;H222&amp;I222&amp;J222&amp;K222&amp;L222&amp;M222&amp;N222)/5,0)</f>
        <v>26.8</v>
      </c>
      <c r="P222" s="3" t="str">
        <f aca="false">IF(OR(D222="",C222=""),"",IF((IFERROR(IF(AND(TRIM(D222)=D222,LEN(D222)&gt;0),0,1),1)+IFERROR(IF(AND(LEN(E222)=10,ISNUMBER(VALUE(E222))),0,1),1)+IFERROR(IF(AND(ISNUMBER(SEARCH("@",F222)),ISNUMBER(SEARCH(".",F222))),0,1),1)+IFERROR(IF(AND(LEN(J222)=6,ISNUMBER(VALUE(J222))),0,1),1)+IFERROR(IF(ISNUMBER(MATCH(TRIM(I222),Lists!$A$2:$A$20,0)),0,1),1)+IFERROR(IF(AND(LEN(K222)=10,VALUE(LEFT(K222,FIND("/",K222)-1))&gt;=1,VALUE(LEFT(K222,FIND("/",K222)-1))&lt;=31,VALUE(LEFT(MID(K222,FIND("/",K222)+1,10),FIND("/",MID(K222,FIND("/",K222)+1,10))-1))&gt;=1,VALUE(LEFT(MID(K222,FIND("/",K222)+1,10),FIND("/",MID(K222,FIND("/",K222)+1,10))-1))&lt;=12,VALUE(LEFT(K222,FIND("/",K222)-1))&lt;=DAY(EOMONTH(DATE(VALUE(MID(MID(K222,FIND("/",K222)+1,10),FIND("/",MID(K222,FIND("/",K222)+1,10))+1,4)),VALUE(LEFT(MID(K222,FIND("/",K222)+1,10),FIND("/",MID(K222,FIND("/",K222)+1,10))-1)),1),0))),0,1),1)+IFERROR(IF(M222&gt;=0,0,1),1)+IFERROR(IF(ISNUMBER(MATCH(N222,Lists!$B$2:$B$7,0)),0,1),1))=0,"OK","ERROR"))</f>
        <v>OK</v>
      </c>
      <c r="Q222" s="3" t="str">
        <f aca="false">IF(D222="","",TRIM(IF(IFERROR(IF(AND(TRIM(D222)=D222,LEN(D222)&gt;0),0,1),1)=1,"Name; ","")&amp;IF(IFERROR(IF(AND(LEN(E222)=10,ISNUMBER(VALUE(E222))),0,1),1)=1,"Phone; ","")&amp;IF(IFERROR(IF(AND(ISNUMBER(SEARCH("@",F222)),ISNUMBER(SEARCH(".",F222))),0,1),1)=1,"Email; ","")&amp;IF(IFERROR(IF(AND(LEN(J222)=6,ISNUMBER(VALUE(J222))),0,1),1)=1,"Pincode; ","")&amp;IF(IFERROR(IF(ISNUMBER(MATCH(TRIM(I222),Lists!$A$2:$A$20,0)),0,1),1)=1,"State; ","")&amp;IF(IFERROR(IF(AND(LEN(K222)=10,VALUE(LEFT(K222,FIND("/",K222)-1))&gt;=1,VALUE(LEFT(K222,FIND("/",K222)-1))&lt;=31,VALUE(LEFT(MID(K222,FIND("/",K222)+1,10),FIND("/",MID(K222,FIND("/",K222)+1,10))-1))&gt;=1,VALUE(LEFT(MID(K222,FIND("/",K222)+1,10),FIND("/",MID(K222,FIND("/",K222)+1,10))-1))&lt;=12,VALUE(LEFT(K222,FIND("/",K222)-1))&lt;=DAY(EOMONTH(DATE(VALUE(MID(MID(K222,FIND("/",K222)+1,10),FIND("/",MID(K222,FIND("/",K222)+1,10))+1,4)),VALUE(LEFT(MID(K222,FIND("/",K222)+1,10),FIND("/",MID(K222,FIND("/",K222)+1,10))-1)),1),0))),0,1),1)=1,"Date; ","")&amp;IF(IFERROR(IF(M222&gt;=0,0,1),1)=1,"Amount; ","")&amp;IF(IFERROR(IF(ISNUMBER(MATCH(N222,Lists!$B$2:$B$7,0)),0,1),1)=1,"Payment; ","")))</f>
        <v/>
      </c>
      <c r="R222" s="3" t="str">
        <f aca="false">IF(D222="","",IF(COUNTIFS($D$2:$D$701,D222,$E$2:$E$701,E222)&gt;1,"DUPLICATE","Unique"))</f>
        <v>Unique</v>
      </c>
    </row>
    <row r="223" customFormat="false" ht="15" hidden="false" customHeight="false" outlineLevel="0" collapsed="false">
      <c r="A223" s="3" t="n">
        <v>222</v>
      </c>
      <c r="B223" s="3" t="n">
        <v>5</v>
      </c>
      <c r="C223" s="3" t="s">
        <v>1678</v>
      </c>
      <c r="D223" s="3" t="s">
        <v>1679</v>
      </c>
      <c r="E223" s="3" t="s">
        <v>1680</v>
      </c>
      <c r="F223" s="3" t="s">
        <v>1681</v>
      </c>
      <c r="G223" s="3" t="s">
        <v>1682</v>
      </c>
      <c r="H223" s="3" t="s">
        <v>1207</v>
      </c>
      <c r="I223" s="3" t="s">
        <v>67</v>
      </c>
      <c r="J223" s="3" t="s">
        <v>1683</v>
      </c>
      <c r="K223" s="3" t="s">
        <v>1684</v>
      </c>
      <c r="L223" s="3" t="s">
        <v>58</v>
      </c>
      <c r="M223" s="3" t="n">
        <v>3708.07</v>
      </c>
      <c r="N223" s="3" t="s">
        <v>52</v>
      </c>
      <c r="O223" s="3" t="n">
        <f aca="false">IFERROR(LEN(C223&amp;D223&amp;E223&amp;F223&amp;G223&amp;H223&amp;I223&amp;J223&amp;K223&amp;L223&amp;M223&amp;N223)/5,0)</f>
        <v>27</v>
      </c>
      <c r="P223" s="3" t="str">
        <f aca="false">IF(OR(D223="",C223=""),"",IF((IFERROR(IF(AND(TRIM(D223)=D223,LEN(D223)&gt;0),0,1),1)+IFERROR(IF(AND(LEN(E223)=10,ISNUMBER(VALUE(E223))),0,1),1)+IFERROR(IF(AND(ISNUMBER(SEARCH("@",F223)),ISNUMBER(SEARCH(".",F223))),0,1),1)+IFERROR(IF(AND(LEN(J223)=6,ISNUMBER(VALUE(J223))),0,1),1)+IFERROR(IF(ISNUMBER(MATCH(TRIM(I223),Lists!$A$2:$A$20,0)),0,1),1)+IFERROR(IF(AND(LEN(K223)=10,VALUE(LEFT(K223,FIND("/",K223)-1))&gt;=1,VALUE(LEFT(K223,FIND("/",K223)-1))&lt;=31,VALUE(LEFT(MID(K223,FIND("/",K223)+1,10),FIND("/",MID(K223,FIND("/",K223)+1,10))-1))&gt;=1,VALUE(LEFT(MID(K223,FIND("/",K223)+1,10),FIND("/",MID(K223,FIND("/",K223)+1,10))-1))&lt;=12,VALUE(LEFT(K223,FIND("/",K223)-1))&lt;=DAY(EOMONTH(DATE(VALUE(MID(MID(K223,FIND("/",K223)+1,10),FIND("/",MID(K223,FIND("/",K223)+1,10))+1,4)),VALUE(LEFT(MID(K223,FIND("/",K223)+1,10),FIND("/",MID(K223,FIND("/",K223)+1,10))-1)),1),0))),0,1),1)+IFERROR(IF(M223&gt;=0,0,1),1)+IFERROR(IF(ISNUMBER(MATCH(N223,Lists!$B$2:$B$7,0)),0,1),1))=0,"OK","ERROR"))</f>
        <v>OK</v>
      </c>
      <c r="Q223" s="3" t="str">
        <f aca="false">IF(D223="","",TRIM(IF(IFERROR(IF(AND(TRIM(D223)=D223,LEN(D223)&gt;0),0,1),1)=1,"Name; ","")&amp;IF(IFERROR(IF(AND(LEN(E223)=10,ISNUMBER(VALUE(E223))),0,1),1)=1,"Phone; ","")&amp;IF(IFERROR(IF(AND(ISNUMBER(SEARCH("@",F223)),ISNUMBER(SEARCH(".",F223))),0,1),1)=1,"Email; ","")&amp;IF(IFERROR(IF(AND(LEN(J223)=6,ISNUMBER(VALUE(J223))),0,1),1)=1,"Pincode; ","")&amp;IF(IFERROR(IF(ISNUMBER(MATCH(TRIM(I223),Lists!$A$2:$A$20,0)),0,1),1)=1,"State; ","")&amp;IF(IFERROR(IF(AND(LEN(K223)=10,VALUE(LEFT(K223,FIND("/",K223)-1))&gt;=1,VALUE(LEFT(K223,FIND("/",K223)-1))&lt;=31,VALUE(LEFT(MID(K223,FIND("/",K223)+1,10),FIND("/",MID(K223,FIND("/",K223)+1,10))-1))&gt;=1,VALUE(LEFT(MID(K223,FIND("/",K223)+1,10),FIND("/",MID(K223,FIND("/",K223)+1,10))-1))&lt;=12,VALUE(LEFT(K223,FIND("/",K223)-1))&lt;=DAY(EOMONTH(DATE(VALUE(MID(MID(K223,FIND("/",K223)+1,10),FIND("/",MID(K223,FIND("/",K223)+1,10))+1,4)),VALUE(LEFT(MID(K223,FIND("/",K223)+1,10),FIND("/",MID(K223,FIND("/",K223)+1,10))-1)),1),0))),0,1),1)=1,"Date; ","")&amp;IF(IFERROR(IF(M223&gt;=0,0,1),1)=1,"Amount; ","")&amp;IF(IFERROR(IF(ISNUMBER(MATCH(N223,Lists!$B$2:$B$7,0)),0,1),1)=1,"Payment; ","")))</f>
        <v/>
      </c>
      <c r="R223" s="3" t="str">
        <f aca="false">IF(D223="","",IF(COUNTIFS($D$2:$D$701,D223,$E$2:$E$701,E223)&gt;1,"DUPLICATE","Unique"))</f>
        <v>Unique</v>
      </c>
    </row>
    <row r="224" customFormat="false" ht="15" hidden="false" customHeight="false" outlineLevel="0" collapsed="false">
      <c r="A224" s="3" t="n">
        <v>223</v>
      </c>
      <c r="B224" s="3" t="n">
        <v>5</v>
      </c>
      <c r="C224" s="3" t="s">
        <v>1685</v>
      </c>
      <c r="D224" s="3" t="s">
        <v>1686</v>
      </c>
      <c r="E224" s="3" t="s">
        <v>1687</v>
      </c>
      <c r="F224" s="3" t="s">
        <v>1688</v>
      </c>
      <c r="G224" s="3" t="s">
        <v>1689</v>
      </c>
      <c r="H224" s="3" t="s">
        <v>1690</v>
      </c>
      <c r="I224" s="3" t="s">
        <v>51</v>
      </c>
      <c r="J224" s="3" t="s">
        <v>1691</v>
      </c>
      <c r="K224" s="3" t="s">
        <v>1692</v>
      </c>
      <c r="L224" s="3" t="s">
        <v>64</v>
      </c>
      <c r="M224" s="3" t="n">
        <v>1790.82</v>
      </c>
      <c r="N224" s="3" t="s">
        <v>46</v>
      </c>
      <c r="O224" s="3" t="n">
        <f aca="false">IFERROR(LEN(C224&amp;D224&amp;E224&amp;F224&amp;G224&amp;H224&amp;I224&amp;J224&amp;K224&amp;L224&amp;M224&amp;N224)/5,0)</f>
        <v>26.8</v>
      </c>
      <c r="P224" s="3" t="str">
        <f aca="false">IF(OR(D224="",C224=""),"",IF((IFERROR(IF(AND(TRIM(D224)=D224,LEN(D224)&gt;0),0,1),1)+IFERROR(IF(AND(LEN(E224)=10,ISNUMBER(VALUE(E224))),0,1),1)+IFERROR(IF(AND(ISNUMBER(SEARCH("@",F224)),ISNUMBER(SEARCH(".",F224))),0,1),1)+IFERROR(IF(AND(LEN(J224)=6,ISNUMBER(VALUE(J224))),0,1),1)+IFERROR(IF(ISNUMBER(MATCH(TRIM(I224),Lists!$A$2:$A$20,0)),0,1),1)+IFERROR(IF(AND(LEN(K224)=10,VALUE(LEFT(K224,FIND("/",K224)-1))&gt;=1,VALUE(LEFT(K224,FIND("/",K224)-1))&lt;=31,VALUE(LEFT(MID(K224,FIND("/",K224)+1,10),FIND("/",MID(K224,FIND("/",K224)+1,10))-1))&gt;=1,VALUE(LEFT(MID(K224,FIND("/",K224)+1,10),FIND("/",MID(K224,FIND("/",K224)+1,10))-1))&lt;=12,VALUE(LEFT(K224,FIND("/",K224)-1))&lt;=DAY(EOMONTH(DATE(VALUE(MID(MID(K224,FIND("/",K224)+1,10),FIND("/",MID(K224,FIND("/",K224)+1,10))+1,4)),VALUE(LEFT(MID(K224,FIND("/",K224)+1,10),FIND("/",MID(K224,FIND("/",K224)+1,10))-1)),1),0))),0,1),1)+IFERROR(IF(M224&gt;=0,0,1),1)+IFERROR(IF(ISNUMBER(MATCH(N224,Lists!$B$2:$B$7,0)),0,1),1))=0,"OK","ERROR"))</f>
        <v>OK</v>
      </c>
      <c r="Q224" s="3" t="str">
        <f aca="false">IF(D224="","",TRIM(IF(IFERROR(IF(AND(TRIM(D224)=D224,LEN(D224)&gt;0),0,1),1)=1,"Name; ","")&amp;IF(IFERROR(IF(AND(LEN(E224)=10,ISNUMBER(VALUE(E224))),0,1),1)=1,"Phone; ","")&amp;IF(IFERROR(IF(AND(ISNUMBER(SEARCH("@",F224)),ISNUMBER(SEARCH(".",F224))),0,1),1)=1,"Email; ","")&amp;IF(IFERROR(IF(AND(LEN(J224)=6,ISNUMBER(VALUE(J224))),0,1),1)=1,"Pincode; ","")&amp;IF(IFERROR(IF(ISNUMBER(MATCH(TRIM(I224),Lists!$A$2:$A$20,0)),0,1),1)=1,"State; ","")&amp;IF(IFERROR(IF(AND(LEN(K224)=10,VALUE(LEFT(K224,FIND("/",K224)-1))&gt;=1,VALUE(LEFT(K224,FIND("/",K224)-1))&lt;=31,VALUE(LEFT(MID(K224,FIND("/",K224)+1,10),FIND("/",MID(K224,FIND("/",K224)+1,10))-1))&gt;=1,VALUE(LEFT(MID(K224,FIND("/",K224)+1,10),FIND("/",MID(K224,FIND("/",K224)+1,10))-1))&lt;=12,VALUE(LEFT(K224,FIND("/",K224)-1))&lt;=DAY(EOMONTH(DATE(VALUE(MID(MID(K224,FIND("/",K224)+1,10),FIND("/",MID(K224,FIND("/",K224)+1,10))+1,4)),VALUE(LEFT(MID(K224,FIND("/",K224)+1,10),FIND("/",MID(K224,FIND("/",K224)+1,10))-1)),1),0))),0,1),1)=1,"Date; ","")&amp;IF(IFERROR(IF(M224&gt;=0,0,1),1)=1,"Amount; ","")&amp;IF(IFERROR(IF(ISNUMBER(MATCH(N224,Lists!$B$2:$B$7,0)),0,1),1)=1,"Payment; ","")))</f>
        <v/>
      </c>
      <c r="R224" s="3" t="str">
        <f aca="false">IF(D224="","",IF(COUNTIFS($D$2:$D$701,D224,$E$2:$E$701,E224)&gt;1,"DUPLICATE","Unique"))</f>
        <v>Unique</v>
      </c>
    </row>
    <row r="225" customFormat="false" ht="15" hidden="false" customHeight="false" outlineLevel="0" collapsed="false">
      <c r="A225" s="3" t="n">
        <v>224</v>
      </c>
      <c r="B225" s="3" t="n">
        <v>5</v>
      </c>
      <c r="C225" s="3" t="s">
        <v>1693</v>
      </c>
      <c r="D225" s="3" t="s">
        <v>1694</v>
      </c>
      <c r="E225" s="3" t="s">
        <v>1695</v>
      </c>
      <c r="F225" s="3" t="s">
        <v>1696</v>
      </c>
      <c r="G225" s="3" t="s">
        <v>1697</v>
      </c>
      <c r="H225" s="3" t="s">
        <v>878</v>
      </c>
      <c r="I225" s="3" t="s">
        <v>61</v>
      </c>
      <c r="J225" s="3" t="s">
        <v>1698</v>
      </c>
      <c r="K225" s="3" t="s">
        <v>1699</v>
      </c>
      <c r="L225" s="3" t="s">
        <v>47</v>
      </c>
      <c r="M225" s="3" t="n">
        <v>15671.5</v>
      </c>
      <c r="N225" s="3" t="s">
        <v>55</v>
      </c>
      <c r="O225" s="3" t="n">
        <f aca="false">IFERROR(LEN(C225&amp;D225&amp;E225&amp;F225&amp;G225&amp;H225&amp;I225&amp;J225&amp;K225&amp;L225&amp;M225&amp;N225)/5,0)</f>
        <v>27</v>
      </c>
      <c r="P225" s="3" t="str">
        <f aca="false">IF(OR(D225="",C225=""),"",IF((IFERROR(IF(AND(TRIM(D225)=D225,LEN(D225)&gt;0),0,1),1)+IFERROR(IF(AND(LEN(E225)=10,ISNUMBER(VALUE(E225))),0,1),1)+IFERROR(IF(AND(ISNUMBER(SEARCH("@",F225)),ISNUMBER(SEARCH(".",F225))),0,1),1)+IFERROR(IF(AND(LEN(J225)=6,ISNUMBER(VALUE(J225))),0,1),1)+IFERROR(IF(ISNUMBER(MATCH(TRIM(I225),Lists!$A$2:$A$20,0)),0,1),1)+IFERROR(IF(AND(LEN(K225)=10,VALUE(LEFT(K225,FIND("/",K225)-1))&gt;=1,VALUE(LEFT(K225,FIND("/",K225)-1))&lt;=31,VALUE(LEFT(MID(K225,FIND("/",K225)+1,10),FIND("/",MID(K225,FIND("/",K225)+1,10))-1))&gt;=1,VALUE(LEFT(MID(K225,FIND("/",K225)+1,10),FIND("/",MID(K225,FIND("/",K225)+1,10))-1))&lt;=12,VALUE(LEFT(K225,FIND("/",K225)-1))&lt;=DAY(EOMONTH(DATE(VALUE(MID(MID(K225,FIND("/",K225)+1,10),FIND("/",MID(K225,FIND("/",K225)+1,10))+1,4)),VALUE(LEFT(MID(K225,FIND("/",K225)+1,10),FIND("/",MID(K225,FIND("/",K225)+1,10))-1)),1),0))),0,1),1)+IFERROR(IF(M225&gt;=0,0,1),1)+IFERROR(IF(ISNUMBER(MATCH(N225,Lists!$B$2:$B$7,0)),0,1),1))=0,"OK","ERROR"))</f>
        <v>OK</v>
      </c>
      <c r="Q225" s="3" t="str">
        <f aca="false">IF(D225="","",TRIM(IF(IFERROR(IF(AND(TRIM(D225)=D225,LEN(D225)&gt;0),0,1),1)=1,"Name; ","")&amp;IF(IFERROR(IF(AND(LEN(E225)=10,ISNUMBER(VALUE(E225))),0,1),1)=1,"Phone; ","")&amp;IF(IFERROR(IF(AND(ISNUMBER(SEARCH("@",F225)),ISNUMBER(SEARCH(".",F225))),0,1),1)=1,"Email; ","")&amp;IF(IFERROR(IF(AND(LEN(J225)=6,ISNUMBER(VALUE(J225))),0,1),1)=1,"Pincode; ","")&amp;IF(IFERROR(IF(ISNUMBER(MATCH(TRIM(I225),Lists!$A$2:$A$20,0)),0,1),1)=1,"State; ","")&amp;IF(IFERROR(IF(AND(LEN(K225)=10,VALUE(LEFT(K225,FIND("/",K225)-1))&gt;=1,VALUE(LEFT(K225,FIND("/",K225)-1))&lt;=31,VALUE(LEFT(MID(K225,FIND("/",K225)+1,10),FIND("/",MID(K225,FIND("/",K225)+1,10))-1))&gt;=1,VALUE(LEFT(MID(K225,FIND("/",K225)+1,10),FIND("/",MID(K225,FIND("/",K225)+1,10))-1))&lt;=12,VALUE(LEFT(K225,FIND("/",K225)-1))&lt;=DAY(EOMONTH(DATE(VALUE(MID(MID(K225,FIND("/",K225)+1,10),FIND("/",MID(K225,FIND("/",K225)+1,10))+1,4)),VALUE(LEFT(MID(K225,FIND("/",K225)+1,10),FIND("/",MID(K225,FIND("/",K225)+1,10))-1)),1),0))),0,1),1)=1,"Date; ","")&amp;IF(IFERROR(IF(M225&gt;=0,0,1),1)=1,"Amount; ","")&amp;IF(IFERROR(IF(ISNUMBER(MATCH(N225,Lists!$B$2:$B$7,0)),0,1),1)=1,"Payment; ","")))</f>
        <v/>
      </c>
      <c r="R225" s="3" t="str">
        <f aca="false">IF(D225="","",IF(COUNTIFS($D$2:$D$701,D225,$E$2:$E$701,E225)&gt;1,"DUPLICATE","Unique"))</f>
        <v>Unique</v>
      </c>
    </row>
    <row r="226" customFormat="false" ht="15" hidden="false" customHeight="false" outlineLevel="0" collapsed="false">
      <c r="A226" s="3" t="n">
        <v>225</v>
      </c>
      <c r="B226" s="3" t="n">
        <v>5</v>
      </c>
      <c r="C226" s="3" t="s">
        <v>1700</v>
      </c>
      <c r="D226" s="3" t="s">
        <v>1701</v>
      </c>
      <c r="E226" s="3" t="s">
        <v>1702</v>
      </c>
      <c r="F226" s="3" t="s">
        <v>1703</v>
      </c>
      <c r="G226" s="3" t="s">
        <v>1704</v>
      </c>
      <c r="H226" s="3" t="s">
        <v>157</v>
      </c>
      <c r="I226" s="3" t="s">
        <v>59</v>
      </c>
      <c r="J226" s="3" t="s">
        <v>1705</v>
      </c>
      <c r="K226" s="3" t="s">
        <v>714</v>
      </c>
      <c r="L226" s="3" t="s">
        <v>53</v>
      </c>
      <c r="M226" s="3" t="n">
        <v>9080.79</v>
      </c>
      <c r="N226" s="3" t="s">
        <v>52</v>
      </c>
      <c r="O226" s="3" t="n">
        <f aca="false">IFERROR(LEN(C226&amp;D226&amp;E226&amp;F226&amp;G226&amp;H226&amp;I226&amp;J226&amp;K226&amp;L226&amp;M226&amp;N226)/5,0)</f>
        <v>29.4</v>
      </c>
      <c r="P226" s="3" t="str">
        <f aca="false">IF(OR(D226="",C226=""),"",IF((IFERROR(IF(AND(TRIM(D226)=D226,LEN(D226)&gt;0),0,1),1)+IFERROR(IF(AND(LEN(E226)=10,ISNUMBER(VALUE(E226))),0,1),1)+IFERROR(IF(AND(ISNUMBER(SEARCH("@",F226)),ISNUMBER(SEARCH(".",F226))),0,1),1)+IFERROR(IF(AND(LEN(J226)=6,ISNUMBER(VALUE(J226))),0,1),1)+IFERROR(IF(ISNUMBER(MATCH(TRIM(I226),Lists!$A$2:$A$20,0)),0,1),1)+IFERROR(IF(AND(LEN(K226)=10,VALUE(LEFT(K226,FIND("/",K226)-1))&gt;=1,VALUE(LEFT(K226,FIND("/",K226)-1))&lt;=31,VALUE(LEFT(MID(K226,FIND("/",K226)+1,10),FIND("/",MID(K226,FIND("/",K226)+1,10))-1))&gt;=1,VALUE(LEFT(MID(K226,FIND("/",K226)+1,10),FIND("/",MID(K226,FIND("/",K226)+1,10))-1))&lt;=12,VALUE(LEFT(K226,FIND("/",K226)-1))&lt;=DAY(EOMONTH(DATE(VALUE(MID(MID(K226,FIND("/",K226)+1,10),FIND("/",MID(K226,FIND("/",K226)+1,10))+1,4)),VALUE(LEFT(MID(K226,FIND("/",K226)+1,10),FIND("/",MID(K226,FIND("/",K226)+1,10))-1)),1),0))),0,1),1)+IFERROR(IF(M226&gt;=0,0,1),1)+IFERROR(IF(ISNUMBER(MATCH(N226,Lists!$B$2:$B$7,0)),0,1),1))=0,"OK","ERROR"))</f>
        <v>OK</v>
      </c>
      <c r="Q226" s="3" t="str">
        <f aca="false">IF(D226="","",TRIM(IF(IFERROR(IF(AND(TRIM(D226)=D226,LEN(D226)&gt;0),0,1),1)=1,"Name; ","")&amp;IF(IFERROR(IF(AND(LEN(E226)=10,ISNUMBER(VALUE(E226))),0,1),1)=1,"Phone; ","")&amp;IF(IFERROR(IF(AND(ISNUMBER(SEARCH("@",F226)),ISNUMBER(SEARCH(".",F226))),0,1),1)=1,"Email; ","")&amp;IF(IFERROR(IF(AND(LEN(J226)=6,ISNUMBER(VALUE(J226))),0,1),1)=1,"Pincode; ","")&amp;IF(IFERROR(IF(ISNUMBER(MATCH(TRIM(I226),Lists!$A$2:$A$20,0)),0,1),1)=1,"State; ","")&amp;IF(IFERROR(IF(AND(LEN(K226)=10,VALUE(LEFT(K226,FIND("/",K226)-1))&gt;=1,VALUE(LEFT(K226,FIND("/",K226)-1))&lt;=31,VALUE(LEFT(MID(K226,FIND("/",K226)+1,10),FIND("/",MID(K226,FIND("/",K226)+1,10))-1))&gt;=1,VALUE(LEFT(MID(K226,FIND("/",K226)+1,10),FIND("/",MID(K226,FIND("/",K226)+1,10))-1))&lt;=12,VALUE(LEFT(K226,FIND("/",K226)-1))&lt;=DAY(EOMONTH(DATE(VALUE(MID(MID(K226,FIND("/",K226)+1,10),FIND("/",MID(K226,FIND("/",K226)+1,10))+1,4)),VALUE(LEFT(MID(K226,FIND("/",K226)+1,10),FIND("/",MID(K226,FIND("/",K226)+1,10))-1)),1),0))),0,1),1)=1,"Date; ","")&amp;IF(IFERROR(IF(M226&gt;=0,0,1),1)=1,"Amount; ","")&amp;IF(IFERROR(IF(ISNUMBER(MATCH(N226,Lists!$B$2:$B$7,0)),0,1),1)=1,"Payment; ","")))</f>
        <v/>
      </c>
      <c r="R226" s="3" t="str">
        <f aca="false">IF(D226="","",IF(COUNTIFS($D$2:$D$701,D226,$E$2:$E$701,E226)&gt;1,"DUPLICATE","Unique"))</f>
        <v>Unique</v>
      </c>
    </row>
    <row r="227" customFormat="false" ht="15" hidden="false" customHeight="false" outlineLevel="0" collapsed="false">
      <c r="A227" s="3" t="n">
        <v>226</v>
      </c>
      <c r="B227" s="3" t="n">
        <v>5</v>
      </c>
      <c r="C227" s="3" t="s">
        <v>1706</v>
      </c>
      <c r="D227" s="3" t="s">
        <v>1707</v>
      </c>
      <c r="E227" s="3" t="s">
        <v>1708</v>
      </c>
      <c r="F227" s="3" t="s">
        <v>1709</v>
      </c>
      <c r="G227" s="3" t="s">
        <v>1710</v>
      </c>
      <c r="H227" s="3" t="s">
        <v>1220</v>
      </c>
      <c r="I227" s="3" t="s">
        <v>42</v>
      </c>
      <c r="J227" s="3" t="s">
        <v>1711</v>
      </c>
      <c r="K227" s="3" t="s">
        <v>1712</v>
      </c>
      <c r="L227" s="3" t="s">
        <v>56</v>
      </c>
      <c r="M227" s="3" t="n">
        <v>13903.42</v>
      </c>
      <c r="N227" s="3" t="s">
        <v>52</v>
      </c>
      <c r="O227" s="3" t="n">
        <f aca="false">IFERROR(LEN(C227&amp;D227&amp;E227&amp;F227&amp;G227&amp;H227&amp;I227&amp;J227&amp;K227&amp;L227&amp;M227&amp;N227)/5,0)</f>
        <v>27.2</v>
      </c>
      <c r="P227" s="3" t="str">
        <f aca="false">IF(OR(D227="",C227=""),"",IF((IFERROR(IF(AND(TRIM(D227)=D227,LEN(D227)&gt;0),0,1),1)+IFERROR(IF(AND(LEN(E227)=10,ISNUMBER(VALUE(E227))),0,1),1)+IFERROR(IF(AND(ISNUMBER(SEARCH("@",F227)),ISNUMBER(SEARCH(".",F227))),0,1),1)+IFERROR(IF(AND(LEN(J227)=6,ISNUMBER(VALUE(J227))),0,1),1)+IFERROR(IF(ISNUMBER(MATCH(TRIM(I227),Lists!$A$2:$A$20,0)),0,1),1)+IFERROR(IF(AND(LEN(K227)=10,VALUE(LEFT(K227,FIND("/",K227)-1))&gt;=1,VALUE(LEFT(K227,FIND("/",K227)-1))&lt;=31,VALUE(LEFT(MID(K227,FIND("/",K227)+1,10),FIND("/",MID(K227,FIND("/",K227)+1,10))-1))&gt;=1,VALUE(LEFT(MID(K227,FIND("/",K227)+1,10),FIND("/",MID(K227,FIND("/",K227)+1,10))-1))&lt;=12,VALUE(LEFT(K227,FIND("/",K227)-1))&lt;=DAY(EOMONTH(DATE(VALUE(MID(MID(K227,FIND("/",K227)+1,10),FIND("/",MID(K227,FIND("/",K227)+1,10))+1,4)),VALUE(LEFT(MID(K227,FIND("/",K227)+1,10),FIND("/",MID(K227,FIND("/",K227)+1,10))-1)),1),0))),0,1),1)+IFERROR(IF(M227&gt;=0,0,1),1)+IFERROR(IF(ISNUMBER(MATCH(N227,Lists!$B$2:$B$7,0)),0,1),1))=0,"OK","ERROR"))</f>
        <v>OK</v>
      </c>
      <c r="Q227" s="3" t="str">
        <f aca="false">IF(D227="","",TRIM(IF(IFERROR(IF(AND(TRIM(D227)=D227,LEN(D227)&gt;0),0,1),1)=1,"Name; ","")&amp;IF(IFERROR(IF(AND(LEN(E227)=10,ISNUMBER(VALUE(E227))),0,1),1)=1,"Phone; ","")&amp;IF(IFERROR(IF(AND(ISNUMBER(SEARCH("@",F227)),ISNUMBER(SEARCH(".",F227))),0,1),1)=1,"Email; ","")&amp;IF(IFERROR(IF(AND(LEN(J227)=6,ISNUMBER(VALUE(J227))),0,1),1)=1,"Pincode; ","")&amp;IF(IFERROR(IF(ISNUMBER(MATCH(TRIM(I227),Lists!$A$2:$A$20,0)),0,1),1)=1,"State; ","")&amp;IF(IFERROR(IF(AND(LEN(K227)=10,VALUE(LEFT(K227,FIND("/",K227)-1))&gt;=1,VALUE(LEFT(K227,FIND("/",K227)-1))&lt;=31,VALUE(LEFT(MID(K227,FIND("/",K227)+1,10),FIND("/",MID(K227,FIND("/",K227)+1,10))-1))&gt;=1,VALUE(LEFT(MID(K227,FIND("/",K227)+1,10),FIND("/",MID(K227,FIND("/",K227)+1,10))-1))&lt;=12,VALUE(LEFT(K227,FIND("/",K227)-1))&lt;=DAY(EOMONTH(DATE(VALUE(MID(MID(K227,FIND("/",K227)+1,10),FIND("/",MID(K227,FIND("/",K227)+1,10))+1,4)),VALUE(LEFT(MID(K227,FIND("/",K227)+1,10),FIND("/",MID(K227,FIND("/",K227)+1,10))-1)),1),0))),0,1),1)=1,"Date; ","")&amp;IF(IFERROR(IF(M227&gt;=0,0,1),1)=1,"Amount; ","")&amp;IF(IFERROR(IF(ISNUMBER(MATCH(N227,Lists!$B$2:$B$7,0)),0,1),1)=1,"Payment; ","")))</f>
        <v/>
      </c>
      <c r="R227" s="3" t="str">
        <f aca="false">IF(D227="","",IF(COUNTIFS($D$2:$D$701,D227,$E$2:$E$701,E227)&gt;1,"DUPLICATE","Unique"))</f>
        <v>Unique</v>
      </c>
    </row>
    <row r="228" customFormat="false" ht="15" hidden="false" customHeight="false" outlineLevel="0" collapsed="false">
      <c r="A228" s="3" t="n">
        <v>227</v>
      </c>
      <c r="B228" s="3" t="n">
        <v>5</v>
      </c>
      <c r="C228" s="3" t="s">
        <v>1713</v>
      </c>
      <c r="D228" s="3" t="s">
        <v>1714</v>
      </c>
      <c r="E228" s="3" t="s">
        <v>1715</v>
      </c>
      <c r="F228" s="3" t="s">
        <v>1716</v>
      </c>
      <c r="G228" s="3" t="s">
        <v>1717</v>
      </c>
      <c r="H228" s="3" t="s">
        <v>863</v>
      </c>
      <c r="I228" s="3" t="s">
        <v>57</v>
      </c>
      <c r="J228" s="3" t="s">
        <v>1718</v>
      </c>
      <c r="K228" s="3" t="s">
        <v>167</v>
      </c>
      <c r="L228" s="3" t="s">
        <v>64</v>
      </c>
      <c r="M228" s="3" t="n">
        <v>9230.87</v>
      </c>
      <c r="N228" s="3" t="s">
        <v>40</v>
      </c>
      <c r="O228" s="3" t="n">
        <f aca="false">IFERROR(LEN(C228&amp;D228&amp;E228&amp;F228&amp;G228&amp;H228&amp;I228&amp;J228&amp;K228&amp;L228&amp;M228&amp;N228)/5,0)</f>
        <v>23.2</v>
      </c>
      <c r="P228" s="3" t="str">
        <f aca="false">IF(OR(D228="",C228=""),"",IF((IFERROR(IF(AND(TRIM(D228)=D228,LEN(D228)&gt;0),0,1),1)+IFERROR(IF(AND(LEN(E228)=10,ISNUMBER(VALUE(E228))),0,1),1)+IFERROR(IF(AND(ISNUMBER(SEARCH("@",F228)),ISNUMBER(SEARCH(".",F228))),0,1),1)+IFERROR(IF(AND(LEN(J228)=6,ISNUMBER(VALUE(J228))),0,1),1)+IFERROR(IF(ISNUMBER(MATCH(TRIM(I228),Lists!$A$2:$A$20,0)),0,1),1)+IFERROR(IF(AND(LEN(K228)=10,VALUE(LEFT(K228,FIND("/",K228)-1))&gt;=1,VALUE(LEFT(K228,FIND("/",K228)-1))&lt;=31,VALUE(LEFT(MID(K228,FIND("/",K228)+1,10),FIND("/",MID(K228,FIND("/",K228)+1,10))-1))&gt;=1,VALUE(LEFT(MID(K228,FIND("/",K228)+1,10),FIND("/",MID(K228,FIND("/",K228)+1,10))-1))&lt;=12,VALUE(LEFT(K228,FIND("/",K228)-1))&lt;=DAY(EOMONTH(DATE(VALUE(MID(MID(K228,FIND("/",K228)+1,10),FIND("/",MID(K228,FIND("/",K228)+1,10))+1,4)),VALUE(LEFT(MID(K228,FIND("/",K228)+1,10),FIND("/",MID(K228,FIND("/",K228)+1,10))-1)),1),0))),0,1),1)+IFERROR(IF(M228&gt;=0,0,1),1)+IFERROR(IF(ISNUMBER(MATCH(N228,Lists!$B$2:$B$7,0)),0,1),1))=0,"OK","ERROR"))</f>
        <v>OK</v>
      </c>
      <c r="Q228" s="3" t="str">
        <f aca="false">IF(D228="","",TRIM(IF(IFERROR(IF(AND(TRIM(D228)=D228,LEN(D228)&gt;0),0,1),1)=1,"Name; ","")&amp;IF(IFERROR(IF(AND(LEN(E228)=10,ISNUMBER(VALUE(E228))),0,1),1)=1,"Phone; ","")&amp;IF(IFERROR(IF(AND(ISNUMBER(SEARCH("@",F228)),ISNUMBER(SEARCH(".",F228))),0,1),1)=1,"Email; ","")&amp;IF(IFERROR(IF(AND(LEN(J228)=6,ISNUMBER(VALUE(J228))),0,1),1)=1,"Pincode; ","")&amp;IF(IFERROR(IF(ISNUMBER(MATCH(TRIM(I228),Lists!$A$2:$A$20,0)),0,1),1)=1,"State; ","")&amp;IF(IFERROR(IF(AND(LEN(K228)=10,VALUE(LEFT(K228,FIND("/",K228)-1))&gt;=1,VALUE(LEFT(K228,FIND("/",K228)-1))&lt;=31,VALUE(LEFT(MID(K228,FIND("/",K228)+1,10),FIND("/",MID(K228,FIND("/",K228)+1,10))-1))&gt;=1,VALUE(LEFT(MID(K228,FIND("/",K228)+1,10),FIND("/",MID(K228,FIND("/",K228)+1,10))-1))&lt;=12,VALUE(LEFT(K228,FIND("/",K228)-1))&lt;=DAY(EOMONTH(DATE(VALUE(MID(MID(K228,FIND("/",K228)+1,10),FIND("/",MID(K228,FIND("/",K228)+1,10))+1,4)),VALUE(LEFT(MID(K228,FIND("/",K228)+1,10),FIND("/",MID(K228,FIND("/",K228)+1,10))-1)),1),0))),0,1),1)=1,"Date; ","")&amp;IF(IFERROR(IF(M228&gt;=0,0,1),1)=1,"Amount; ","")&amp;IF(IFERROR(IF(ISNUMBER(MATCH(N228,Lists!$B$2:$B$7,0)),0,1),1)=1,"Payment; ","")))</f>
        <v/>
      </c>
      <c r="R228" s="3" t="str">
        <f aca="false">IF(D228="","",IF(COUNTIFS($D$2:$D$701,D228,$E$2:$E$701,E228)&gt;1,"DUPLICATE","Unique"))</f>
        <v>Unique</v>
      </c>
    </row>
    <row r="229" customFormat="false" ht="15" hidden="false" customHeight="false" outlineLevel="0" collapsed="false">
      <c r="A229" s="3" t="n">
        <v>228</v>
      </c>
      <c r="B229" s="3" t="n">
        <v>5</v>
      </c>
      <c r="C229" s="3" t="s">
        <v>1719</v>
      </c>
      <c r="D229" s="3" t="s">
        <v>1720</v>
      </c>
      <c r="E229" s="3" t="s">
        <v>1721</v>
      </c>
      <c r="F229" s="3" t="s">
        <v>1722</v>
      </c>
      <c r="G229" s="3" t="s">
        <v>1723</v>
      </c>
      <c r="H229" s="3" t="s">
        <v>189</v>
      </c>
      <c r="I229" s="3" t="s">
        <v>45</v>
      </c>
      <c r="J229" s="3" t="s">
        <v>1724</v>
      </c>
      <c r="K229" s="3" t="s">
        <v>1725</v>
      </c>
      <c r="L229" s="3" t="s">
        <v>68</v>
      </c>
      <c r="M229" s="3" t="n">
        <v>3906.11</v>
      </c>
      <c r="N229" s="3" t="s">
        <v>46</v>
      </c>
      <c r="O229" s="3" t="n">
        <f aca="false">IFERROR(LEN(C229&amp;D229&amp;E229&amp;F229&amp;G229&amp;H229&amp;I229&amp;J229&amp;K229&amp;L229&amp;M229&amp;N229)/5,0)</f>
        <v>26.8</v>
      </c>
      <c r="P229" s="3" t="str">
        <f aca="false">IF(OR(D229="",C229=""),"",IF((IFERROR(IF(AND(TRIM(D229)=D229,LEN(D229)&gt;0),0,1),1)+IFERROR(IF(AND(LEN(E229)=10,ISNUMBER(VALUE(E229))),0,1),1)+IFERROR(IF(AND(ISNUMBER(SEARCH("@",F229)),ISNUMBER(SEARCH(".",F229))),0,1),1)+IFERROR(IF(AND(LEN(J229)=6,ISNUMBER(VALUE(J229))),0,1),1)+IFERROR(IF(ISNUMBER(MATCH(TRIM(I229),Lists!$A$2:$A$20,0)),0,1),1)+IFERROR(IF(AND(LEN(K229)=10,VALUE(LEFT(K229,FIND("/",K229)-1))&gt;=1,VALUE(LEFT(K229,FIND("/",K229)-1))&lt;=31,VALUE(LEFT(MID(K229,FIND("/",K229)+1,10),FIND("/",MID(K229,FIND("/",K229)+1,10))-1))&gt;=1,VALUE(LEFT(MID(K229,FIND("/",K229)+1,10),FIND("/",MID(K229,FIND("/",K229)+1,10))-1))&lt;=12,VALUE(LEFT(K229,FIND("/",K229)-1))&lt;=DAY(EOMONTH(DATE(VALUE(MID(MID(K229,FIND("/",K229)+1,10),FIND("/",MID(K229,FIND("/",K229)+1,10))+1,4)),VALUE(LEFT(MID(K229,FIND("/",K229)+1,10),FIND("/",MID(K229,FIND("/",K229)+1,10))-1)),1),0))),0,1),1)+IFERROR(IF(M229&gt;=0,0,1),1)+IFERROR(IF(ISNUMBER(MATCH(N229,Lists!$B$2:$B$7,0)),0,1),1))=0,"OK","ERROR"))</f>
        <v>OK</v>
      </c>
      <c r="Q229" s="3" t="str">
        <f aca="false">IF(D229="","",TRIM(IF(IFERROR(IF(AND(TRIM(D229)=D229,LEN(D229)&gt;0),0,1),1)=1,"Name; ","")&amp;IF(IFERROR(IF(AND(LEN(E229)=10,ISNUMBER(VALUE(E229))),0,1),1)=1,"Phone; ","")&amp;IF(IFERROR(IF(AND(ISNUMBER(SEARCH("@",F229)),ISNUMBER(SEARCH(".",F229))),0,1),1)=1,"Email; ","")&amp;IF(IFERROR(IF(AND(LEN(J229)=6,ISNUMBER(VALUE(J229))),0,1),1)=1,"Pincode; ","")&amp;IF(IFERROR(IF(ISNUMBER(MATCH(TRIM(I229),Lists!$A$2:$A$20,0)),0,1),1)=1,"State; ","")&amp;IF(IFERROR(IF(AND(LEN(K229)=10,VALUE(LEFT(K229,FIND("/",K229)-1))&gt;=1,VALUE(LEFT(K229,FIND("/",K229)-1))&lt;=31,VALUE(LEFT(MID(K229,FIND("/",K229)+1,10),FIND("/",MID(K229,FIND("/",K229)+1,10))-1))&gt;=1,VALUE(LEFT(MID(K229,FIND("/",K229)+1,10),FIND("/",MID(K229,FIND("/",K229)+1,10))-1))&lt;=12,VALUE(LEFT(K229,FIND("/",K229)-1))&lt;=DAY(EOMONTH(DATE(VALUE(MID(MID(K229,FIND("/",K229)+1,10),FIND("/",MID(K229,FIND("/",K229)+1,10))+1,4)),VALUE(LEFT(MID(K229,FIND("/",K229)+1,10),FIND("/",MID(K229,FIND("/",K229)+1,10))-1)),1),0))),0,1),1)=1,"Date; ","")&amp;IF(IFERROR(IF(M229&gt;=0,0,1),1)=1,"Amount; ","")&amp;IF(IFERROR(IF(ISNUMBER(MATCH(N229,Lists!$B$2:$B$7,0)),0,1),1)=1,"Payment; ","")))</f>
        <v/>
      </c>
      <c r="R229" s="3" t="str">
        <f aca="false">IF(D229="","",IF(COUNTIFS($D$2:$D$701,D229,$E$2:$E$701,E229)&gt;1,"DUPLICATE","Unique"))</f>
        <v>Unique</v>
      </c>
    </row>
    <row r="230" customFormat="false" ht="15" hidden="false" customHeight="false" outlineLevel="0" collapsed="false">
      <c r="A230" s="3" t="n">
        <v>229</v>
      </c>
      <c r="B230" s="3" t="n">
        <v>5</v>
      </c>
      <c r="C230" s="3" t="s">
        <v>1726</v>
      </c>
      <c r="D230" s="3" t="s">
        <v>1727</v>
      </c>
      <c r="E230" s="3" t="s">
        <v>1728</v>
      </c>
      <c r="F230" s="3" t="s">
        <v>1729</v>
      </c>
      <c r="G230" s="3" t="s">
        <v>1730</v>
      </c>
      <c r="H230" s="3" t="s">
        <v>189</v>
      </c>
      <c r="I230" s="3" t="s">
        <v>45</v>
      </c>
      <c r="J230" s="3" t="s">
        <v>1731</v>
      </c>
      <c r="K230" s="3" t="s">
        <v>1732</v>
      </c>
      <c r="L230" s="3" t="s">
        <v>50</v>
      </c>
      <c r="M230" s="3" t="n">
        <v>4107.87</v>
      </c>
      <c r="N230" s="3" t="s">
        <v>46</v>
      </c>
      <c r="O230" s="3" t="n">
        <f aca="false">IFERROR(LEN(C230&amp;D230&amp;E230&amp;F230&amp;G230&amp;H230&amp;I230&amp;J230&amp;K230&amp;L230&amp;M230&amp;N230)/5,0)</f>
        <v>25.4</v>
      </c>
      <c r="P230" s="3" t="str">
        <f aca="false">IF(OR(D230="",C230=""),"",IF((IFERROR(IF(AND(TRIM(D230)=D230,LEN(D230)&gt;0),0,1),1)+IFERROR(IF(AND(LEN(E230)=10,ISNUMBER(VALUE(E230))),0,1),1)+IFERROR(IF(AND(ISNUMBER(SEARCH("@",F230)),ISNUMBER(SEARCH(".",F230))),0,1),1)+IFERROR(IF(AND(LEN(J230)=6,ISNUMBER(VALUE(J230))),0,1),1)+IFERROR(IF(ISNUMBER(MATCH(TRIM(I230),Lists!$A$2:$A$20,0)),0,1),1)+IFERROR(IF(AND(LEN(K230)=10,VALUE(LEFT(K230,FIND("/",K230)-1))&gt;=1,VALUE(LEFT(K230,FIND("/",K230)-1))&lt;=31,VALUE(LEFT(MID(K230,FIND("/",K230)+1,10),FIND("/",MID(K230,FIND("/",K230)+1,10))-1))&gt;=1,VALUE(LEFT(MID(K230,FIND("/",K230)+1,10),FIND("/",MID(K230,FIND("/",K230)+1,10))-1))&lt;=12,VALUE(LEFT(K230,FIND("/",K230)-1))&lt;=DAY(EOMONTH(DATE(VALUE(MID(MID(K230,FIND("/",K230)+1,10),FIND("/",MID(K230,FIND("/",K230)+1,10))+1,4)),VALUE(LEFT(MID(K230,FIND("/",K230)+1,10),FIND("/",MID(K230,FIND("/",K230)+1,10))-1)),1),0))),0,1),1)+IFERROR(IF(M230&gt;=0,0,1),1)+IFERROR(IF(ISNUMBER(MATCH(N230,Lists!$B$2:$B$7,0)),0,1),1))=0,"OK","ERROR"))</f>
        <v>OK</v>
      </c>
      <c r="Q230" s="3" t="str">
        <f aca="false">IF(D230="","",TRIM(IF(IFERROR(IF(AND(TRIM(D230)=D230,LEN(D230)&gt;0),0,1),1)=1,"Name; ","")&amp;IF(IFERROR(IF(AND(LEN(E230)=10,ISNUMBER(VALUE(E230))),0,1),1)=1,"Phone; ","")&amp;IF(IFERROR(IF(AND(ISNUMBER(SEARCH("@",F230)),ISNUMBER(SEARCH(".",F230))),0,1),1)=1,"Email; ","")&amp;IF(IFERROR(IF(AND(LEN(J230)=6,ISNUMBER(VALUE(J230))),0,1),1)=1,"Pincode; ","")&amp;IF(IFERROR(IF(ISNUMBER(MATCH(TRIM(I230),Lists!$A$2:$A$20,0)),0,1),1)=1,"State; ","")&amp;IF(IFERROR(IF(AND(LEN(K230)=10,VALUE(LEFT(K230,FIND("/",K230)-1))&gt;=1,VALUE(LEFT(K230,FIND("/",K230)-1))&lt;=31,VALUE(LEFT(MID(K230,FIND("/",K230)+1,10),FIND("/",MID(K230,FIND("/",K230)+1,10))-1))&gt;=1,VALUE(LEFT(MID(K230,FIND("/",K230)+1,10),FIND("/",MID(K230,FIND("/",K230)+1,10))-1))&lt;=12,VALUE(LEFT(K230,FIND("/",K230)-1))&lt;=DAY(EOMONTH(DATE(VALUE(MID(MID(K230,FIND("/",K230)+1,10),FIND("/",MID(K230,FIND("/",K230)+1,10))+1,4)),VALUE(LEFT(MID(K230,FIND("/",K230)+1,10),FIND("/",MID(K230,FIND("/",K230)+1,10))-1)),1),0))),0,1),1)=1,"Date; ","")&amp;IF(IFERROR(IF(M230&gt;=0,0,1),1)=1,"Amount; ","")&amp;IF(IFERROR(IF(ISNUMBER(MATCH(N230,Lists!$B$2:$B$7,0)),0,1),1)=1,"Payment; ","")))</f>
        <v/>
      </c>
      <c r="R230" s="3" t="str">
        <f aca="false">IF(D230="","",IF(COUNTIFS($D$2:$D$701,D230,$E$2:$E$701,E230)&gt;1,"DUPLICATE","Unique"))</f>
        <v>Unique</v>
      </c>
    </row>
    <row r="231" customFormat="false" ht="15" hidden="false" customHeight="false" outlineLevel="0" collapsed="false">
      <c r="A231" s="3" t="n">
        <v>230</v>
      </c>
      <c r="B231" s="3" t="n">
        <v>5</v>
      </c>
      <c r="C231" s="3" t="s">
        <v>1733</v>
      </c>
      <c r="D231" s="3" t="s">
        <v>1734</v>
      </c>
      <c r="E231" s="3" t="s">
        <v>1735</v>
      </c>
      <c r="F231" s="3" t="s">
        <v>1736</v>
      </c>
      <c r="G231" s="3" t="s">
        <v>1737</v>
      </c>
      <c r="H231" s="3" t="s">
        <v>1738</v>
      </c>
      <c r="I231" s="3" t="s">
        <v>73</v>
      </c>
      <c r="J231" s="3" t="s">
        <v>1739</v>
      </c>
      <c r="K231" s="3" t="s">
        <v>1740</v>
      </c>
      <c r="L231" s="3" t="s">
        <v>60</v>
      </c>
      <c r="M231" s="3" t="n">
        <v>10169.55</v>
      </c>
      <c r="N231" s="3" t="s">
        <v>55</v>
      </c>
      <c r="O231" s="3" t="n">
        <f aca="false">IFERROR(LEN(C231&amp;D231&amp;E231&amp;F231&amp;G231&amp;H231&amp;I231&amp;J231&amp;K231&amp;L231&amp;M231&amp;N231)/5,0)</f>
        <v>26.4</v>
      </c>
      <c r="P231" s="3" t="str">
        <f aca="false">IF(OR(D231="",C231=""),"",IF((IFERROR(IF(AND(TRIM(D231)=D231,LEN(D231)&gt;0),0,1),1)+IFERROR(IF(AND(LEN(E231)=10,ISNUMBER(VALUE(E231))),0,1),1)+IFERROR(IF(AND(ISNUMBER(SEARCH("@",F231)),ISNUMBER(SEARCH(".",F231))),0,1),1)+IFERROR(IF(AND(LEN(J231)=6,ISNUMBER(VALUE(J231))),0,1),1)+IFERROR(IF(ISNUMBER(MATCH(TRIM(I231),Lists!$A$2:$A$20,0)),0,1),1)+IFERROR(IF(AND(LEN(K231)=10,VALUE(LEFT(K231,FIND("/",K231)-1))&gt;=1,VALUE(LEFT(K231,FIND("/",K231)-1))&lt;=31,VALUE(LEFT(MID(K231,FIND("/",K231)+1,10),FIND("/",MID(K231,FIND("/",K231)+1,10))-1))&gt;=1,VALUE(LEFT(MID(K231,FIND("/",K231)+1,10),FIND("/",MID(K231,FIND("/",K231)+1,10))-1))&lt;=12,VALUE(LEFT(K231,FIND("/",K231)-1))&lt;=DAY(EOMONTH(DATE(VALUE(MID(MID(K231,FIND("/",K231)+1,10),FIND("/",MID(K231,FIND("/",K231)+1,10))+1,4)),VALUE(LEFT(MID(K231,FIND("/",K231)+1,10),FIND("/",MID(K231,FIND("/",K231)+1,10))-1)),1),0))),0,1),1)+IFERROR(IF(M231&gt;=0,0,1),1)+IFERROR(IF(ISNUMBER(MATCH(N231,Lists!$B$2:$B$7,0)),0,1),1))=0,"OK","ERROR"))</f>
        <v>OK</v>
      </c>
      <c r="Q231" s="3" t="str">
        <f aca="false">IF(D231="","",TRIM(IF(IFERROR(IF(AND(TRIM(D231)=D231,LEN(D231)&gt;0),0,1),1)=1,"Name; ","")&amp;IF(IFERROR(IF(AND(LEN(E231)=10,ISNUMBER(VALUE(E231))),0,1),1)=1,"Phone; ","")&amp;IF(IFERROR(IF(AND(ISNUMBER(SEARCH("@",F231)),ISNUMBER(SEARCH(".",F231))),0,1),1)=1,"Email; ","")&amp;IF(IFERROR(IF(AND(LEN(J231)=6,ISNUMBER(VALUE(J231))),0,1),1)=1,"Pincode; ","")&amp;IF(IFERROR(IF(ISNUMBER(MATCH(TRIM(I231),Lists!$A$2:$A$20,0)),0,1),1)=1,"State; ","")&amp;IF(IFERROR(IF(AND(LEN(K231)=10,VALUE(LEFT(K231,FIND("/",K231)-1))&gt;=1,VALUE(LEFT(K231,FIND("/",K231)-1))&lt;=31,VALUE(LEFT(MID(K231,FIND("/",K231)+1,10),FIND("/",MID(K231,FIND("/",K231)+1,10))-1))&gt;=1,VALUE(LEFT(MID(K231,FIND("/",K231)+1,10),FIND("/",MID(K231,FIND("/",K231)+1,10))-1))&lt;=12,VALUE(LEFT(K231,FIND("/",K231)-1))&lt;=DAY(EOMONTH(DATE(VALUE(MID(MID(K231,FIND("/",K231)+1,10),FIND("/",MID(K231,FIND("/",K231)+1,10))+1,4)),VALUE(LEFT(MID(K231,FIND("/",K231)+1,10),FIND("/",MID(K231,FIND("/",K231)+1,10))-1)),1),0))),0,1),1)=1,"Date; ","")&amp;IF(IFERROR(IF(M231&gt;=0,0,1),1)=1,"Amount; ","")&amp;IF(IFERROR(IF(ISNUMBER(MATCH(N231,Lists!$B$2:$B$7,0)),0,1),1)=1,"Payment; ","")))</f>
        <v/>
      </c>
      <c r="R231" s="3" t="str">
        <f aca="false">IF(D231="","",IF(COUNTIFS($D$2:$D$701,D231,$E$2:$E$701,E231)&gt;1,"DUPLICATE","Unique"))</f>
        <v>Unique</v>
      </c>
    </row>
    <row r="232" customFormat="false" ht="15" hidden="false" customHeight="false" outlineLevel="0" collapsed="false">
      <c r="A232" s="3" t="n">
        <v>231</v>
      </c>
      <c r="B232" s="3" t="n">
        <v>5</v>
      </c>
      <c r="C232" s="3" t="s">
        <v>1741</v>
      </c>
      <c r="D232" s="3" t="s">
        <v>1742</v>
      </c>
      <c r="E232" s="3" t="s">
        <v>1743</v>
      </c>
      <c r="F232" s="3" t="s">
        <v>1744</v>
      </c>
      <c r="G232" s="3" t="s">
        <v>1745</v>
      </c>
      <c r="H232" s="3" t="s">
        <v>266</v>
      </c>
      <c r="I232" s="3" t="s">
        <v>78</v>
      </c>
      <c r="J232" s="3" t="s">
        <v>1746</v>
      </c>
      <c r="K232" s="3" t="s">
        <v>1747</v>
      </c>
      <c r="L232" s="3" t="s">
        <v>56</v>
      </c>
      <c r="M232" s="3" t="n">
        <v>4729.84</v>
      </c>
      <c r="N232" s="3" t="s">
        <v>52</v>
      </c>
      <c r="O232" s="3" t="n">
        <f aca="false">IFERROR(LEN(C232&amp;D232&amp;E232&amp;F232&amp;G232&amp;H232&amp;I232&amp;J232&amp;K232&amp;L232&amp;M232&amp;N232)/5,0)</f>
        <v>29</v>
      </c>
      <c r="P232" s="3" t="str">
        <f aca="false">IF(OR(D232="",C232=""),"",IF((IFERROR(IF(AND(TRIM(D232)=D232,LEN(D232)&gt;0),0,1),1)+IFERROR(IF(AND(LEN(E232)=10,ISNUMBER(VALUE(E232))),0,1),1)+IFERROR(IF(AND(ISNUMBER(SEARCH("@",F232)),ISNUMBER(SEARCH(".",F232))),0,1),1)+IFERROR(IF(AND(LEN(J232)=6,ISNUMBER(VALUE(J232))),0,1),1)+IFERROR(IF(ISNUMBER(MATCH(TRIM(I232),Lists!$A$2:$A$20,0)),0,1),1)+IFERROR(IF(AND(LEN(K232)=10,VALUE(LEFT(K232,FIND("/",K232)-1))&gt;=1,VALUE(LEFT(K232,FIND("/",K232)-1))&lt;=31,VALUE(LEFT(MID(K232,FIND("/",K232)+1,10),FIND("/",MID(K232,FIND("/",K232)+1,10))-1))&gt;=1,VALUE(LEFT(MID(K232,FIND("/",K232)+1,10),FIND("/",MID(K232,FIND("/",K232)+1,10))-1))&lt;=12,VALUE(LEFT(K232,FIND("/",K232)-1))&lt;=DAY(EOMONTH(DATE(VALUE(MID(MID(K232,FIND("/",K232)+1,10),FIND("/",MID(K232,FIND("/",K232)+1,10))+1,4)),VALUE(LEFT(MID(K232,FIND("/",K232)+1,10),FIND("/",MID(K232,FIND("/",K232)+1,10))-1)),1),0))),0,1),1)+IFERROR(IF(M232&gt;=0,0,1),1)+IFERROR(IF(ISNUMBER(MATCH(N232,Lists!$B$2:$B$7,0)),0,1),1))=0,"OK","ERROR"))</f>
        <v>OK</v>
      </c>
      <c r="Q232" s="3" t="str">
        <f aca="false">IF(D232="","",TRIM(IF(IFERROR(IF(AND(TRIM(D232)=D232,LEN(D232)&gt;0),0,1),1)=1,"Name; ","")&amp;IF(IFERROR(IF(AND(LEN(E232)=10,ISNUMBER(VALUE(E232))),0,1),1)=1,"Phone; ","")&amp;IF(IFERROR(IF(AND(ISNUMBER(SEARCH("@",F232)),ISNUMBER(SEARCH(".",F232))),0,1),1)=1,"Email; ","")&amp;IF(IFERROR(IF(AND(LEN(J232)=6,ISNUMBER(VALUE(J232))),0,1),1)=1,"Pincode; ","")&amp;IF(IFERROR(IF(ISNUMBER(MATCH(TRIM(I232),Lists!$A$2:$A$20,0)),0,1),1)=1,"State; ","")&amp;IF(IFERROR(IF(AND(LEN(K232)=10,VALUE(LEFT(K232,FIND("/",K232)-1))&gt;=1,VALUE(LEFT(K232,FIND("/",K232)-1))&lt;=31,VALUE(LEFT(MID(K232,FIND("/",K232)+1,10),FIND("/",MID(K232,FIND("/",K232)+1,10))-1))&gt;=1,VALUE(LEFT(MID(K232,FIND("/",K232)+1,10),FIND("/",MID(K232,FIND("/",K232)+1,10))-1))&lt;=12,VALUE(LEFT(K232,FIND("/",K232)-1))&lt;=DAY(EOMONTH(DATE(VALUE(MID(MID(K232,FIND("/",K232)+1,10),FIND("/",MID(K232,FIND("/",K232)+1,10))+1,4)),VALUE(LEFT(MID(K232,FIND("/",K232)+1,10),FIND("/",MID(K232,FIND("/",K232)+1,10))-1)),1),0))),0,1),1)=1,"Date; ","")&amp;IF(IFERROR(IF(M232&gt;=0,0,1),1)=1,"Amount; ","")&amp;IF(IFERROR(IF(ISNUMBER(MATCH(N232,Lists!$B$2:$B$7,0)),0,1),1)=1,"Payment; ","")))</f>
        <v/>
      </c>
      <c r="R232" s="3" t="str">
        <f aca="false">IF(D232="","",IF(COUNTIFS($D$2:$D$701,D232,$E$2:$E$701,E232)&gt;1,"DUPLICATE","Unique"))</f>
        <v>Unique</v>
      </c>
    </row>
    <row r="233" customFormat="false" ht="15" hidden="false" customHeight="false" outlineLevel="0" collapsed="false">
      <c r="A233" s="3" t="n">
        <v>232</v>
      </c>
      <c r="B233" s="3" t="n">
        <v>5</v>
      </c>
      <c r="C233" s="3" t="s">
        <v>1748</v>
      </c>
      <c r="D233" s="3" t="s">
        <v>1749</v>
      </c>
      <c r="E233" s="3" t="s">
        <v>1750</v>
      </c>
      <c r="F233" s="3" t="s">
        <v>1751</v>
      </c>
      <c r="G233" s="3" t="s">
        <v>1752</v>
      </c>
      <c r="H233" s="3" t="s">
        <v>1753</v>
      </c>
      <c r="I233" s="3" t="s">
        <v>39</v>
      </c>
      <c r="J233" s="3" t="s">
        <v>1754</v>
      </c>
      <c r="K233" s="3" t="s">
        <v>1755</v>
      </c>
      <c r="L233" s="3" t="s">
        <v>72</v>
      </c>
      <c r="M233" s="3" t="n">
        <v>6177.06</v>
      </c>
      <c r="N233" s="3" t="s">
        <v>46</v>
      </c>
      <c r="O233" s="3" t="n">
        <f aca="false">IFERROR(LEN(C233&amp;D233&amp;E233&amp;F233&amp;G233&amp;H233&amp;I233&amp;J233&amp;K233&amp;L233&amp;M233&amp;N233)/5,0)</f>
        <v>25</v>
      </c>
      <c r="P233" s="3" t="str">
        <f aca="false">IF(OR(D233="",C233=""),"",IF((IFERROR(IF(AND(TRIM(D233)=D233,LEN(D233)&gt;0),0,1),1)+IFERROR(IF(AND(LEN(E233)=10,ISNUMBER(VALUE(E233))),0,1),1)+IFERROR(IF(AND(ISNUMBER(SEARCH("@",F233)),ISNUMBER(SEARCH(".",F233))),0,1),1)+IFERROR(IF(AND(LEN(J233)=6,ISNUMBER(VALUE(J233))),0,1),1)+IFERROR(IF(ISNUMBER(MATCH(TRIM(I233),Lists!$A$2:$A$20,0)),0,1),1)+IFERROR(IF(AND(LEN(K233)=10,VALUE(LEFT(K233,FIND("/",K233)-1))&gt;=1,VALUE(LEFT(K233,FIND("/",K233)-1))&lt;=31,VALUE(LEFT(MID(K233,FIND("/",K233)+1,10),FIND("/",MID(K233,FIND("/",K233)+1,10))-1))&gt;=1,VALUE(LEFT(MID(K233,FIND("/",K233)+1,10),FIND("/",MID(K233,FIND("/",K233)+1,10))-1))&lt;=12,VALUE(LEFT(K233,FIND("/",K233)-1))&lt;=DAY(EOMONTH(DATE(VALUE(MID(MID(K233,FIND("/",K233)+1,10),FIND("/",MID(K233,FIND("/",K233)+1,10))+1,4)),VALUE(LEFT(MID(K233,FIND("/",K233)+1,10),FIND("/",MID(K233,FIND("/",K233)+1,10))-1)),1),0))),0,1),1)+IFERROR(IF(M233&gt;=0,0,1),1)+IFERROR(IF(ISNUMBER(MATCH(N233,Lists!$B$2:$B$7,0)),0,1),1))=0,"OK","ERROR"))</f>
        <v>OK</v>
      </c>
      <c r="Q233" s="3" t="str">
        <f aca="false">IF(D233="","",TRIM(IF(IFERROR(IF(AND(TRIM(D233)=D233,LEN(D233)&gt;0),0,1),1)=1,"Name; ","")&amp;IF(IFERROR(IF(AND(LEN(E233)=10,ISNUMBER(VALUE(E233))),0,1),1)=1,"Phone; ","")&amp;IF(IFERROR(IF(AND(ISNUMBER(SEARCH("@",F233)),ISNUMBER(SEARCH(".",F233))),0,1),1)=1,"Email; ","")&amp;IF(IFERROR(IF(AND(LEN(J233)=6,ISNUMBER(VALUE(J233))),0,1),1)=1,"Pincode; ","")&amp;IF(IFERROR(IF(ISNUMBER(MATCH(TRIM(I233),Lists!$A$2:$A$20,0)),0,1),1)=1,"State; ","")&amp;IF(IFERROR(IF(AND(LEN(K233)=10,VALUE(LEFT(K233,FIND("/",K233)-1))&gt;=1,VALUE(LEFT(K233,FIND("/",K233)-1))&lt;=31,VALUE(LEFT(MID(K233,FIND("/",K233)+1,10),FIND("/",MID(K233,FIND("/",K233)+1,10))-1))&gt;=1,VALUE(LEFT(MID(K233,FIND("/",K233)+1,10),FIND("/",MID(K233,FIND("/",K233)+1,10))-1))&lt;=12,VALUE(LEFT(K233,FIND("/",K233)-1))&lt;=DAY(EOMONTH(DATE(VALUE(MID(MID(K233,FIND("/",K233)+1,10),FIND("/",MID(K233,FIND("/",K233)+1,10))+1,4)),VALUE(LEFT(MID(K233,FIND("/",K233)+1,10),FIND("/",MID(K233,FIND("/",K233)+1,10))-1)),1),0))),0,1),1)=1,"Date; ","")&amp;IF(IFERROR(IF(M233&gt;=0,0,1),1)=1,"Amount; ","")&amp;IF(IFERROR(IF(ISNUMBER(MATCH(N233,Lists!$B$2:$B$7,0)),0,1),1)=1,"Payment; ","")))</f>
        <v/>
      </c>
      <c r="R233" s="3" t="str">
        <f aca="false">IF(D233="","",IF(COUNTIFS($D$2:$D$701,D233,$E$2:$E$701,E233)&gt;1,"DUPLICATE","Unique"))</f>
        <v>Unique</v>
      </c>
    </row>
    <row r="234" customFormat="false" ht="15" hidden="false" customHeight="false" outlineLevel="0" collapsed="false">
      <c r="A234" s="3" t="n">
        <v>233</v>
      </c>
      <c r="B234" s="3" t="n">
        <v>5</v>
      </c>
      <c r="C234" s="3" t="s">
        <v>1756</v>
      </c>
      <c r="D234" s="3" t="s">
        <v>1757</v>
      </c>
      <c r="E234" s="3" t="s">
        <v>1758</v>
      </c>
      <c r="F234" s="3" t="s">
        <v>1759</v>
      </c>
      <c r="G234" s="3" t="s">
        <v>1760</v>
      </c>
      <c r="H234" s="3" t="s">
        <v>205</v>
      </c>
      <c r="I234" s="3" t="s">
        <v>45</v>
      </c>
      <c r="J234" s="3" t="s">
        <v>1761</v>
      </c>
      <c r="K234" s="3" t="s">
        <v>1762</v>
      </c>
      <c r="L234" s="3" t="s">
        <v>60</v>
      </c>
      <c r="M234" s="3" t="n">
        <v>3166.07</v>
      </c>
      <c r="N234" s="3" t="s">
        <v>40</v>
      </c>
      <c r="O234" s="3" t="n">
        <f aca="false">IFERROR(LEN(C234&amp;D234&amp;E234&amp;F234&amp;G234&amp;H234&amp;I234&amp;J234&amp;K234&amp;L234&amp;M234&amp;N234)/5,0)</f>
        <v>24.2</v>
      </c>
      <c r="P234" s="3" t="str">
        <f aca="false">IF(OR(D234="",C234=""),"",IF((IFERROR(IF(AND(TRIM(D234)=D234,LEN(D234)&gt;0),0,1),1)+IFERROR(IF(AND(LEN(E234)=10,ISNUMBER(VALUE(E234))),0,1),1)+IFERROR(IF(AND(ISNUMBER(SEARCH("@",F234)),ISNUMBER(SEARCH(".",F234))),0,1),1)+IFERROR(IF(AND(LEN(J234)=6,ISNUMBER(VALUE(J234))),0,1),1)+IFERROR(IF(ISNUMBER(MATCH(TRIM(I234),Lists!$A$2:$A$20,0)),0,1),1)+IFERROR(IF(AND(LEN(K234)=10,VALUE(LEFT(K234,FIND("/",K234)-1))&gt;=1,VALUE(LEFT(K234,FIND("/",K234)-1))&lt;=31,VALUE(LEFT(MID(K234,FIND("/",K234)+1,10),FIND("/",MID(K234,FIND("/",K234)+1,10))-1))&gt;=1,VALUE(LEFT(MID(K234,FIND("/",K234)+1,10),FIND("/",MID(K234,FIND("/",K234)+1,10))-1))&lt;=12,VALUE(LEFT(K234,FIND("/",K234)-1))&lt;=DAY(EOMONTH(DATE(VALUE(MID(MID(K234,FIND("/",K234)+1,10),FIND("/",MID(K234,FIND("/",K234)+1,10))+1,4)),VALUE(LEFT(MID(K234,FIND("/",K234)+1,10),FIND("/",MID(K234,FIND("/",K234)+1,10))-1)),1),0))),0,1),1)+IFERROR(IF(M234&gt;=0,0,1),1)+IFERROR(IF(ISNUMBER(MATCH(N234,Lists!$B$2:$B$7,0)),0,1),1))=0,"OK","ERROR"))</f>
        <v>OK</v>
      </c>
      <c r="Q234" s="3" t="str">
        <f aca="false">IF(D234="","",TRIM(IF(IFERROR(IF(AND(TRIM(D234)=D234,LEN(D234)&gt;0),0,1),1)=1,"Name; ","")&amp;IF(IFERROR(IF(AND(LEN(E234)=10,ISNUMBER(VALUE(E234))),0,1),1)=1,"Phone; ","")&amp;IF(IFERROR(IF(AND(ISNUMBER(SEARCH("@",F234)),ISNUMBER(SEARCH(".",F234))),0,1),1)=1,"Email; ","")&amp;IF(IFERROR(IF(AND(LEN(J234)=6,ISNUMBER(VALUE(J234))),0,1),1)=1,"Pincode; ","")&amp;IF(IFERROR(IF(ISNUMBER(MATCH(TRIM(I234),Lists!$A$2:$A$20,0)),0,1),1)=1,"State; ","")&amp;IF(IFERROR(IF(AND(LEN(K234)=10,VALUE(LEFT(K234,FIND("/",K234)-1))&gt;=1,VALUE(LEFT(K234,FIND("/",K234)-1))&lt;=31,VALUE(LEFT(MID(K234,FIND("/",K234)+1,10),FIND("/",MID(K234,FIND("/",K234)+1,10))-1))&gt;=1,VALUE(LEFT(MID(K234,FIND("/",K234)+1,10),FIND("/",MID(K234,FIND("/",K234)+1,10))-1))&lt;=12,VALUE(LEFT(K234,FIND("/",K234)-1))&lt;=DAY(EOMONTH(DATE(VALUE(MID(MID(K234,FIND("/",K234)+1,10),FIND("/",MID(K234,FIND("/",K234)+1,10))+1,4)),VALUE(LEFT(MID(K234,FIND("/",K234)+1,10),FIND("/",MID(K234,FIND("/",K234)+1,10))-1)),1),0))),0,1),1)=1,"Date; ","")&amp;IF(IFERROR(IF(M234&gt;=0,0,1),1)=1,"Amount; ","")&amp;IF(IFERROR(IF(ISNUMBER(MATCH(N234,Lists!$B$2:$B$7,0)),0,1),1)=1,"Payment; ","")))</f>
        <v/>
      </c>
      <c r="R234" s="3" t="str">
        <f aca="false">IF(D234="","",IF(COUNTIFS($D$2:$D$701,D234,$E$2:$E$701,E234)&gt;1,"DUPLICATE","Unique"))</f>
        <v>Unique</v>
      </c>
    </row>
    <row r="235" customFormat="false" ht="15" hidden="false" customHeight="false" outlineLevel="0" collapsed="false">
      <c r="A235" s="3" t="n">
        <v>234</v>
      </c>
      <c r="B235" s="3" t="n">
        <v>5</v>
      </c>
      <c r="C235" s="3" t="s">
        <v>1763</v>
      </c>
      <c r="D235" s="3" t="s">
        <v>1764</v>
      </c>
      <c r="E235" s="3" t="s">
        <v>1765</v>
      </c>
      <c r="F235" s="3" t="s">
        <v>1766</v>
      </c>
      <c r="G235" s="3" t="s">
        <v>1767</v>
      </c>
      <c r="H235" s="3" t="s">
        <v>1690</v>
      </c>
      <c r="I235" s="3" t="s">
        <v>51</v>
      </c>
      <c r="J235" s="3" t="s">
        <v>1768</v>
      </c>
      <c r="K235" s="3" t="s">
        <v>1769</v>
      </c>
      <c r="L235" s="3" t="s">
        <v>56</v>
      </c>
      <c r="M235" s="3" t="n">
        <v>7525.21</v>
      </c>
      <c r="N235" s="3" t="s">
        <v>40</v>
      </c>
      <c r="O235" s="3" t="n">
        <f aca="false">IFERROR(LEN(C235&amp;D235&amp;E235&amp;F235&amp;G235&amp;H235&amp;I235&amp;J235&amp;K235&amp;L235&amp;M235&amp;N235)/5,0)</f>
        <v>27.6</v>
      </c>
      <c r="P235" s="3" t="str">
        <f aca="false">IF(OR(D235="",C235=""),"",IF((IFERROR(IF(AND(TRIM(D235)=D235,LEN(D235)&gt;0),0,1),1)+IFERROR(IF(AND(LEN(E235)=10,ISNUMBER(VALUE(E235))),0,1),1)+IFERROR(IF(AND(ISNUMBER(SEARCH("@",F235)),ISNUMBER(SEARCH(".",F235))),0,1),1)+IFERROR(IF(AND(LEN(J235)=6,ISNUMBER(VALUE(J235))),0,1),1)+IFERROR(IF(ISNUMBER(MATCH(TRIM(I235),Lists!$A$2:$A$20,0)),0,1),1)+IFERROR(IF(AND(LEN(K235)=10,VALUE(LEFT(K235,FIND("/",K235)-1))&gt;=1,VALUE(LEFT(K235,FIND("/",K235)-1))&lt;=31,VALUE(LEFT(MID(K235,FIND("/",K235)+1,10),FIND("/",MID(K235,FIND("/",K235)+1,10))-1))&gt;=1,VALUE(LEFT(MID(K235,FIND("/",K235)+1,10),FIND("/",MID(K235,FIND("/",K235)+1,10))-1))&lt;=12,VALUE(LEFT(K235,FIND("/",K235)-1))&lt;=DAY(EOMONTH(DATE(VALUE(MID(MID(K235,FIND("/",K235)+1,10),FIND("/",MID(K235,FIND("/",K235)+1,10))+1,4)),VALUE(LEFT(MID(K235,FIND("/",K235)+1,10),FIND("/",MID(K235,FIND("/",K235)+1,10))-1)),1),0))),0,1),1)+IFERROR(IF(M235&gt;=0,0,1),1)+IFERROR(IF(ISNUMBER(MATCH(N235,Lists!$B$2:$B$7,0)),0,1),1))=0,"OK","ERROR"))</f>
        <v>OK</v>
      </c>
      <c r="Q235" s="3" t="str">
        <f aca="false">IF(D235="","",TRIM(IF(IFERROR(IF(AND(TRIM(D235)=D235,LEN(D235)&gt;0),0,1),1)=1,"Name; ","")&amp;IF(IFERROR(IF(AND(LEN(E235)=10,ISNUMBER(VALUE(E235))),0,1),1)=1,"Phone; ","")&amp;IF(IFERROR(IF(AND(ISNUMBER(SEARCH("@",F235)),ISNUMBER(SEARCH(".",F235))),0,1),1)=1,"Email; ","")&amp;IF(IFERROR(IF(AND(LEN(J235)=6,ISNUMBER(VALUE(J235))),0,1),1)=1,"Pincode; ","")&amp;IF(IFERROR(IF(ISNUMBER(MATCH(TRIM(I235),Lists!$A$2:$A$20,0)),0,1),1)=1,"State; ","")&amp;IF(IFERROR(IF(AND(LEN(K235)=10,VALUE(LEFT(K235,FIND("/",K235)-1))&gt;=1,VALUE(LEFT(K235,FIND("/",K235)-1))&lt;=31,VALUE(LEFT(MID(K235,FIND("/",K235)+1,10),FIND("/",MID(K235,FIND("/",K235)+1,10))-1))&gt;=1,VALUE(LEFT(MID(K235,FIND("/",K235)+1,10),FIND("/",MID(K235,FIND("/",K235)+1,10))-1))&lt;=12,VALUE(LEFT(K235,FIND("/",K235)-1))&lt;=DAY(EOMONTH(DATE(VALUE(MID(MID(K235,FIND("/",K235)+1,10),FIND("/",MID(K235,FIND("/",K235)+1,10))+1,4)),VALUE(LEFT(MID(K235,FIND("/",K235)+1,10),FIND("/",MID(K235,FIND("/",K235)+1,10))-1)),1),0))),0,1),1)=1,"Date; ","")&amp;IF(IFERROR(IF(M235&gt;=0,0,1),1)=1,"Amount; ","")&amp;IF(IFERROR(IF(ISNUMBER(MATCH(N235,Lists!$B$2:$B$7,0)),0,1),1)=1,"Payment; ","")))</f>
        <v/>
      </c>
      <c r="R235" s="3" t="str">
        <f aca="false">IF(D235="","",IF(COUNTIFS($D$2:$D$701,D235,$E$2:$E$701,E235)&gt;1,"DUPLICATE","Unique"))</f>
        <v>Unique</v>
      </c>
    </row>
    <row r="236" customFormat="false" ht="15" hidden="false" customHeight="false" outlineLevel="0" collapsed="false">
      <c r="A236" s="3" t="n">
        <v>235</v>
      </c>
      <c r="B236" s="3" t="n">
        <v>5</v>
      </c>
      <c r="C236" s="3" t="s">
        <v>1770</v>
      </c>
      <c r="D236" s="3" t="s">
        <v>1771</v>
      </c>
      <c r="E236" s="3" t="s">
        <v>1772</v>
      </c>
      <c r="F236" s="3" t="s">
        <v>1773</v>
      </c>
      <c r="G236" s="3" t="s">
        <v>1774</v>
      </c>
      <c r="H236" s="3" t="s">
        <v>134</v>
      </c>
      <c r="I236" s="3" t="s">
        <v>65</v>
      </c>
      <c r="J236" s="3" t="s">
        <v>1775</v>
      </c>
      <c r="K236" s="3" t="s">
        <v>1776</v>
      </c>
      <c r="L236" s="3" t="s">
        <v>68</v>
      </c>
      <c r="M236" s="3" t="n">
        <v>15912.66</v>
      </c>
      <c r="N236" s="3" t="s">
        <v>43</v>
      </c>
      <c r="O236" s="3" t="n">
        <f aca="false">IFERROR(LEN(C236&amp;D236&amp;E236&amp;F236&amp;G236&amp;H236&amp;I236&amp;J236&amp;K236&amp;L236&amp;M236&amp;N236)/5,0)</f>
        <v>25.8</v>
      </c>
      <c r="P236" s="3" t="str">
        <f aca="false">IF(OR(D236="",C236=""),"",IF((IFERROR(IF(AND(TRIM(D236)=D236,LEN(D236)&gt;0),0,1),1)+IFERROR(IF(AND(LEN(E236)=10,ISNUMBER(VALUE(E236))),0,1),1)+IFERROR(IF(AND(ISNUMBER(SEARCH("@",F236)),ISNUMBER(SEARCH(".",F236))),0,1),1)+IFERROR(IF(AND(LEN(J236)=6,ISNUMBER(VALUE(J236))),0,1),1)+IFERROR(IF(ISNUMBER(MATCH(TRIM(I236),Lists!$A$2:$A$20,0)),0,1),1)+IFERROR(IF(AND(LEN(K236)=10,VALUE(LEFT(K236,FIND("/",K236)-1))&gt;=1,VALUE(LEFT(K236,FIND("/",K236)-1))&lt;=31,VALUE(LEFT(MID(K236,FIND("/",K236)+1,10),FIND("/",MID(K236,FIND("/",K236)+1,10))-1))&gt;=1,VALUE(LEFT(MID(K236,FIND("/",K236)+1,10),FIND("/",MID(K236,FIND("/",K236)+1,10))-1))&lt;=12,VALUE(LEFT(K236,FIND("/",K236)-1))&lt;=DAY(EOMONTH(DATE(VALUE(MID(MID(K236,FIND("/",K236)+1,10),FIND("/",MID(K236,FIND("/",K236)+1,10))+1,4)),VALUE(LEFT(MID(K236,FIND("/",K236)+1,10),FIND("/",MID(K236,FIND("/",K236)+1,10))-1)),1),0))),0,1),1)+IFERROR(IF(M236&gt;=0,0,1),1)+IFERROR(IF(ISNUMBER(MATCH(N236,Lists!$B$2:$B$7,0)),0,1),1))=0,"OK","ERROR"))</f>
        <v>OK</v>
      </c>
      <c r="Q236" s="3" t="str">
        <f aca="false">IF(D236="","",TRIM(IF(IFERROR(IF(AND(TRIM(D236)=D236,LEN(D236)&gt;0),0,1),1)=1,"Name; ","")&amp;IF(IFERROR(IF(AND(LEN(E236)=10,ISNUMBER(VALUE(E236))),0,1),1)=1,"Phone; ","")&amp;IF(IFERROR(IF(AND(ISNUMBER(SEARCH("@",F236)),ISNUMBER(SEARCH(".",F236))),0,1),1)=1,"Email; ","")&amp;IF(IFERROR(IF(AND(LEN(J236)=6,ISNUMBER(VALUE(J236))),0,1),1)=1,"Pincode; ","")&amp;IF(IFERROR(IF(ISNUMBER(MATCH(TRIM(I236),Lists!$A$2:$A$20,0)),0,1),1)=1,"State; ","")&amp;IF(IFERROR(IF(AND(LEN(K236)=10,VALUE(LEFT(K236,FIND("/",K236)-1))&gt;=1,VALUE(LEFT(K236,FIND("/",K236)-1))&lt;=31,VALUE(LEFT(MID(K236,FIND("/",K236)+1,10),FIND("/",MID(K236,FIND("/",K236)+1,10))-1))&gt;=1,VALUE(LEFT(MID(K236,FIND("/",K236)+1,10),FIND("/",MID(K236,FIND("/",K236)+1,10))-1))&lt;=12,VALUE(LEFT(K236,FIND("/",K236)-1))&lt;=DAY(EOMONTH(DATE(VALUE(MID(MID(K236,FIND("/",K236)+1,10),FIND("/",MID(K236,FIND("/",K236)+1,10))+1,4)),VALUE(LEFT(MID(K236,FIND("/",K236)+1,10),FIND("/",MID(K236,FIND("/",K236)+1,10))-1)),1),0))),0,1),1)=1,"Date; ","")&amp;IF(IFERROR(IF(M236&gt;=0,0,1),1)=1,"Amount; ","")&amp;IF(IFERROR(IF(ISNUMBER(MATCH(N236,Lists!$B$2:$B$7,0)),0,1),1)=1,"Payment; ","")))</f>
        <v/>
      </c>
      <c r="R236" s="3" t="str">
        <f aca="false">IF(D236="","",IF(COUNTIFS($D$2:$D$701,D236,$E$2:$E$701,E236)&gt;1,"DUPLICATE","Unique"))</f>
        <v>Unique</v>
      </c>
    </row>
    <row r="237" customFormat="false" ht="15" hidden="false" customHeight="false" outlineLevel="0" collapsed="false">
      <c r="A237" s="3" t="n">
        <v>236</v>
      </c>
      <c r="B237" s="3" t="n">
        <v>5</v>
      </c>
      <c r="C237" s="3" t="s">
        <v>1777</v>
      </c>
      <c r="D237" s="3" t="s">
        <v>1778</v>
      </c>
      <c r="E237" s="3" t="s">
        <v>1779</v>
      </c>
      <c r="F237" s="3" t="s">
        <v>1780</v>
      </c>
      <c r="G237" s="3" t="s">
        <v>1781</v>
      </c>
      <c r="H237" s="3" t="s">
        <v>1738</v>
      </c>
      <c r="I237" s="3" t="s">
        <v>73</v>
      </c>
      <c r="J237" s="3" t="s">
        <v>1782</v>
      </c>
      <c r="K237" s="3" t="s">
        <v>1783</v>
      </c>
      <c r="L237" s="3" t="s">
        <v>44</v>
      </c>
      <c r="M237" s="3" t="n">
        <v>3927.26</v>
      </c>
      <c r="N237" s="3" t="s">
        <v>49</v>
      </c>
      <c r="O237" s="3" t="n">
        <f aca="false">IFERROR(LEN(C237&amp;D237&amp;E237&amp;F237&amp;G237&amp;H237&amp;I237&amp;J237&amp;K237&amp;L237&amp;M237&amp;N237)/5,0)</f>
        <v>25.8</v>
      </c>
      <c r="P237" s="3" t="str">
        <f aca="false">IF(OR(D237="",C237=""),"",IF((IFERROR(IF(AND(TRIM(D237)=D237,LEN(D237)&gt;0),0,1),1)+IFERROR(IF(AND(LEN(E237)=10,ISNUMBER(VALUE(E237))),0,1),1)+IFERROR(IF(AND(ISNUMBER(SEARCH("@",F237)),ISNUMBER(SEARCH(".",F237))),0,1),1)+IFERROR(IF(AND(LEN(J237)=6,ISNUMBER(VALUE(J237))),0,1),1)+IFERROR(IF(ISNUMBER(MATCH(TRIM(I237),Lists!$A$2:$A$20,0)),0,1),1)+IFERROR(IF(AND(LEN(K237)=10,VALUE(LEFT(K237,FIND("/",K237)-1))&gt;=1,VALUE(LEFT(K237,FIND("/",K237)-1))&lt;=31,VALUE(LEFT(MID(K237,FIND("/",K237)+1,10),FIND("/",MID(K237,FIND("/",K237)+1,10))-1))&gt;=1,VALUE(LEFT(MID(K237,FIND("/",K237)+1,10),FIND("/",MID(K237,FIND("/",K237)+1,10))-1))&lt;=12,VALUE(LEFT(K237,FIND("/",K237)-1))&lt;=DAY(EOMONTH(DATE(VALUE(MID(MID(K237,FIND("/",K237)+1,10),FIND("/",MID(K237,FIND("/",K237)+1,10))+1,4)),VALUE(LEFT(MID(K237,FIND("/",K237)+1,10),FIND("/",MID(K237,FIND("/",K237)+1,10))-1)),1),0))),0,1),1)+IFERROR(IF(M237&gt;=0,0,1),1)+IFERROR(IF(ISNUMBER(MATCH(N237,Lists!$B$2:$B$7,0)),0,1),1))=0,"OK","ERROR"))</f>
        <v>OK</v>
      </c>
      <c r="Q237" s="3" t="str">
        <f aca="false">IF(D237="","",TRIM(IF(IFERROR(IF(AND(TRIM(D237)=D237,LEN(D237)&gt;0),0,1),1)=1,"Name; ","")&amp;IF(IFERROR(IF(AND(LEN(E237)=10,ISNUMBER(VALUE(E237))),0,1),1)=1,"Phone; ","")&amp;IF(IFERROR(IF(AND(ISNUMBER(SEARCH("@",F237)),ISNUMBER(SEARCH(".",F237))),0,1),1)=1,"Email; ","")&amp;IF(IFERROR(IF(AND(LEN(J237)=6,ISNUMBER(VALUE(J237))),0,1),1)=1,"Pincode; ","")&amp;IF(IFERROR(IF(ISNUMBER(MATCH(TRIM(I237),Lists!$A$2:$A$20,0)),0,1),1)=1,"State; ","")&amp;IF(IFERROR(IF(AND(LEN(K237)=10,VALUE(LEFT(K237,FIND("/",K237)-1))&gt;=1,VALUE(LEFT(K237,FIND("/",K237)-1))&lt;=31,VALUE(LEFT(MID(K237,FIND("/",K237)+1,10),FIND("/",MID(K237,FIND("/",K237)+1,10))-1))&gt;=1,VALUE(LEFT(MID(K237,FIND("/",K237)+1,10),FIND("/",MID(K237,FIND("/",K237)+1,10))-1))&lt;=12,VALUE(LEFT(K237,FIND("/",K237)-1))&lt;=DAY(EOMONTH(DATE(VALUE(MID(MID(K237,FIND("/",K237)+1,10),FIND("/",MID(K237,FIND("/",K237)+1,10))+1,4)),VALUE(LEFT(MID(K237,FIND("/",K237)+1,10),FIND("/",MID(K237,FIND("/",K237)+1,10))-1)),1),0))),0,1),1)=1,"Date; ","")&amp;IF(IFERROR(IF(M237&gt;=0,0,1),1)=1,"Amount; ","")&amp;IF(IFERROR(IF(ISNUMBER(MATCH(N237,Lists!$B$2:$B$7,0)),0,1),1)=1,"Payment; ","")))</f>
        <v/>
      </c>
      <c r="R237" s="3" t="str">
        <f aca="false">IF(D237="","",IF(COUNTIFS($D$2:$D$701,D237,$E$2:$E$701,E237)&gt;1,"DUPLICATE","Unique"))</f>
        <v>Unique</v>
      </c>
    </row>
    <row r="238" customFormat="false" ht="15" hidden="false" customHeight="false" outlineLevel="0" collapsed="false">
      <c r="A238" s="3" t="n">
        <v>237</v>
      </c>
      <c r="B238" s="3" t="n">
        <v>5</v>
      </c>
      <c r="C238" s="3" t="s">
        <v>1784</v>
      </c>
      <c r="D238" s="3" t="s">
        <v>1785</v>
      </c>
      <c r="E238" s="3" t="s">
        <v>1786</v>
      </c>
      <c r="F238" s="3" t="s">
        <v>1787</v>
      </c>
      <c r="G238" s="3" t="s">
        <v>1788</v>
      </c>
      <c r="H238" s="3" t="s">
        <v>134</v>
      </c>
      <c r="I238" s="3" t="s">
        <v>65</v>
      </c>
      <c r="J238" s="3" t="s">
        <v>1789</v>
      </c>
      <c r="K238" s="3" t="s">
        <v>1790</v>
      </c>
      <c r="L238" s="3" t="s">
        <v>66</v>
      </c>
      <c r="M238" s="3" t="n">
        <v>9973.59</v>
      </c>
      <c r="N238" s="3" t="s">
        <v>55</v>
      </c>
      <c r="O238" s="3" t="n">
        <f aca="false">IFERROR(LEN(C238&amp;D238&amp;E238&amp;F238&amp;G238&amp;H238&amp;I238&amp;J238&amp;K238&amp;L238&amp;M238&amp;N238)/5,0)</f>
        <v>28.8</v>
      </c>
      <c r="P238" s="3" t="str">
        <f aca="false">IF(OR(D238="",C238=""),"",IF((IFERROR(IF(AND(TRIM(D238)=D238,LEN(D238)&gt;0),0,1),1)+IFERROR(IF(AND(LEN(E238)=10,ISNUMBER(VALUE(E238))),0,1),1)+IFERROR(IF(AND(ISNUMBER(SEARCH("@",F238)),ISNUMBER(SEARCH(".",F238))),0,1),1)+IFERROR(IF(AND(LEN(J238)=6,ISNUMBER(VALUE(J238))),0,1),1)+IFERROR(IF(ISNUMBER(MATCH(TRIM(I238),Lists!$A$2:$A$20,0)),0,1),1)+IFERROR(IF(AND(LEN(K238)=10,VALUE(LEFT(K238,FIND("/",K238)-1))&gt;=1,VALUE(LEFT(K238,FIND("/",K238)-1))&lt;=31,VALUE(LEFT(MID(K238,FIND("/",K238)+1,10),FIND("/",MID(K238,FIND("/",K238)+1,10))-1))&gt;=1,VALUE(LEFT(MID(K238,FIND("/",K238)+1,10),FIND("/",MID(K238,FIND("/",K238)+1,10))-1))&lt;=12,VALUE(LEFT(K238,FIND("/",K238)-1))&lt;=DAY(EOMONTH(DATE(VALUE(MID(MID(K238,FIND("/",K238)+1,10),FIND("/",MID(K238,FIND("/",K238)+1,10))+1,4)),VALUE(LEFT(MID(K238,FIND("/",K238)+1,10),FIND("/",MID(K238,FIND("/",K238)+1,10))-1)),1),0))),0,1),1)+IFERROR(IF(M238&gt;=0,0,1),1)+IFERROR(IF(ISNUMBER(MATCH(N238,Lists!$B$2:$B$7,0)),0,1),1))=0,"OK","ERROR"))</f>
        <v>OK</v>
      </c>
      <c r="Q238" s="3" t="str">
        <f aca="false">IF(D238="","",TRIM(IF(IFERROR(IF(AND(TRIM(D238)=D238,LEN(D238)&gt;0),0,1),1)=1,"Name; ","")&amp;IF(IFERROR(IF(AND(LEN(E238)=10,ISNUMBER(VALUE(E238))),0,1),1)=1,"Phone; ","")&amp;IF(IFERROR(IF(AND(ISNUMBER(SEARCH("@",F238)),ISNUMBER(SEARCH(".",F238))),0,1),1)=1,"Email; ","")&amp;IF(IFERROR(IF(AND(LEN(J238)=6,ISNUMBER(VALUE(J238))),0,1),1)=1,"Pincode; ","")&amp;IF(IFERROR(IF(ISNUMBER(MATCH(TRIM(I238),Lists!$A$2:$A$20,0)),0,1),1)=1,"State; ","")&amp;IF(IFERROR(IF(AND(LEN(K238)=10,VALUE(LEFT(K238,FIND("/",K238)-1))&gt;=1,VALUE(LEFT(K238,FIND("/",K238)-1))&lt;=31,VALUE(LEFT(MID(K238,FIND("/",K238)+1,10),FIND("/",MID(K238,FIND("/",K238)+1,10))-1))&gt;=1,VALUE(LEFT(MID(K238,FIND("/",K238)+1,10),FIND("/",MID(K238,FIND("/",K238)+1,10))-1))&lt;=12,VALUE(LEFT(K238,FIND("/",K238)-1))&lt;=DAY(EOMONTH(DATE(VALUE(MID(MID(K238,FIND("/",K238)+1,10),FIND("/",MID(K238,FIND("/",K238)+1,10))+1,4)),VALUE(LEFT(MID(K238,FIND("/",K238)+1,10),FIND("/",MID(K238,FIND("/",K238)+1,10))-1)),1),0))),0,1),1)=1,"Date; ","")&amp;IF(IFERROR(IF(M238&gt;=0,0,1),1)=1,"Amount; ","")&amp;IF(IFERROR(IF(ISNUMBER(MATCH(N238,Lists!$B$2:$B$7,0)),0,1),1)=1,"Payment; ","")))</f>
        <v/>
      </c>
      <c r="R238" s="3" t="str">
        <f aca="false">IF(D238="","",IF(COUNTIFS($D$2:$D$701,D238,$E$2:$E$701,E238)&gt;1,"DUPLICATE","Unique"))</f>
        <v>Unique</v>
      </c>
    </row>
    <row r="239" customFormat="false" ht="15" hidden="false" customHeight="false" outlineLevel="0" collapsed="false">
      <c r="A239" s="3" t="n">
        <v>238</v>
      </c>
      <c r="B239" s="3" t="n">
        <v>5</v>
      </c>
      <c r="C239" s="3" t="s">
        <v>1791</v>
      </c>
      <c r="D239" s="3" t="s">
        <v>1792</v>
      </c>
      <c r="E239" s="3" t="s">
        <v>1793</v>
      </c>
      <c r="F239" s="3" t="s">
        <v>1794</v>
      </c>
      <c r="G239" s="3" t="s">
        <v>1795</v>
      </c>
      <c r="H239" s="3" t="s">
        <v>180</v>
      </c>
      <c r="I239" s="3" t="s">
        <v>42</v>
      </c>
      <c r="J239" s="3" t="s">
        <v>1796</v>
      </c>
      <c r="K239" s="3" t="s">
        <v>1797</v>
      </c>
      <c r="L239" s="3" t="s">
        <v>60</v>
      </c>
      <c r="M239" s="3" t="n">
        <v>11363.69</v>
      </c>
      <c r="N239" s="3" t="s">
        <v>52</v>
      </c>
      <c r="O239" s="3" t="n">
        <f aca="false">IFERROR(LEN(C239&amp;D239&amp;E239&amp;F239&amp;G239&amp;H239&amp;I239&amp;J239&amp;K239&amp;L239&amp;M239&amp;N239)/5,0)</f>
        <v>27</v>
      </c>
      <c r="P239" s="3" t="str">
        <f aca="false">IF(OR(D239="",C239=""),"",IF((IFERROR(IF(AND(TRIM(D239)=D239,LEN(D239)&gt;0),0,1),1)+IFERROR(IF(AND(LEN(E239)=10,ISNUMBER(VALUE(E239))),0,1),1)+IFERROR(IF(AND(ISNUMBER(SEARCH("@",F239)),ISNUMBER(SEARCH(".",F239))),0,1),1)+IFERROR(IF(AND(LEN(J239)=6,ISNUMBER(VALUE(J239))),0,1),1)+IFERROR(IF(ISNUMBER(MATCH(TRIM(I239),Lists!$A$2:$A$20,0)),0,1),1)+IFERROR(IF(AND(LEN(K239)=10,VALUE(LEFT(K239,FIND("/",K239)-1))&gt;=1,VALUE(LEFT(K239,FIND("/",K239)-1))&lt;=31,VALUE(LEFT(MID(K239,FIND("/",K239)+1,10),FIND("/",MID(K239,FIND("/",K239)+1,10))-1))&gt;=1,VALUE(LEFT(MID(K239,FIND("/",K239)+1,10),FIND("/",MID(K239,FIND("/",K239)+1,10))-1))&lt;=12,VALUE(LEFT(K239,FIND("/",K239)-1))&lt;=DAY(EOMONTH(DATE(VALUE(MID(MID(K239,FIND("/",K239)+1,10),FIND("/",MID(K239,FIND("/",K239)+1,10))+1,4)),VALUE(LEFT(MID(K239,FIND("/",K239)+1,10),FIND("/",MID(K239,FIND("/",K239)+1,10))-1)),1),0))),0,1),1)+IFERROR(IF(M239&gt;=0,0,1),1)+IFERROR(IF(ISNUMBER(MATCH(N239,Lists!$B$2:$B$7,0)),0,1),1))=0,"OK","ERROR"))</f>
        <v>OK</v>
      </c>
      <c r="Q239" s="3" t="str">
        <f aca="false">IF(D239="","",TRIM(IF(IFERROR(IF(AND(TRIM(D239)=D239,LEN(D239)&gt;0),0,1),1)=1,"Name; ","")&amp;IF(IFERROR(IF(AND(LEN(E239)=10,ISNUMBER(VALUE(E239))),0,1),1)=1,"Phone; ","")&amp;IF(IFERROR(IF(AND(ISNUMBER(SEARCH("@",F239)),ISNUMBER(SEARCH(".",F239))),0,1),1)=1,"Email; ","")&amp;IF(IFERROR(IF(AND(LEN(J239)=6,ISNUMBER(VALUE(J239))),0,1),1)=1,"Pincode; ","")&amp;IF(IFERROR(IF(ISNUMBER(MATCH(TRIM(I239),Lists!$A$2:$A$20,0)),0,1),1)=1,"State; ","")&amp;IF(IFERROR(IF(AND(LEN(K239)=10,VALUE(LEFT(K239,FIND("/",K239)-1))&gt;=1,VALUE(LEFT(K239,FIND("/",K239)-1))&lt;=31,VALUE(LEFT(MID(K239,FIND("/",K239)+1,10),FIND("/",MID(K239,FIND("/",K239)+1,10))-1))&gt;=1,VALUE(LEFT(MID(K239,FIND("/",K239)+1,10),FIND("/",MID(K239,FIND("/",K239)+1,10))-1))&lt;=12,VALUE(LEFT(K239,FIND("/",K239)-1))&lt;=DAY(EOMONTH(DATE(VALUE(MID(MID(K239,FIND("/",K239)+1,10),FIND("/",MID(K239,FIND("/",K239)+1,10))+1,4)),VALUE(LEFT(MID(K239,FIND("/",K239)+1,10),FIND("/",MID(K239,FIND("/",K239)+1,10))-1)),1),0))),0,1),1)=1,"Date; ","")&amp;IF(IFERROR(IF(M239&gt;=0,0,1),1)=1,"Amount; ","")&amp;IF(IFERROR(IF(ISNUMBER(MATCH(N239,Lists!$B$2:$B$7,0)),0,1),1)=1,"Payment; ","")))</f>
        <v/>
      </c>
      <c r="R239" s="3" t="str">
        <f aca="false">IF(D239="","",IF(COUNTIFS($D$2:$D$701,D239,$E$2:$E$701,E239)&gt;1,"DUPLICATE","Unique"))</f>
        <v>Unique</v>
      </c>
    </row>
    <row r="240" customFormat="false" ht="15" hidden="false" customHeight="false" outlineLevel="0" collapsed="false">
      <c r="A240" s="3" t="n">
        <v>239</v>
      </c>
      <c r="B240" s="3" t="n">
        <v>5</v>
      </c>
      <c r="C240" s="3" t="s">
        <v>1798</v>
      </c>
      <c r="D240" s="3" t="s">
        <v>1799</v>
      </c>
      <c r="E240" s="3" t="s">
        <v>1800</v>
      </c>
      <c r="F240" s="3" t="s">
        <v>1801</v>
      </c>
      <c r="G240" s="3" t="s">
        <v>1802</v>
      </c>
      <c r="H240" s="3" t="s">
        <v>258</v>
      </c>
      <c r="I240" s="3" t="s">
        <v>63</v>
      </c>
      <c r="J240" s="3" t="s">
        <v>1803</v>
      </c>
      <c r="K240" s="3" t="s">
        <v>1804</v>
      </c>
      <c r="L240" s="3" t="s">
        <v>62</v>
      </c>
      <c r="M240" s="3" t="n">
        <v>5999.38</v>
      </c>
      <c r="N240" s="3" t="s">
        <v>40</v>
      </c>
      <c r="O240" s="3" t="n">
        <f aca="false">IFERROR(LEN(C240&amp;D240&amp;E240&amp;F240&amp;G240&amp;H240&amp;I240&amp;J240&amp;K240&amp;L240&amp;M240&amp;N240)/5,0)</f>
        <v>26</v>
      </c>
      <c r="P240" s="3" t="str">
        <f aca="false">IF(OR(D240="",C240=""),"",IF((IFERROR(IF(AND(TRIM(D240)=D240,LEN(D240)&gt;0),0,1),1)+IFERROR(IF(AND(LEN(E240)=10,ISNUMBER(VALUE(E240))),0,1),1)+IFERROR(IF(AND(ISNUMBER(SEARCH("@",F240)),ISNUMBER(SEARCH(".",F240))),0,1),1)+IFERROR(IF(AND(LEN(J240)=6,ISNUMBER(VALUE(J240))),0,1),1)+IFERROR(IF(ISNUMBER(MATCH(TRIM(I240),Lists!$A$2:$A$20,0)),0,1),1)+IFERROR(IF(AND(LEN(K240)=10,VALUE(LEFT(K240,FIND("/",K240)-1))&gt;=1,VALUE(LEFT(K240,FIND("/",K240)-1))&lt;=31,VALUE(LEFT(MID(K240,FIND("/",K240)+1,10),FIND("/",MID(K240,FIND("/",K240)+1,10))-1))&gt;=1,VALUE(LEFT(MID(K240,FIND("/",K240)+1,10),FIND("/",MID(K240,FIND("/",K240)+1,10))-1))&lt;=12,VALUE(LEFT(K240,FIND("/",K240)-1))&lt;=DAY(EOMONTH(DATE(VALUE(MID(MID(K240,FIND("/",K240)+1,10),FIND("/",MID(K240,FIND("/",K240)+1,10))+1,4)),VALUE(LEFT(MID(K240,FIND("/",K240)+1,10),FIND("/",MID(K240,FIND("/",K240)+1,10))-1)),1),0))),0,1),1)+IFERROR(IF(M240&gt;=0,0,1),1)+IFERROR(IF(ISNUMBER(MATCH(N240,Lists!$B$2:$B$7,0)),0,1),1))=0,"OK","ERROR"))</f>
        <v>OK</v>
      </c>
      <c r="Q240" s="3" t="str">
        <f aca="false">IF(D240="","",TRIM(IF(IFERROR(IF(AND(TRIM(D240)=D240,LEN(D240)&gt;0),0,1),1)=1,"Name; ","")&amp;IF(IFERROR(IF(AND(LEN(E240)=10,ISNUMBER(VALUE(E240))),0,1),1)=1,"Phone; ","")&amp;IF(IFERROR(IF(AND(ISNUMBER(SEARCH("@",F240)),ISNUMBER(SEARCH(".",F240))),0,1),1)=1,"Email; ","")&amp;IF(IFERROR(IF(AND(LEN(J240)=6,ISNUMBER(VALUE(J240))),0,1),1)=1,"Pincode; ","")&amp;IF(IFERROR(IF(ISNUMBER(MATCH(TRIM(I240),Lists!$A$2:$A$20,0)),0,1),1)=1,"State; ","")&amp;IF(IFERROR(IF(AND(LEN(K240)=10,VALUE(LEFT(K240,FIND("/",K240)-1))&gt;=1,VALUE(LEFT(K240,FIND("/",K240)-1))&lt;=31,VALUE(LEFT(MID(K240,FIND("/",K240)+1,10),FIND("/",MID(K240,FIND("/",K240)+1,10))-1))&gt;=1,VALUE(LEFT(MID(K240,FIND("/",K240)+1,10),FIND("/",MID(K240,FIND("/",K240)+1,10))-1))&lt;=12,VALUE(LEFT(K240,FIND("/",K240)-1))&lt;=DAY(EOMONTH(DATE(VALUE(MID(MID(K240,FIND("/",K240)+1,10),FIND("/",MID(K240,FIND("/",K240)+1,10))+1,4)),VALUE(LEFT(MID(K240,FIND("/",K240)+1,10),FIND("/",MID(K240,FIND("/",K240)+1,10))-1)),1),0))),0,1),1)=1,"Date; ","")&amp;IF(IFERROR(IF(M240&gt;=0,0,1),1)=1,"Amount; ","")&amp;IF(IFERROR(IF(ISNUMBER(MATCH(N240,Lists!$B$2:$B$7,0)),0,1),1)=1,"Payment; ","")))</f>
        <v/>
      </c>
      <c r="R240" s="3" t="str">
        <f aca="false">IF(D240="","",IF(COUNTIFS($D$2:$D$701,D240,$E$2:$E$701,E240)&gt;1,"DUPLICATE","Unique"))</f>
        <v>Unique</v>
      </c>
    </row>
    <row r="241" customFormat="false" ht="15" hidden="false" customHeight="false" outlineLevel="0" collapsed="false">
      <c r="A241" s="3" t="n">
        <v>240</v>
      </c>
      <c r="B241" s="3" t="n">
        <v>5</v>
      </c>
      <c r="C241" s="3" t="s">
        <v>1805</v>
      </c>
      <c r="D241" s="3" t="s">
        <v>1806</v>
      </c>
      <c r="E241" s="3" t="s">
        <v>1807</v>
      </c>
      <c r="F241" s="3" t="s">
        <v>1808</v>
      </c>
      <c r="G241" s="3" t="s">
        <v>1809</v>
      </c>
      <c r="H241" s="3" t="s">
        <v>525</v>
      </c>
      <c r="I241" s="3" t="s">
        <v>76</v>
      </c>
      <c r="J241" s="3" t="s">
        <v>1810</v>
      </c>
      <c r="K241" s="3" t="s">
        <v>438</v>
      </c>
      <c r="L241" s="3" t="s">
        <v>66</v>
      </c>
      <c r="M241" s="3" t="n">
        <v>5286.98</v>
      </c>
      <c r="N241" s="3" t="s">
        <v>40</v>
      </c>
      <c r="O241" s="3" t="n">
        <f aca="false">IFERROR(LEN(C241&amp;D241&amp;E241&amp;F241&amp;G241&amp;H241&amp;I241&amp;J241&amp;K241&amp;L241&amp;M241&amp;N241)/5,0)</f>
        <v>32.6</v>
      </c>
      <c r="P241" s="3" t="str">
        <f aca="false">IF(OR(D241="",C241=""),"",IF((IFERROR(IF(AND(TRIM(D241)=D241,LEN(D241)&gt;0),0,1),1)+IFERROR(IF(AND(LEN(E241)=10,ISNUMBER(VALUE(E241))),0,1),1)+IFERROR(IF(AND(ISNUMBER(SEARCH("@",F241)),ISNUMBER(SEARCH(".",F241))),0,1),1)+IFERROR(IF(AND(LEN(J241)=6,ISNUMBER(VALUE(J241))),0,1),1)+IFERROR(IF(ISNUMBER(MATCH(TRIM(I241),Lists!$A$2:$A$20,0)),0,1),1)+IFERROR(IF(AND(LEN(K241)=10,VALUE(LEFT(K241,FIND("/",K241)-1))&gt;=1,VALUE(LEFT(K241,FIND("/",K241)-1))&lt;=31,VALUE(LEFT(MID(K241,FIND("/",K241)+1,10),FIND("/",MID(K241,FIND("/",K241)+1,10))-1))&gt;=1,VALUE(LEFT(MID(K241,FIND("/",K241)+1,10),FIND("/",MID(K241,FIND("/",K241)+1,10))-1))&lt;=12,VALUE(LEFT(K241,FIND("/",K241)-1))&lt;=DAY(EOMONTH(DATE(VALUE(MID(MID(K241,FIND("/",K241)+1,10),FIND("/",MID(K241,FIND("/",K241)+1,10))+1,4)),VALUE(LEFT(MID(K241,FIND("/",K241)+1,10),FIND("/",MID(K241,FIND("/",K241)+1,10))-1)),1),0))),0,1),1)+IFERROR(IF(M241&gt;=0,0,1),1)+IFERROR(IF(ISNUMBER(MATCH(N241,Lists!$B$2:$B$7,0)),0,1),1))=0,"OK","ERROR"))</f>
        <v>OK</v>
      </c>
      <c r="Q241" s="3" t="str">
        <f aca="false">IF(D241="","",TRIM(IF(IFERROR(IF(AND(TRIM(D241)=D241,LEN(D241)&gt;0),0,1),1)=1,"Name; ","")&amp;IF(IFERROR(IF(AND(LEN(E241)=10,ISNUMBER(VALUE(E241))),0,1),1)=1,"Phone; ","")&amp;IF(IFERROR(IF(AND(ISNUMBER(SEARCH("@",F241)),ISNUMBER(SEARCH(".",F241))),0,1),1)=1,"Email; ","")&amp;IF(IFERROR(IF(AND(LEN(J241)=6,ISNUMBER(VALUE(J241))),0,1),1)=1,"Pincode; ","")&amp;IF(IFERROR(IF(ISNUMBER(MATCH(TRIM(I241),Lists!$A$2:$A$20,0)),0,1),1)=1,"State; ","")&amp;IF(IFERROR(IF(AND(LEN(K241)=10,VALUE(LEFT(K241,FIND("/",K241)-1))&gt;=1,VALUE(LEFT(K241,FIND("/",K241)-1))&lt;=31,VALUE(LEFT(MID(K241,FIND("/",K241)+1,10),FIND("/",MID(K241,FIND("/",K241)+1,10))-1))&gt;=1,VALUE(LEFT(MID(K241,FIND("/",K241)+1,10),FIND("/",MID(K241,FIND("/",K241)+1,10))-1))&lt;=12,VALUE(LEFT(K241,FIND("/",K241)-1))&lt;=DAY(EOMONTH(DATE(VALUE(MID(MID(K241,FIND("/",K241)+1,10),FIND("/",MID(K241,FIND("/",K241)+1,10))+1,4)),VALUE(LEFT(MID(K241,FIND("/",K241)+1,10),FIND("/",MID(K241,FIND("/",K241)+1,10))-1)),1),0))),0,1),1)=1,"Date; ","")&amp;IF(IFERROR(IF(M241&gt;=0,0,1),1)=1,"Amount; ","")&amp;IF(IFERROR(IF(ISNUMBER(MATCH(N241,Lists!$B$2:$B$7,0)),0,1),1)=1,"Payment; ","")))</f>
        <v/>
      </c>
      <c r="R241" s="3" t="str">
        <f aca="false">IF(D241="","",IF(COUNTIFS($D$2:$D$701,D241,$E$2:$E$701,E241)&gt;1,"DUPLICATE","Unique"))</f>
        <v>Unique</v>
      </c>
    </row>
    <row r="242" customFormat="false" ht="15" hidden="false" customHeight="false" outlineLevel="0" collapsed="false">
      <c r="A242" s="3" t="n">
        <v>241</v>
      </c>
      <c r="B242" s="3" t="n">
        <v>5</v>
      </c>
      <c r="C242" s="3" t="s">
        <v>1811</v>
      </c>
      <c r="D242" s="3" t="s">
        <v>1812</v>
      </c>
      <c r="E242" s="3" t="s">
        <v>1813</v>
      </c>
      <c r="F242" s="3" t="s">
        <v>1814</v>
      </c>
      <c r="G242" s="3" t="s">
        <v>1815</v>
      </c>
      <c r="H242" s="3" t="s">
        <v>633</v>
      </c>
      <c r="I242" s="3" t="s">
        <v>76</v>
      </c>
      <c r="J242" s="3" t="s">
        <v>1816</v>
      </c>
      <c r="K242" s="3" t="s">
        <v>466</v>
      </c>
      <c r="L242" s="3" t="s">
        <v>56</v>
      </c>
      <c r="M242" s="3" t="n">
        <v>3686.42</v>
      </c>
      <c r="N242" s="3" t="s">
        <v>55</v>
      </c>
      <c r="O242" s="3" t="n">
        <f aca="false">IFERROR(LEN(C242&amp;D242&amp;E242&amp;F242&amp;G242&amp;H242&amp;I242&amp;J242&amp;K242&amp;L242&amp;M242&amp;N242)/5,0)</f>
        <v>26.2</v>
      </c>
      <c r="P242" s="3" t="str">
        <f aca="false">IF(OR(D242="",C242=""),"",IF((IFERROR(IF(AND(TRIM(D242)=D242,LEN(D242)&gt;0),0,1),1)+IFERROR(IF(AND(LEN(E242)=10,ISNUMBER(VALUE(E242))),0,1),1)+IFERROR(IF(AND(ISNUMBER(SEARCH("@",F242)),ISNUMBER(SEARCH(".",F242))),0,1),1)+IFERROR(IF(AND(LEN(J242)=6,ISNUMBER(VALUE(J242))),0,1),1)+IFERROR(IF(ISNUMBER(MATCH(TRIM(I242),Lists!$A$2:$A$20,0)),0,1),1)+IFERROR(IF(AND(LEN(K242)=10,VALUE(LEFT(K242,FIND("/",K242)-1))&gt;=1,VALUE(LEFT(K242,FIND("/",K242)-1))&lt;=31,VALUE(LEFT(MID(K242,FIND("/",K242)+1,10),FIND("/",MID(K242,FIND("/",K242)+1,10))-1))&gt;=1,VALUE(LEFT(MID(K242,FIND("/",K242)+1,10),FIND("/",MID(K242,FIND("/",K242)+1,10))-1))&lt;=12,VALUE(LEFT(K242,FIND("/",K242)-1))&lt;=DAY(EOMONTH(DATE(VALUE(MID(MID(K242,FIND("/",K242)+1,10),FIND("/",MID(K242,FIND("/",K242)+1,10))+1,4)),VALUE(LEFT(MID(K242,FIND("/",K242)+1,10),FIND("/",MID(K242,FIND("/",K242)+1,10))-1)),1),0))),0,1),1)+IFERROR(IF(M242&gt;=0,0,1),1)+IFERROR(IF(ISNUMBER(MATCH(N242,Lists!$B$2:$B$7,0)),0,1),1))=0,"OK","ERROR"))</f>
        <v>OK</v>
      </c>
      <c r="Q242" s="3" t="str">
        <f aca="false">IF(D242="","",TRIM(IF(IFERROR(IF(AND(TRIM(D242)=D242,LEN(D242)&gt;0),0,1),1)=1,"Name; ","")&amp;IF(IFERROR(IF(AND(LEN(E242)=10,ISNUMBER(VALUE(E242))),0,1),1)=1,"Phone; ","")&amp;IF(IFERROR(IF(AND(ISNUMBER(SEARCH("@",F242)),ISNUMBER(SEARCH(".",F242))),0,1),1)=1,"Email; ","")&amp;IF(IFERROR(IF(AND(LEN(J242)=6,ISNUMBER(VALUE(J242))),0,1),1)=1,"Pincode; ","")&amp;IF(IFERROR(IF(ISNUMBER(MATCH(TRIM(I242),Lists!$A$2:$A$20,0)),0,1),1)=1,"State; ","")&amp;IF(IFERROR(IF(AND(LEN(K242)=10,VALUE(LEFT(K242,FIND("/",K242)-1))&gt;=1,VALUE(LEFT(K242,FIND("/",K242)-1))&lt;=31,VALUE(LEFT(MID(K242,FIND("/",K242)+1,10),FIND("/",MID(K242,FIND("/",K242)+1,10))-1))&gt;=1,VALUE(LEFT(MID(K242,FIND("/",K242)+1,10),FIND("/",MID(K242,FIND("/",K242)+1,10))-1))&lt;=12,VALUE(LEFT(K242,FIND("/",K242)-1))&lt;=DAY(EOMONTH(DATE(VALUE(MID(MID(K242,FIND("/",K242)+1,10),FIND("/",MID(K242,FIND("/",K242)+1,10))+1,4)),VALUE(LEFT(MID(K242,FIND("/",K242)+1,10),FIND("/",MID(K242,FIND("/",K242)+1,10))-1)),1),0))),0,1),1)=1,"Date; ","")&amp;IF(IFERROR(IF(M242&gt;=0,0,1),1)=1,"Amount; ","")&amp;IF(IFERROR(IF(ISNUMBER(MATCH(N242,Lists!$B$2:$B$7,0)),0,1),1)=1,"Payment; ","")))</f>
        <v/>
      </c>
      <c r="R242" s="3" t="str">
        <f aca="false">IF(D242="","",IF(COUNTIFS($D$2:$D$701,D242,$E$2:$E$701,E242)&gt;1,"DUPLICATE","Unique"))</f>
        <v>Unique</v>
      </c>
    </row>
    <row r="243" customFormat="false" ht="15" hidden="false" customHeight="false" outlineLevel="0" collapsed="false">
      <c r="A243" s="3" t="n">
        <v>242</v>
      </c>
      <c r="B243" s="3" t="n">
        <v>5</v>
      </c>
      <c r="C243" s="3" t="s">
        <v>1817</v>
      </c>
      <c r="D243" s="3" t="s">
        <v>1818</v>
      </c>
      <c r="E243" s="3" t="s">
        <v>1819</v>
      </c>
      <c r="F243" s="3" t="s">
        <v>1820</v>
      </c>
      <c r="G243" s="3" t="s">
        <v>1821</v>
      </c>
      <c r="H243" s="3" t="s">
        <v>189</v>
      </c>
      <c r="I243" s="3" t="s">
        <v>45</v>
      </c>
      <c r="J243" s="3" t="s">
        <v>1822</v>
      </c>
      <c r="K243" s="3" t="s">
        <v>1823</v>
      </c>
      <c r="L243" s="3" t="s">
        <v>44</v>
      </c>
      <c r="M243" s="3" t="n">
        <v>15123.74</v>
      </c>
      <c r="N243" s="3" t="s">
        <v>52</v>
      </c>
      <c r="O243" s="3" t="n">
        <f aca="false">IFERROR(LEN(C243&amp;D243&amp;E243&amp;F243&amp;G243&amp;H243&amp;I243&amp;J243&amp;K243&amp;L243&amp;M243&amp;N243)/5,0)</f>
        <v>27.8</v>
      </c>
      <c r="P243" s="3" t="str">
        <f aca="false">IF(OR(D243="",C243=""),"",IF((IFERROR(IF(AND(TRIM(D243)=D243,LEN(D243)&gt;0),0,1),1)+IFERROR(IF(AND(LEN(E243)=10,ISNUMBER(VALUE(E243))),0,1),1)+IFERROR(IF(AND(ISNUMBER(SEARCH("@",F243)),ISNUMBER(SEARCH(".",F243))),0,1),1)+IFERROR(IF(AND(LEN(J243)=6,ISNUMBER(VALUE(J243))),0,1),1)+IFERROR(IF(ISNUMBER(MATCH(TRIM(I243),Lists!$A$2:$A$20,0)),0,1),1)+IFERROR(IF(AND(LEN(K243)=10,VALUE(LEFT(K243,FIND("/",K243)-1))&gt;=1,VALUE(LEFT(K243,FIND("/",K243)-1))&lt;=31,VALUE(LEFT(MID(K243,FIND("/",K243)+1,10),FIND("/",MID(K243,FIND("/",K243)+1,10))-1))&gt;=1,VALUE(LEFT(MID(K243,FIND("/",K243)+1,10),FIND("/",MID(K243,FIND("/",K243)+1,10))-1))&lt;=12,VALUE(LEFT(K243,FIND("/",K243)-1))&lt;=DAY(EOMONTH(DATE(VALUE(MID(MID(K243,FIND("/",K243)+1,10),FIND("/",MID(K243,FIND("/",K243)+1,10))+1,4)),VALUE(LEFT(MID(K243,FIND("/",K243)+1,10),FIND("/",MID(K243,FIND("/",K243)+1,10))-1)),1),0))),0,1),1)+IFERROR(IF(M243&gt;=0,0,1),1)+IFERROR(IF(ISNUMBER(MATCH(N243,Lists!$B$2:$B$7,0)),0,1),1))=0,"OK","ERROR"))</f>
        <v>OK</v>
      </c>
      <c r="Q243" s="3" t="str">
        <f aca="false">IF(D243="","",TRIM(IF(IFERROR(IF(AND(TRIM(D243)=D243,LEN(D243)&gt;0),0,1),1)=1,"Name; ","")&amp;IF(IFERROR(IF(AND(LEN(E243)=10,ISNUMBER(VALUE(E243))),0,1),1)=1,"Phone; ","")&amp;IF(IFERROR(IF(AND(ISNUMBER(SEARCH("@",F243)),ISNUMBER(SEARCH(".",F243))),0,1),1)=1,"Email; ","")&amp;IF(IFERROR(IF(AND(LEN(J243)=6,ISNUMBER(VALUE(J243))),0,1),1)=1,"Pincode; ","")&amp;IF(IFERROR(IF(ISNUMBER(MATCH(TRIM(I243),Lists!$A$2:$A$20,0)),0,1),1)=1,"State; ","")&amp;IF(IFERROR(IF(AND(LEN(K243)=10,VALUE(LEFT(K243,FIND("/",K243)-1))&gt;=1,VALUE(LEFT(K243,FIND("/",K243)-1))&lt;=31,VALUE(LEFT(MID(K243,FIND("/",K243)+1,10),FIND("/",MID(K243,FIND("/",K243)+1,10))-1))&gt;=1,VALUE(LEFT(MID(K243,FIND("/",K243)+1,10),FIND("/",MID(K243,FIND("/",K243)+1,10))-1))&lt;=12,VALUE(LEFT(K243,FIND("/",K243)-1))&lt;=DAY(EOMONTH(DATE(VALUE(MID(MID(K243,FIND("/",K243)+1,10),FIND("/",MID(K243,FIND("/",K243)+1,10))+1,4)),VALUE(LEFT(MID(K243,FIND("/",K243)+1,10),FIND("/",MID(K243,FIND("/",K243)+1,10))-1)),1),0))),0,1),1)=1,"Date; ","")&amp;IF(IFERROR(IF(M243&gt;=0,0,1),1)=1,"Amount; ","")&amp;IF(IFERROR(IF(ISNUMBER(MATCH(N243,Lists!$B$2:$B$7,0)),0,1),1)=1,"Payment; ","")))</f>
        <v/>
      </c>
      <c r="R243" s="3" t="str">
        <f aca="false">IF(D243="","",IF(COUNTIFS($D$2:$D$701,D243,$E$2:$E$701,E243)&gt;1,"DUPLICATE","Unique"))</f>
        <v>Unique</v>
      </c>
    </row>
    <row r="244" customFormat="false" ht="15" hidden="false" customHeight="false" outlineLevel="0" collapsed="false">
      <c r="A244" s="3" t="n">
        <v>243</v>
      </c>
      <c r="B244" s="3" t="n">
        <v>5</v>
      </c>
      <c r="C244" s="3" t="s">
        <v>1824</v>
      </c>
      <c r="D244" s="3" t="s">
        <v>1825</v>
      </c>
      <c r="E244" s="3" t="s">
        <v>1826</v>
      </c>
      <c r="F244" s="3" t="s">
        <v>1827</v>
      </c>
      <c r="G244" s="3" t="s">
        <v>1828</v>
      </c>
      <c r="H244" s="3" t="s">
        <v>102</v>
      </c>
      <c r="I244" s="3" t="s">
        <v>48</v>
      </c>
      <c r="J244" s="3" t="s">
        <v>1829</v>
      </c>
      <c r="K244" s="3" t="s">
        <v>1830</v>
      </c>
      <c r="L244" s="3" t="s">
        <v>47</v>
      </c>
      <c r="M244" s="3" t="n">
        <v>12719.89</v>
      </c>
      <c r="N244" s="3" t="s">
        <v>52</v>
      </c>
      <c r="O244" s="3" t="n">
        <f aca="false">IFERROR(LEN(C244&amp;D244&amp;E244&amp;F244&amp;G244&amp;H244&amp;I244&amp;J244&amp;K244&amp;L244&amp;M244&amp;N244)/5,0)</f>
        <v>28</v>
      </c>
      <c r="P244" s="3" t="str">
        <f aca="false">IF(OR(D244="",C244=""),"",IF((IFERROR(IF(AND(TRIM(D244)=D244,LEN(D244)&gt;0),0,1),1)+IFERROR(IF(AND(LEN(E244)=10,ISNUMBER(VALUE(E244))),0,1),1)+IFERROR(IF(AND(ISNUMBER(SEARCH("@",F244)),ISNUMBER(SEARCH(".",F244))),0,1),1)+IFERROR(IF(AND(LEN(J244)=6,ISNUMBER(VALUE(J244))),0,1),1)+IFERROR(IF(ISNUMBER(MATCH(TRIM(I244),Lists!$A$2:$A$20,0)),0,1),1)+IFERROR(IF(AND(LEN(K244)=10,VALUE(LEFT(K244,FIND("/",K244)-1))&gt;=1,VALUE(LEFT(K244,FIND("/",K244)-1))&lt;=31,VALUE(LEFT(MID(K244,FIND("/",K244)+1,10),FIND("/",MID(K244,FIND("/",K244)+1,10))-1))&gt;=1,VALUE(LEFT(MID(K244,FIND("/",K244)+1,10),FIND("/",MID(K244,FIND("/",K244)+1,10))-1))&lt;=12,VALUE(LEFT(K244,FIND("/",K244)-1))&lt;=DAY(EOMONTH(DATE(VALUE(MID(MID(K244,FIND("/",K244)+1,10),FIND("/",MID(K244,FIND("/",K244)+1,10))+1,4)),VALUE(LEFT(MID(K244,FIND("/",K244)+1,10),FIND("/",MID(K244,FIND("/",K244)+1,10))-1)),1),0))),0,1),1)+IFERROR(IF(M244&gt;=0,0,1),1)+IFERROR(IF(ISNUMBER(MATCH(N244,Lists!$B$2:$B$7,0)),0,1),1))=0,"OK","ERROR"))</f>
        <v>OK</v>
      </c>
      <c r="Q244" s="3" t="str">
        <f aca="false">IF(D244="","",TRIM(IF(IFERROR(IF(AND(TRIM(D244)=D244,LEN(D244)&gt;0),0,1),1)=1,"Name; ","")&amp;IF(IFERROR(IF(AND(LEN(E244)=10,ISNUMBER(VALUE(E244))),0,1),1)=1,"Phone; ","")&amp;IF(IFERROR(IF(AND(ISNUMBER(SEARCH("@",F244)),ISNUMBER(SEARCH(".",F244))),0,1),1)=1,"Email; ","")&amp;IF(IFERROR(IF(AND(LEN(J244)=6,ISNUMBER(VALUE(J244))),0,1),1)=1,"Pincode; ","")&amp;IF(IFERROR(IF(ISNUMBER(MATCH(TRIM(I244),Lists!$A$2:$A$20,0)),0,1),1)=1,"State; ","")&amp;IF(IFERROR(IF(AND(LEN(K244)=10,VALUE(LEFT(K244,FIND("/",K244)-1))&gt;=1,VALUE(LEFT(K244,FIND("/",K244)-1))&lt;=31,VALUE(LEFT(MID(K244,FIND("/",K244)+1,10),FIND("/",MID(K244,FIND("/",K244)+1,10))-1))&gt;=1,VALUE(LEFT(MID(K244,FIND("/",K244)+1,10),FIND("/",MID(K244,FIND("/",K244)+1,10))-1))&lt;=12,VALUE(LEFT(K244,FIND("/",K244)-1))&lt;=DAY(EOMONTH(DATE(VALUE(MID(MID(K244,FIND("/",K244)+1,10),FIND("/",MID(K244,FIND("/",K244)+1,10))+1,4)),VALUE(LEFT(MID(K244,FIND("/",K244)+1,10),FIND("/",MID(K244,FIND("/",K244)+1,10))-1)),1),0))),0,1),1)=1,"Date; ","")&amp;IF(IFERROR(IF(M244&gt;=0,0,1),1)=1,"Amount; ","")&amp;IF(IFERROR(IF(ISNUMBER(MATCH(N244,Lists!$B$2:$B$7,0)),0,1),1)=1,"Payment; ","")))</f>
        <v/>
      </c>
      <c r="R244" s="3" t="str">
        <f aca="false">IF(D244="","",IF(COUNTIFS($D$2:$D$701,D244,$E$2:$E$701,E244)&gt;1,"DUPLICATE","Unique"))</f>
        <v>Unique</v>
      </c>
    </row>
    <row r="245" customFormat="false" ht="15" hidden="false" customHeight="false" outlineLevel="0" collapsed="false">
      <c r="A245" s="3" t="n">
        <v>244</v>
      </c>
      <c r="B245" s="3" t="n">
        <v>5</v>
      </c>
      <c r="C245" s="3" t="s">
        <v>1831</v>
      </c>
      <c r="D245" s="3" t="s">
        <v>1832</v>
      </c>
      <c r="E245" s="3" t="s">
        <v>1833</v>
      </c>
      <c r="F245" s="3" t="s">
        <v>1834</v>
      </c>
      <c r="G245" s="3" t="s">
        <v>1835</v>
      </c>
      <c r="H245" s="3" t="s">
        <v>310</v>
      </c>
      <c r="I245" s="3" t="s">
        <v>69</v>
      </c>
      <c r="J245" s="3" t="s">
        <v>1836</v>
      </c>
      <c r="K245" s="3" t="s">
        <v>806</v>
      </c>
      <c r="L245" s="3" t="s">
        <v>58</v>
      </c>
      <c r="M245" s="3" t="n">
        <v>12297.19</v>
      </c>
      <c r="N245" s="3" t="s">
        <v>55</v>
      </c>
      <c r="O245" s="3" t="n">
        <f aca="false">IFERROR(LEN(C245&amp;D245&amp;E245&amp;F245&amp;G245&amp;H245&amp;I245&amp;J245&amp;K245&amp;L245&amp;M245&amp;N245)/5,0)</f>
        <v>29.8</v>
      </c>
      <c r="P245" s="3" t="str">
        <f aca="false">IF(OR(D245="",C245=""),"",IF((IFERROR(IF(AND(TRIM(D245)=D245,LEN(D245)&gt;0),0,1),1)+IFERROR(IF(AND(LEN(E245)=10,ISNUMBER(VALUE(E245))),0,1),1)+IFERROR(IF(AND(ISNUMBER(SEARCH("@",F245)),ISNUMBER(SEARCH(".",F245))),0,1),1)+IFERROR(IF(AND(LEN(J245)=6,ISNUMBER(VALUE(J245))),0,1),1)+IFERROR(IF(ISNUMBER(MATCH(TRIM(I245),Lists!$A$2:$A$20,0)),0,1),1)+IFERROR(IF(AND(LEN(K245)=10,VALUE(LEFT(K245,FIND("/",K245)-1))&gt;=1,VALUE(LEFT(K245,FIND("/",K245)-1))&lt;=31,VALUE(LEFT(MID(K245,FIND("/",K245)+1,10),FIND("/",MID(K245,FIND("/",K245)+1,10))-1))&gt;=1,VALUE(LEFT(MID(K245,FIND("/",K245)+1,10),FIND("/",MID(K245,FIND("/",K245)+1,10))-1))&lt;=12,VALUE(LEFT(K245,FIND("/",K245)-1))&lt;=DAY(EOMONTH(DATE(VALUE(MID(MID(K245,FIND("/",K245)+1,10),FIND("/",MID(K245,FIND("/",K245)+1,10))+1,4)),VALUE(LEFT(MID(K245,FIND("/",K245)+1,10),FIND("/",MID(K245,FIND("/",K245)+1,10))-1)),1),0))),0,1),1)+IFERROR(IF(M245&gt;=0,0,1),1)+IFERROR(IF(ISNUMBER(MATCH(N245,Lists!$B$2:$B$7,0)),0,1),1))=0,"OK","ERROR"))</f>
        <v>OK</v>
      </c>
      <c r="Q245" s="3" t="str">
        <f aca="false">IF(D245="","",TRIM(IF(IFERROR(IF(AND(TRIM(D245)=D245,LEN(D245)&gt;0),0,1),1)=1,"Name; ","")&amp;IF(IFERROR(IF(AND(LEN(E245)=10,ISNUMBER(VALUE(E245))),0,1),1)=1,"Phone; ","")&amp;IF(IFERROR(IF(AND(ISNUMBER(SEARCH("@",F245)),ISNUMBER(SEARCH(".",F245))),0,1),1)=1,"Email; ","")&amp;IF(IFERROR(IF(AND(LEN(J245)=6,ISNUMBER(VALUE(J245))),0,1),1)=1,"Pincode; ","")&amp;IF(IFERROR(IF(ISNUMBER(MATCH(TRIM(I245),Lists!$A$2:$A$20,0)),0,1),1)=1,"State; ","")&amp;IF(IFERROR(IF(AND(LEN(K245)=10,VALUE(LEFT(K245,FIND("/",K245)-1))&gt;=1,VALUE(LEFT(K245,FIND("/",K245)-1))&lt;=31,VALUE(LEFT(MID(K245,FIND("/",K245)+1,10),FIND("/",MID(K245,FIND("/",K245)+1,10))-1))&gt;=1,VALUE(LEFT(MID(K245,FIND("/",K245)+1,10),FIND("/",MID(K245,FIND("/",K245)+1,10))-1))&lt;=12,VALUE(LEFT(K245,FIND("/",K245)-1))&lt;=DAY(EOMONTH(DATE(VALUE(MID(MID(K245,FIND("/",K245)+1,10),FIND("/",MID(K245,FIND("/",K245)+1,10))+1,4)),VALUE(LEFT(MID(K245,FIND("/",K245)+1,10),FIND("/",MID(K245,FIND("/",K245)+1,10))-1)),1),0))),0,1),1)=1,"Date; ","")&amp;IF(IFERROR(IF(M245&gt;=0,0,1),1)=1,"Amount; ","")&amp;IF(IFERROR(IF(ISNUMBER(MATCH(N245,Lists!$B$2:$B$7,0)),0,1),1)=1,"Payment; ","")))</f>
        <v/>
      </c>
      <c r="R245" s="3" t="str">
        <f aca="false">IF(D245="","",IF(COUNTIFS($D$2:$D$701,D245,$E$2:$E$701,E245)&gt;1,"DUPLICATE","Unique"))</f>
        <v>Unique</v>
      </c>
    </row>
    <row r="246" customFormat="false" ht="15" hidden="false" customHeight="false" outlineLevel="0" collapsed="false">
      <c r="A246" s="3" t="n">
        <v>245</v>
      </c>
      <c r="B246" s="3" t="n">
        <v>5</v>
      </c>
      <c r="C246" s="3" t="s">
        <v>1837</v>
      </c>
      <c r="D246" s="3" t="s">
        <v>1838</v>
      </c>
      <c r="E246" s="3" t="s">
        <v>1839</v>
      </c>
      <c r="F246" s="3" t="s">
        <v>1840</v>
      </c>
      <c r="G246" s="3" t="s">
        <v>1841</v>
      </c>
      <c r="H246" s="3" t="s">
        <v>464</v>
      </c>
      <c r="I246" s="3" t="s">
        <v>61</v>
      </c>
      <c r="J246" s="3" t="s">
        <v>1842</v>
      </c>
      <c r="K246" s="3" t="s">
        <v>422</v>
      </c>
      <c r="L246" s="3" t="s">
        <v>74</v>
      </c>
      <c r="M246" s="3" t="n">
        <v>8946.88</v>
      </c>
      <c r="N246" s="3" t="s">
        <v>52</v>
      </c>
      <c r="O246" s="3" t="n">
        <f aca="false">IFERROR(LEN(C246&amp;D246&amp;E246&amp;F246&amp;G246&amp;H246&amp;I246&amp;J246&amp;K246&amp;L246&amp;M246&amp;N246)/5,0)</f>
        <v>27.6</v>
      </c>
      <c r="P246" s="3" t="str">
        <f aca="false">IF(OR(D246="",C246=""),"",IF((IFERROR(IF(AND(TRIM(D246)=D246,LEN(D246)&gt;0),0,1),1)+IFERROR(IF(AND(LEN(E246)=10,ISNUMBER(VALUE(E246))),0,1),1)+IFERROR(IF(AND(ISNUMBER(SEARCH("@",F246)),ISNUMBER(SEARCH(".",F246))),0,1),1)+IFERROR(IF(AND(LEN(J246)=6,ISNUMBER(VALUE(J246))),0,1),1)+IFERROR(IF(ISNUMBER(MATCH(TRIM(I246),Lists!$A$2:$A$20,0)),0,1),1)+IFERROR(IF(AND(LEN(K246)=10,VALUE(LEFT(K246,FIND("/",K246)-1))&gt;=1,VALUE(LEFT(K246,FIND("/",K246)-1))&lt;=31,VALUE(LEFT(MID(K246,FIND("/",K246)+1,10),FIND("/",MID(K246,FIND("/",K246)+1,10))-1))&gt;=1,VALUE(LEFT(MID(K246,FIND("/",K246)+1,10),FIND("/",MID(K246,FIND("/",K246)+1,10))-1))&lt;=12,VALUE(LEFT(K246,FIND("/",K246)-1))&lt;=DAY(EOMONTH(DATE(VALUE(MID(MID(K246,FIND("/",K246)+1,10),FIND("/",MID(K246,FIND("/",K246)+1,10))+1,4)),VALUE(LEFT(MID(K246,FIND("/",K246)+1,10),FIND("/",MID(K246,FIND("/",K246)+1,10))-1)),1),0))),0,1),1)+IFERROR(IF(M246&gt;=0,0,1),1)+IFERROR(IF(ISNUMBER(MATCH(N246,Lists!$B$2:$B$7,0)),0,1),1))=0,"OK","ERROR"))</f>
        <v>OK</v>
      </c>
      <c r="Q246" s="3" t="str">
        <f aca="false">IF(D246="","",TRIM(IF(IFERROR(IF(AND(TRIM(D246)=D246,LEN(D246)&gt;0),0,1),1)=1,"Name; ","")&amp;IF(IFERROR(IF(AND(LEN(E246)=10,ISNUMBER(VALUE(E246))),0,1),1)=1,"Phone; ","")&amp;IF(IFERROR(IF(AND(ISNUMBER(SEARCH("@",F246)),ISNUMBER(SEARCH(".",F246))),0,1),1)=1,"Email; ","")&amp;IF(IFERROR(IF(AND(LEN(J246)=6,ISNUMBER(VALUE(J246))),0,1),1)=1,"Pincode; ","")&amp;IF(IFERROR(IF(ISNUMBER(MATCH(TRIM(I246),Lists!$A$2:$A$20,0)),0,1),1)=1,"State; ","")&amp;IF(IFERROR(IF(AND(LEN(K246)=10,VALUE(LEFT(K246,FIND("/",K246)-1))&gt;=1,VALUE(LEFT(K246,FIND("/",K246)-1))&lt;=31,VALUE(LEFT(MID(K246,FIND("/",K246)+1,10),FIND("/",MID(K246,FIND("/",K246)+1,10))-1))&gt;=1,VALUE(LEFT(MID(K246,FIND("/",K246)+1,10),FIND("/",MID(K246,FIND("/",K246)+1,10))-1))&lt;=12,VALUE(LEFT(K246,FIND("/",K246)-1))&lt;=DAY(EOMONTH(DATE(VALUE(MID(MID(K246,FIND("/",K246)+1,10),FIND("/",MID(K246,FIND("/",K246)+1,10))+1,4)),VALUE(LEFT(MID(K246,FIND("/",K246)+1,10),FIND("/",MID(K246,FIND("/",K246)+1,10))-1)),1),0))),0,1),1)=1,"Date; ","")&amp;IF(IFERROR(IF(M246&gt;=0,0,1),1)=1,"Amount; ","")&amp;IF(IFERROR(IF(ISNUMBER(MATCH(N246,Lists!$B$2:$B$7,0)),0,1),1)=1,"Payment; ","")))</f>
        <v/>
      </c>
      <c r="R246" s="3" t="str">
        <f aca="false">IF(D246="","",IF(COUNTIFS($D$2:$D$701,D246,$E$2:$E$701,E246)&gt;1,"DUPLICATE","Unique"))</f>
        <v>Unique</v>
      </c>
    </row>
    <row r="247" customFormat="false" ht="15" hidden="false" customHeight="false" outlineLevel="0" collapsed="false">
      <c r="A247" s="3" t="n">
        <v>246</v>
      </c>
      <c r="B247" s="3" t="n">
        <v>5</v>
      </c>
      <c r="C247" s="3" t="s">
        <v>1843</v>
      </c>
      <c r="D247" s="3" t="s">
        <v>1844</v>
      </c>
      <c r="E247" s="3" t="s">
        <v>1845</v>
      </c>
      <c r="F247" s="3" t="s">
        <v>1846</v>
      </c>
      <c r="G247" s="3" t="s">
        <v>1847</v>
      </c>
      <c r="H247" s="3" t="s">
        <v>826</v>
      </c>
      <c r="I247" s="3" t="s">
        <v>78</v>
      </c>
      <c r="J247" s="3" t="s">
        <v>1848</v>
      </c>
      <c r="K247" s="3" t="s">
        <v>1849</v>
      </c>
      <c r="L247" s="3" t="s">
        <v>70</v>
      </c>
      <c r="M247" s="3" t="n">
        <v>7823.02</v>
      </c>
      <c r="N247" s="3" t="s">
        <v>49</v>
      </c>
      <c r="O247" s="3" t="n">
        <f aca="false">IFERROR(LEN(C247&amp;D247&amp;E247&amp;F247&amp;G247&amp;H247&amp;I247&amp;J247&amp;K247&amp;L247&amp;M247&amp;N247)/5,0)</f>
        <v>26</v>
      </c>
      <c r="P247" s="3" t="str">
        <f aca="false">IF(OR(D247="",C247=""),"",IF((IFERROR(IF(AND(TRIM(D247)=D247,LEN(D247)&gt;0),0,1),1)+IFERROR(IF(AND(LEN(E247)=10,ISNUMBER(VALUE(E247))),0,1),1)+IFERROR(IF(AND(ISNUMBER(SEARCH("@",F247)),ISNUMBER(SEARCH(".",F247))),0,1),1)+IFERROR(IF(AND(LEN(J247)=6,ISNUMBER(VALUE(J247))),0,1),1)+IFERROR(IF(ISNUMBER(MATCH(TRIM(I247),Lists!$A$2:$A$20,0)),0,1),1)+IFERROR(IF(AND(LEN(K247)=10,VALUE(LEFT(K247,FIND("/",K247)-1))&gt;=1,VALUE(LEFT(K247,FIND("/",K247)-1))&lt;=31,VALUE(LEFT(MID(K247,FIND("/",K247)+1,10),FIND("/",MID(K247,FIND("/",K247)+1,10))-1))&gt;=1,VALUE(LEFT(MID(K247,FIND("/",K247)+1,10),FIND("/",MID(K247,FIND("/",K247)+1,10))-1))&lt;=12,VALUE(LEFT(K247,FIND("/",K247)-1))&lt;=DAY(EOMONTH(DATE(VALUE(MID(MID(K247,FIND("/",K247)+1,10),FIND("/",MID(K247,FIND("/",K247)+1,10))+1,4)),VALUE(LEFT(MID(K247,FIND("/",K247)+1,10),FIND("/",MID(K247,FIND("/",K247)+1,10))-1)),1),0))),0,1),1)+IFERROR(IF(M247&gt;=0,0,1),1)+IFERROR(IF(ISNUMBER(MATCH(N247,Lists!$B$2:$B$7,0)),0,1),1))=0,"OK","ERROR"))</f>
        <v>OK</v>
      </c>
      <c r="Q247" s="3" t="str">
        <f aca="false">IF(D247="","",TRIM(IF(IFERROR(IF(AND(TRIM(D247)=D247,LEN(D247)&gt;0),0,1),1)=1,"Name; ","")&amp;IF(IFERROR(IF(AND(LEN(E247)=10,ISNUMBER(VALUE(E247))),0,1),1)=1,"Phone; ","")&amp;IF(IFERROR(IF(AND(ISNUMBER(SEARCH("@",F247)),ISNUMBER(SEARCH(".",F247))),0,1),1)=1,"Email; ","")&amp;IF(IFERROR(IF(AND(LEN(J247)=6,ISNUMBER(VALUE(J247))),0,1),1)=1,"Pincode; ","")&amp;IF(IFERROR(IF(ISNUMBER(MATCH(TRIM(I247),Lists!$A$2:$A$20,0)),0,1),1)=1,"State; ","")&amp;IF(IFERROR(IF(AND(LEN(K247)=10,VALUE(LEFT(K247,FIND("/",K247)-1))&gt;=1,VALUE(LEFT(K247,FIND("/",K247)-1))&lt;=31,VALUE(LEFT(MID(K247,FIND("/",K247)+1,10),FIND("/",MID(K247,FIND("/",K247)+1,10))-1))&gt;=1,VALUE(LEFT(MID(K247,FIND("/",K247)+1,10),FIND("/",MID(K247,FIND("/",K247)+1,10))-1))&lt;=12,VALUE(LEFT(K247,FIND("/",K247)-1))&lt;=DAY(EOMONTH(DATE(VALUE(MID(MID(K247,FIND("/",K247)+1,10),FIND("/",MID(K247,FIND("/",K247)+1,10))+1,4)),VALUE(LEFT(MID(K247,FIND("/",K247)+1,10),FIND("/",MID(K247,FIND("/",K247)+1,10))-1)),1),0))),0,1),1)=1,"Date; ","")&amp;IF(IFERROR(IF(M247&gt;=0,0,1),1)=1,"Amount; ","")&amp;IF(IFERROR(IF(ISNUMBER(MATCH(N247,Lists!$B$2:$B$7,0)),0,1),1)=1,"Payment; ","")))</f>
        <v/>
      </c>
      <c r="R247" s="3" t="str">
        <f aca="false">IF(D247="","",IF(COUNTIFS($D$2:$D$701,D247,$E$2:$E$701,E247)&gt;1,"DUPLICATE","Unique"))</f>
        <v>Unique</v>
      </c>
    </row>
    <row r="248" customFormat="false" ht="15" hidden="false" customHeight="false" outlineLevel="0" collapsed="false">
      <c r="A248" s="3" t="n">
        <v>247</v>
      </c>
      <c r="B248" s="3" t="n">
        <v>5</v>
      </c>
      <c r="C248" s="3" t="s">
        <v>1850</v>
      </c>
      <c r="D248" s="3" t="s">
        <v>1851</v>
      </c>
      <c r="E248" s="3" t="s">
        <v>1852</v>
      </c>
      <c r="F248" s="3" t="s">
        <v>1853</v>
      </c>
      <c r="G248" s="3" t="s">
        <v>1854</v>
      </c>
      <c r="H248" s="3" t="s">
        <v>826</v>
      </c>
      <c r="I248" s="3" t="s">
        <v>78</v>
      </c>
      <c r="J248" s="3" t="s">
        <v>1855</v>
      </c>
      <c r="K248" s="3" t="s">
        <v>1856</v>
      </c>
      <c r="L248" s="3" t="s">
        <v>41</v>
      </c>
      <c r="M248" s="3" t="n">
        <v>5244.2</v>
      </c>
      <c r="N248" s="3" t="s">
        <v>52</v>
      </c>
      <c r="O248" s="3" t="n">
        <f aca="false">IFERROR(LEN(C248&amp;D248&amp;E248&amp;F248&amp;G248&amp;H248&amp;I248&amp;J248&amp;K248&amp;L248&amp;M248&amp;N248)/5,0)</f>
        <v>29.4</v>
      </c>
      <c r="P248" s="3" t="str">
        <f aca="false">IF(OR(D248="",C248=""),"",IF((IFERROR(IF(AND(TRIM(D248)=D248,LEN(D248)&gt;0),0,1),1)+IFERROR(IF(AND(LEN(E248)=10,ISNUMBER(VALUE(E248))),0,1),1)+IFERROR(IF(AND(ISNUMBER(SEARCH("@",F248)),ISNUMBER(SEARCH(".",F248))),0,1),1)+IFERROR(IF(AND(LEN(J248)=6,ISNUMBER(VALUE(J248))),0,1),1)+IFERROR(IF(ISNUMBER(MATCH(TRIM(I248),Lists!$A$2:$A$20,0)),0,1),1)+IFERROR(IF(AND(LEN(K248)=10,VALUE(LEFT(K248,FIND("/",K248)-1))&gt;=1,VALUE(LEFT(K248,FIND("/",K248)-1))&lt;=31,VALUE(LEFT(MID(K248,FIND("/",K248)+1,10),FIND("/",MID(K248,FIND("/",K248)+1,10))-1))&gt;=1,VALUE(LEFT(MID(K248,FIND("/",K248)+1,10),FIND("/",MID(K248,FIND("/",K248)+1,10))-1))&lt;=12,VALUE(LEFT(K248,FIND("/",K248)-1))&lt;=DAY(EOMONTH(DATE(VALUE(MID(MID(K248,FIND("/",K248)+1,10),FIND("/",MID(K248,FIND("/",K248)+1,10))+1,4)),VALUE(LEFT(MID(K248,FIND("/",K248)+1,10),FIND("/",MID(K248,FIND("/",K248)+1,10))-1)),1),0))),0,1),1)+IFERROR(IF(M248&gt;=0,0,1),1)+IFERROR(IF(ISNUMBER(MATCH(N248,Lists!$B$2:$B$7,0)),0,1),1))=0,"OK","ERROR"))</f>
        <v>OK</v>
      </c>
      <c r="Q248" s="3" t="str">
        <f aca="false">IF(D248="","",TRIM(IF(IFERROR(IF(AND(TRIM(D248)=D248,LEN(D248)&gt;0),0,1),1)=1,"Name; ","")&amp;IF(IFERROR(IF(AND(LEN(E248)=10,ISNUMBER(VALUE(E248))),0,1),1)=1,"Phone; ","")&amp;IF(IFERROR(IF(AND(ISNUMBER(SEARCH("@",F248)),ISNUMBER(SEARCH(".",F248))),0,1),1)=1,"Email; ","")&amp;IF(IFERROR(IF(AND(LEN(J248)=6,ISNUMBER(VALUE(J248))),0,1),1)=1,"Pincode; ","")&amp;IF(IFERROR(IF(ISNUMBER(MATCH(TRIM(I248),Lists!$A$2:$A$20,0)),0,1),1)=1,"State; ","")&amp;IF(IFERROR(IF(AND(LEN(K248)=10,VALUE(LEFT(K248,FIND("/",K248)-1))&gt;=1,VALUE(LEFT(K248,FIND("/",K248)-1))&lt;=31,VALUE(LEFT(MID(K248,FIND("/",K248)+1,10),FIND("/",MID(K248,FIND("/",K248)+1,10))-1))&gt;=1,VALUE(LEFT(MID(K248,FIND("/",K248)+1,10),FIND("/",MID(K248,FIND("/",K248)+1,10))-1))&lt;=12,VALUE(LEFT(K248,FIND("/",K248)-1))&lt;=DAY(EOMONTH(DATE(VALUE(MID(MID(K248,FIND("/",K248)+1,10),FIND("/",MID(K248,FIND("/",K248)+1,10))+1,4)),VALUE(LEFT(MID(K248,FIND("/",K248)+1,10),FIND("/",MID(K248,FIND("/",K248)+1,10))-1)),1),0))),0,1),1)=1,"Date; ","")&amp;IF(IFERROR(IF(M248&gt;=0,0,1),1)=1,"Amount; ","")&amp;IF(IFERROR(IF(ISNUMBER(MATCH(N248,Lists!$B$2:$B$7,0)),0,1),1)=1,"Payment; ","")))</f>
        <v/>
      </c>
      <c r="R248" s="3" t="str">
        <f aca="false">IF(D248="","",IF(COUNTIFS($D$2:$D$701,D248,$E$2:$E$701,E248)&gt;1,"DUPLICATE","Unique"))</f>
        <v>Unique</v>
      </c>
    </row>
    <row r="249" customFormat="false" ht="15" hidden="false" customHeight="false" outlineLevel="0" collapsed="false">
      <c r="A249" s="3" t="n">
        <v>248</v>
      </c>
      <c r="B249" s="3" t="n">
        <v>5</v>
      </c>
      <c r="C249" s="3" t="s">
        <v>1857</v>
      </c>
      <c r="D249" s="3" t="s">
        <v>1858</v>
      </c>
      <c r="E249" s="3" t="s">
        <v>1859</v>
      </c>
      <c r="F249" s="3" t="s">
        <v>1860</v>
      </c>
      <c r="G249" s="3" t="s">
        <v>1861</v>
      </c>
      <c r="H249" s="3" t="s">
        <v>281</v>
      </c>
      <c r="I249" s="3" t="s">
        <v>51</v>
      </c>
      <c r="J249" s="3" t="s">
        <v>1862</v>
      </c>
      <c r="K249" s="3" t="s">
        <v>606</v>
      </c>
      <c r="L249" s="3" t="s">
        <v>64</v>
      </c>
      <c r="M249" s="3" t="n">
        <v>11974.98</v>
      </c>
      <c r="N249" s="3" t="s">
        <v>52</v>
      </c>
      <c r="O249" s="3" t="n">
        <f aca="false">IFERROR(LEN(C249&amp;D249&amp;E249&amp;F249&amp;G249&amp;H249&amp;I249&amp;J249&amp;K249&amp;L249&amp;M249&amp;N249)/5,0)</f>
        <v>30.2</v>
      </c>
      <c r="P249" s="3" t="str">
        <f aca="false">IF(OR(D249="",C249=""),"",IF((IFERROR(IF(AND(TRIM(D249)=D249,LEN(D249)&gt;0),0,1),1)+IFERROR(IF(AND(LEN(E249)=10,ISNUMBER(VALUE(E249))),0,1),1)+IFERROR(IF(AND(ISNUMBER(SEARCH("@",F249)),ISNUMBER(SEARCH(".",F249))),0,1),1)+IFERROR(IF(AND(LEN(J249)=6,ISNUMBER(VALUE(J249))),0,1),1)+IFERROR(IF(ISNUMBER(MATCH(TRIM(I249),Lists!$A$2:$A$20,0)),0,1),1)+IFERROR(IF(AND(LEN(K249)=10,VALUE(LEFT(K249,FIND("/",K249)-1))&gt;=1,VALUE(LEFT(K249,FIND("/",K249)-1))&lt;=31,VALUE(LEFT(MID(K249,FIND("/",K249)+1,10),FIND("/",MID(K249,FIND("/",K249)+1,10))-1))&gt;=1,VALUE(LEFT(MID(K249,FIND("/",K249)+1,10),FIND("/",MID(K249,FIND("/",K249)+1,10))-1))&lt;=12,VALUE(LEFT(K249,FIND("/",K249)-1))&lt;=DAY(EOMONTH(DATE(VALUE(MID(MID(K249,FIND("/",K249)+1,10),FIND("/",MID(K249,FIND("/",K249)+1,10))+1,4)),VALUE(LEFT(MID(K249,FIND("/",K249)+1,10),FIND("/",MID(K249,FIND("/",K249)+1,10))-1)),1),0))),0,1),1)+IFERROR(IF(M249&gt;=0,0,1),1)+IFERROR(IF(ISNUMBER(MATCH(N249,Lists!$B$2:$B$7,0)),0,1),1))=0,"OK","ERROR"))</f>
        <v>OK</v>
      </c>
      <c r="Q249" s="3" t="str">
        <f aca="false">IF(D249="","",TRIM(IF(IFERROR(IF(AND(TRIM(D249)=D249,LEN(D249)&gt;0),0,1),1)=1,"Name; ","")&amp;IF(IFERROR(IF(AND(LEN(E249)=10,ISNUMBER(VALUE(E249))),0,1),1)=1,"Phone; ","")&amp;IF(IFERROR(IF(AND(ISNUMBER(SEARCH("@",F249)),ISNUMBER(SEARCH(".",F249))),0,1),1)=1,"Email; ","")&amp;IF(IFERROR(IF(AND(LEN(J249)=6,ISNUMBER(VALUE(J249))),0,1),1)=1,"Pincode; ","")&amp;IF(IFERROR(IF(ISNUMBER(MATCH(TRIM(I249),Lists!$A$2:$A$20,0)),0,1),1)=1,"State; ","")&amp;IF(IFERROR(IF(AND(LEN(K249)=10,VALUE(LEFT(K249,FIND("/",K249)-1))&gt;=1,VALUE(LEFT(K249,FIND("/",K249)-1))&lt;=31,VALUE(LEFT(MID(K249,FIND("/",K249)+1,10),FIND("/",MID(K249,FIND("/",K249)+1,10))-1))&gt;=1,VALUE(LEFT(MID(K249,FIND("/",K249)+1,10),FIND("/",MID(K249,FIND("/",K249)+1,10))-1))&lt;=12,VALUE(LEFT(K249,FIND("/",K249)-1))&lt;=DAY(EOMONTH(DATE(VALUE(MID(MID(K249,FIND("/",K249)+1,10),FIND("/",MID(K249,FIND("/",K249)+1,10))+1,4)),VALUE(LEFT(MID(K249,FIND("/",K249)+1,10),FIND("/",MID(K249,FIND("/",K249)+1,10))-1)),1),0))),0,1),1)=1,"Date; ","")&amp;IF(IFERROR(IF(M249&gt;=0,0,1),1)=1,"Amount; ","")&amp;IF(IFERROR(IF(ISNUMBER(MATCH(N249,Lists!$B$2:$B$7,0)),0,1),1)=1,"Payment; ","")))</f>
        <v/>
      </c>
      <c r="R249" s="3" t="str">
        <f aca="false">IF(D249="","",IF(COUNTIFS($D$2:$D$701,D249,$E$2:$E$701,E249)&gt;1,"DUPLICATE","Unique"))</f>
        <v>Unique</v>
      </c>
    </row>
    <row r="250" customFormat="false" ht="15" hidden="false" customHeight="false" outlineLevel="0" collapsed="false">
      <c r="A250" s="3" t="n">
        <v>249</v>
      </c>
      <c r="B250" s="3" t="n">
        <v>5</v>
      </c>
      <c r="C250" s="3" t="s">
        <v>1863</v>
      </c>
      <c r="D250" s="3" t="s">
        <v>1864</v>
      </c>
      <c r="E250" s="3" t="s">
        <v>1865</v>
      </c>
      <c r="F250" s="3" t="s">
        <v>1866</v>
      </c>
      <c r="G250" s="3" t="s">
        <v>1867</v>
      </c>
      <c r="H250" s="3" t="s">
        <v>310</v>
      </c>
      <c r="I250" s="3" t="s">
        <v>69</v>
      </c>
      <c r="J250" s="3" t="s">
        <v>1868</v>
      </c>
      <c r="K250" s="3" t="s">
        <v>1869</v>
      </c>
      <c r="L250" s="3" t="s">
        <v>53</v>
      </c>
      <c r="M250" s="3" t="n">
        <v>12472</v>
      </c>
      <c r="N250" s="3" t="s">
        <v>46</v>
      </c>
      <c r="O250" s="3" t="n">
        <f aca="false">IFERROR(LEN(C250&amp;D250&amp;E250&amp;F250&amp;G250&amp;H250&amp;I250&amp;J250&amp;K250&amp;L250&amp;M250&amp;N250)/5,0)</f>
        <v>32</v>
      </c>
      <c r="P250" s="3" t="str">
        <f aca="false">IF(OR(D250="",C250=""),"",IF((IFERROR(IF(AND(TRIM(D250)=D250,LEN(D250)&gt;0),0,1),1)+IFERROR(IF(AND(LEN(E250)=10,ISNUMBER(VALUE(E250))),0,1),1)+IFERROR(IF(AND(ISNUMBER(SEARCH("@",F250)),ISNUMBER(SEARCH(".",F250))),0,1),1)+IFERROR(IF(AND(LEN(J250)=6,ISNUMBER(VALUE(J250))),0,1),1)+IFERROR(IF(ISNUMBER(MATCH(TRIM(I250),Lists!$A$2:$A$20,0)),0,1),1)+IFERROR(IF(AND(LEN(K250)=10,VALUE(LEFT(K250,FIND("/",K250)-1))&gt;=1,VALUE(LEFT(K250,FIND("/",K250)-1))&lt;=31,VALUE(LEFT(MID(K250,FIND("/",K250)+1,10),FIND("/",MID(K250,FIND("/",K250)+1,10))-1))&gt;=1,VALUE(LEFT(MID(K250,FIND("/",K250)+1,10),FIND("/",MID(K250,FIND("/",K250)+1,10))-1))&lt;=12,VALUE(LEFT(K250,FIND("/",K250)-1))&lt;=DAY(EOMONTH(DATE(VALUE(MID(MID(K250,FIND("/",K250)+1,10),FIND("/",MID(K250,FIND("/",K250)+1,10))+1,4)),VALUE(LEFT(MID(K250,FIND("/",K250)+1,10),FIND("/",MID(K250,FIND("/",K250)+1,10))-1)),1),0))),0,1),1)+IFERROR(IF(M250&gt;=0,0,1),1)+IFERROR(IF(ISNUMBER(MATCH(N250,Lists!$B$2:$B$7,0)),0,1),1))=0,"OK","ERROR"))</f>
        <v>OK</v>
      </c>
      <c r="Q250" s="3" t="str">
        <f aca="false">IF(D250="","",TRIM(IF(IFERROR(IF(AND(TRIM(D250)=D250,LEN(D250)&gt;0),0,1),1)=1,"Name; ","")&amp;IF(IFERROR(IF(AND(LEN(E250)=10,ISNUMBER(VALUE(E250))),0,1),1)=1,"Phone; ","")&amp;IF(IFERROR(IF(AND(ISNUMBER(SEARCH("@",F250)),ISNUMBER(SEARCH(".",F250))),0,1),1)=1,"Email; ","")&amp;IF(IFERROR(IF(AND(LEN(J250)=6,ISNUMBER(VALUE(J250))),0,1),1)=1,"Pincode; ","")&amp;IF(IFERROR(IF(ISNUMBER(MATCH(TRIM(I250),Lists!$A$2:$A$20,0)),0,1),1)=1,"State; ","")&amp;IF(IFERROR(IF(AND(LEN(K250)=10,VALUE(LEFT(K250,FIND("/",K250)-1))&gt;=1,VALUE(LEFT(K250,FIND("/",K250)-1))&lt;=31,VALUE(LEFT(MID(K250,FIND("/",K250)+1,10),FIND("/",MID(K250,FIND("/",K250)+1,10))-1))&gt;=1,VALUE(LEFT(MID(K250,FIND("/",K250)+1,10),FIND("/",MID(K250,FIND("/",K250)+1,10))-1))&lt;=12,VALUE(LEFT(K250,FIND("/",K250)-1))&lt;=DAY(EOMONTH(DATE(VALUE(MID(MID(K250,FIND("/",K250)+1,10),FIND("/",MID(K250,FIND("/",K250)+1,10))+1,4)),VALUE(LEFT(MID(K250,FIND("/",K250)+1,10),FIND("/",MID(K250,FIND("/",K250)+1,10))-1)),1),0))),0,1),1)=1,"Date; ","")&amp;IF(IFERROR(IF(M250&gt;=0,0,1),1)=1,"Amount; ","")&amp;IF(IFERROR(IF(ISNUMBER(MATCH(N250,Lists!$B$2:$B$7,0)),0,1),1)=1,"Payment; ","")))</f>
        <v/>
      </c>
      <c r="R250" s="3" t="str">
        <f aca="false">IF(D250="","",IF(COUNTIFS($D$2:$D$701,D250,$E$2:$E$701,E250)&gt;1,"DUPLICATE","Unique"))</f>
        <v>Unique</v>
      </c>
    </row>
    <row r="251" customFormat="false" ht="15" hidden="false" customHeight="false" outlineLevel="0" collapsed="false">
      <c r="A251" s="3" t="n">
        <v>250</v>
      </c>
      <c r="B251" s="3" t="n">
        <v>5</v>
      </c>
      <c r="C251" s="3" t="s">
        <v>1870</v>
      </c>
      <c r="D251" s="3" t="s">
        <v>1871</v>
      </c>
      <c r="E251" s="3" t="s">
        <v>1872</v>
      </c>
      <c r="F251" s="3" t="s">
        <v>1873</v>
      </c>
      <c r="G251" s="3" t="s">
        <v>1874</v>
      </c>
      <c r="H251" s="3" t="s">
        <v>826</v>
      </c>
      <c r="I251" s="3" t="s">
        <v>78</v>
      </c>
      <c r="J251" s="3" t="s">
        <v>1875</v>
      </c>
      <c r="K251" s="3" t="s">
        <v>1876</v>
      </c>
      <c r="L251" s="3" t="s">
        <v>41</v>
      </c>
      <c r="M251" s="3" t="n">
        <v>14801.57</v>
      </c>
      <c r="N251" s="3" t="s">
        <v>43</v>
      </c>
      <c r="O251" s="3" t="n">
        <f aca="false">IFERROR(LEN(C251&amp;D251&amp;E251&amp;F251&amp;G251&amp;H251&amp;I251&amp;J251&amp;K251&amp;L251&amp;M251&amp;N251)/5,0)</f>
        <v>25.4</v>
      </c>
      <c r="P251" s="3" t="str">
        <f aca="false">IF(OR(D251="",C251=""),"",IF((IFERROR(IF(AND(TRIM(D251)=D251,LEN(D251)&gt;0),0,1),1)+IFERROR(IF(AND(LEN(E251)=10,ISNUMBER(VALUE(E251))),0,1),1)+IFERROR(IF(AND(ISNUMBER(SEARCH("@",F251)),ISNUMBER(SEARCH(".",F251))),0,1),1)+IFERROR(IF(AND(LEN(J251)=6,ISNUMBER(VALUE(J251))),0,1),1)+IFERROR(IF(ISNUMBER(MATCH(TRIM(I251),Lists!$A$2:$A$20,0)),0,1),1)+IFERROR(IF(AND(LEN(K251)=10,VALUE(LEFT(K251,FIND("/",K251)-1))&gt;=1,VALUE(LEFT(K251,FIND("/",K251)-1))&lt;=31,VALUE(LEFT(MID(K251,FIND("/",K251)+1,10),FIND("/",MID(K251,FIND("/",K251)+1,10))-1))&gt;=1,VALUE(LEFT(MID(K251,FIND("/",K251)+1,10),FIND("/",MID(K251,FIND("/",K251)+1,10))-1))&lt;=12,VALUE(LEFT(K251,FIND("/",K251)-1))&lt;=DAY(EOMONTH(DATE(VALUE(MID(MID(K251,FIND("/",K251)+1,10),FIND("/",MID(K251,FIND("/",K251)+1,10))+1,4)),VALUE(LEFT(MID(K251,FIND("/",K251)+1,10),FIND("/",MID(K251,FIND("/",K251)+1,10))-1)),1),0))),0,1),1)+IFERROR(IF(M251&gt;=0,0,1),1)+IFERROR(IF(ISNUMBER(MATCH(N251,Lists!$B$2:$B$7,0)),0,1),1))=0,"OK","ERROR"))</f>
        <v>OK</v>
      </c>
      <c r="Q251" s="3" t="str">
        <f aca="false">IF(D251="","",TRIM(IF(IFERROR(IF(AND(TRIM(D251)=D251,LEN(D251)&gt;0),0,1),1)=1,"Name; ","")&amp;IF(IFERROR(IF(AND(LEN(E251)=10,ISNUMBER(VALUE(E251))),0,1),1)=1,"Phone; ","")&amp;IF(IFERROR(IF(AND(ISNUMBER(SEARCH("@",F251)),ISNUMBER(SEARCH(".",F251))),0,1),1)=1,"Email; ","")&amp;IF(IFERROR(IF(AND(LEN(J251)=6,ISNUMBER(VALUE(J251))),0,1),1)=1,"Pincode; ","")&amp;IF(IFERROR(IF(ISNUMBER(MATCH(TRIM(I251),Lists!$A$2:$A$20,0)),0,1),1)=1,"State; ","")&amp;IF(IFERROR(IF(AND(LEN(K251)=10,VALUE(LEFT(K251,FIND("/",K251)-1))&gt;=1,VALUE(LEFT(K251,FIND("/",K251)-1))&lt;=31,VALUE(LEFT(MID(K251,FIND("/",K251)+1,10),FIND("/",MID(K251,FIND("/",K251)+1,10))-1))&gt;=1,VALUE(LEFT(MID(K251,FIND("/",K251)+1,10),FIND("/",MID(K251,FIND("/",K251)+1,10))-1))&lt;=12,VALUE(LEFT(K251,FIND("/",K251)-1))&lt;=DAY(EOMONTH(DATE(VALUE(MID(MID(K251,FIND("/",K251)+1,10),FIND("/",MID(K251,FIND("/",K251)+1,10))+1,4)),VALUE(LEFT(MID(K251,FIND("/",K251)+1,10),FIND("/",MID(K251,FIND("/",K251)+1,10))-1)),1),0))),0,1),1)=1,"Date; ","")&amp;IF(IFERROR(IF(M251&gt;=0,0,1),1)=1,"Amount; ","")&amp;IF(IFERROR(IF(ISNUMBER(MATCH(N251,Lists!$B$2:$B$7,0)),0,1),1)=1,"Payment; ","")))</f>
        <v/>
      </c>
      <c r="R251" s="3" t="str">
        <f aca="false">IF(D251="","",IF(COUNTIFS($D$2:$D$701,D251,$E$2:$E$701,E251)&gt;1,"DUPLICATE","Unique"))</f>
        <v>Unique</v>
      </c>
    </row>
    <row r="252" customFormat="false" ht="15" hidden="false" customHeight="false" outlineLevel="0" collapsed="false">
      <c r="A252" s="3" t="n">
        <v>251</v>
      </c>
      <c r="B252" s="3" t="n">
        <v>6</v>
      </c>
      <c r="C252" s="3" t="s">
        <v>1877</v>
      </c>
      <c r="D252" s="3" t="s">
        <v>1878</v>
      </c>
      <c r="E252" s="3" t="s">
        <v>1879</v>
      </c>
      <c r="F252" s="3" t="s">
        <v>1880</v>
      </c>
      <c r="G252" s="3" t="s">
        <v>1881</v>
      </c>
      <c r="H252" s="3" t="s">
        <v>863</v>
      </c>
      <c r="I252" s="3" t="s">
        <v>57</v>
      </c>
      <c r="J252" s="3" t="s">
        <v>1882</v>
      </c>
      <c r="K252" s="3" t="s">
        <v>1883</v>
      </c>
      <c r="L252" s="3" t="s">
        <v>50</v>
      </c>
      <c r="M252" s="3" t="n">
        <v>3419.06</v>
      </c>
      <c r="N252" s="3" t="s">
        <v>52</v>
      </c>
      <c r="O252" s="3" t="n">
        <f aca="false">IFERROR(LEN(C252&amp;D252&amp;E252&amp;F252&amp;G252&amp;H252&amp;I252&amp;J252&amp;K252&amp;L252&amp;M252&amp;N252)/5,0)</f>
        <v>25.2</v>
      </c>
      <c r="P252" s="3" t="str">
        <f aca="false">IF(OR(D252="",C252=""),"",IF((IFERROR(IF(AND(TRIM(D252)=D252,LEN(D252)&gt;0),0,1),1)+IFERROR(IF(AND(LEN(E252)=10,ISNUMBER(VALUE(E252))),0,1),1)+IFERROR(IF(AND(ISNUMBER(SEARCH("@",F252)),ISNUMBER(SEARCH(".",F252))),0,1),1)+IFERROR(IF(AND(LEN(J252)=6,ISNUMBER(VALUE(J252))),0,1),1)+IFERROR(IF(ISNUMBER(MATCH(TRIM(I252),Lists!$A$2:$A$20,0)),0,1),1)+IFERROR(IF(AND(LEN(K252)=10,VALUE(LEFT(K252,FIND("/",K252)-1))&gt;=1,VALUE(LEFT(K252,FIND("/",K252)-1))&lt;=31,VALUE(LEFT(MID(K252,FIND("/",K252)+1,10),FIND("/",MID(K252,FIND("/",K252)+1,10))-1))&gt;=1,VALUE(LEFT(MID(K252,FIND("/",K252)+1,10),FIND("/",MID(K252,FIND("/",K252)+1,10))-1))&lt;=12,VALUE(LEFT(K252,FIND("/",K252)-1))&lt;=DAY(EOMONTH(DATE(VALUE(MID(MID(K252,FIND("/",K252)+1,10),FIND("/",MID(K252,FIND("/",K252)+1,10))+1,4)),VALUE(LEFT(MID(K252,FIND("/",K252)+1,10),FIND("/",MID(K252,FIND("/",K252)+1,10))-1)),1),0))),0,1),1)+IFERROR(IF(M252&gt;=0,0,1),1)+IFERROR(IF(ISNUMBER(MATCH(N252,Lists!$B$2:$B$7,0)),0,1),1))=0,"OK","ERROR"))</f>
        <v>OK</v>
      </c>
      <c r="Q252" s="3" t="str">
        <f aca="false">IF(D252="","",TRIM(IF(IFERROR(IF(AND(TRIM(D252)=D252,LEN(D252)&gt;0),0,1),1)=1,"Name; ","")&amp;IF(IFERROR(IF(AND(LEN(E252)=10,ISNUMBER(VALUE(E252))),0,1),1)=1,"Phone; ","")&amp;IF(IFERROR(IF(AND(ISNUMBER(SEARCH("@",F252)),ISNUMBER(SEARCH(".",F252))),0,1),1)=1,"Email; ","")&amp;IF(IFERROR(IF(AND(LEN(J252)=6,ISNUMBER(VALUE(J252))),0,1),1)=1,"Pincode; ","")&amp;IF(IFERROR(IF(ISNUMBER(MATCH(TRIM(I252),Lists!$A$2:$A$20,0)),0,1),1)=1,"State; ","")&amp;IF(IFERROR(IF(AND(LEN(K252)=10,VALUE(LEFT(K252,FIND("/",K252)-1))&gt;=1,VALUE(LEFT(K252,FIND("/",K252)-1))&lt;=31,VALUE(LEFT(MID(K252,FIND("/",K252)+1,10),FIND("/",MID(K252,FIND("/",K252)+1,10))-1))&gt;=1,VALUE(LEFT(MID(K252,FIND("/",K252)+1,10),FIND("/",MID(K252,FIND("/",K252)+1,10))-1))&lt;=12,VALUE(LEFT(K252,FIND("/",K252)-1))&lt;=DAY(EOMONTH(DATE(VALUE(MID(MID(K252,FIND("/",K252)+1,10),FIND("/",MID(K252,FIND("/",K252)+1,10))+1,4)),VALUE(LEFT(MID(K252,FIND("/",K252)+1,10),FIND("/",MID(K252,FIND("/",K252)+1,10))-1)),1),0))),0,1),1)=1,"Date; ","")&amp;IF(IFERROR(IF(M252&gt;=0,0,1),1)=1,"Amount; ","")&amp;IF(IFERROR(IF(ISNUMBER(MATCH(N252,Lists!$B$2:$B$7,0)),0,1),1)=1,"Payment; ","")))</f>
        <v/>
      </c>
      <c r="R252" s="3" t="str">
        <f aca="false">IF(D252="","",IF(COUNTIFS($D$2:$D$701,D252,$E$2:$E$701,E252)&gt;1,"DUPLICATE","Unique"))</f>
        <v>Unique</v>
      </c>
    </row>
    <row r="253" customFormat="false" ht="15" hidden="false" customHeight="false" outlineLevel="0" collapsed="false">
      <c r="A253" s="3" t="n">
        <v>252</v>
      </c>
      <c r="B253" s="3" t="n">
        <v>6</v>
      </c>
      <c r="C253" s="3" t="s">
        <v>1884</v>
      </c>
      <c r="D253" s="3" t="s">
        <v>1885</v>
      </c>
      <c r="E253" s="3" t="s">
        <v>1886</v>
      </c>
      <c r="F253" s="3" t="s">
        <v>1887</v>
      </c>
      <c r="G253" s="3" t="s">
        <v>1888</v>
      </c>
      <c r="H253" s="3" t="s">
        <v>149</v>
      </c>
      <c r="I253" s="3" t="s">
        <v>61</v>
      </c>
      <c r="J253" s="3" t="s">
        <v>1889</v>
      </c>
      <c r="K253" s="3" t="s">
        <v>1890</v>
      </c>
      <c r="L253" s="3" t="s">
        <v>66</v>
      </c>
      <c r="M253" s="3" t="n">
        <v>4485.7</v>
      </c>
      <c r="N253" s="3" t="s">
        <v>55</v>
      </c>
      <c r="O253" s="3" t="n">
        <f aca="false">IFERROR(LEN(C253&amp;D253&amp;E253&amp;F253&amp;G253&amp;H253&amp;I253&amp;J253&amp;K253&amp;L253&amp;M253&amp;N253)/5,0)</f>
        <v>27.8</v>
      </c>
      <c r="P253" s="3" t="str">
        <f aca="false">IF(OR(D253="",C253=""),"",IF((IFERROR(IF(AND(TRIM(D253)=D253,LEN(D253)&gt;0),0,1),1)+IFERROR(IF(AND(LEN(E253)=10,ISNUMBER(VALUE(E253))),0,1),1)+IFERROR(IF(AND(ISNUMBER(SEARCH("@",F253)),ISNUMBER(SEARCH(".",F253))),0,1),1)+IFERROR(IF(AND(LEN(J253)=6,ISNUMBER(VALUE(J253))),0,1),1)+IFERROR(IF(ISNUMBER(MATCH(TRIM(I253),Lists!$A$2:$A$20,0)),0,1),1)+IFERROR(IF(AND(LEN(K253)=10,VALUE(LEFT(K253,FIND("/",K253)-1))&gt;=1,VALUE(LEFT(K253,FIND("/",K253)-1))&lt;=31,VALUE(LEFT(MID(K253,FIND("/",K253)+1,10),FIND("/",MID(K253,FIND("/",K253)+1,10))-1))&gt;=1,VALUE(LEFT(MID(K253,FIND("/",K253)+1,10),FIND("/",MID(K253,FIND("/",K253)+1,10))-1))&lt;=12,VALUE(LEFT(K253,FIND("/",K253)-1))&lt;=DAY(EOMONTH(DATE(VALUE(MID(MID(K253,FIND("/",K253)+1,10),FIND("/",MID(K253,FIND("/",K253)+1,10))+1,4)),VALUE(LEFT(MID(K253,FIND("/",K253)+1,10),FIND("/",MID(K253,FIND("/",K253)+1,10))-1)),1),0))),0,1),1)+IFERROR(IF(M253&gt;=0,0,1),1)+IFERROR(IF(ISNUMBER(MATCH(N253,Lists!$B$2:$B$7,0)),0,1),1))=0,"OK","ERROR"))</f>
        <v>OK</v>
      </c>
      <c r="Q253" s="3" t="str">
        <f aca="false">IF(D253="","",TRIM(IF(IFERROR(IF(AND(TRIM(D253)=D253,LEN(D253)&gt;0),0,1),1)=1,"Name; ","")&amp;IF(IFERROR(IF(AND(LEN(E253)=10,ISNUMBER(VALUE(E253))),0,1),1)=1,"Phone; ","")&amp;IF(IFERROR(IF(AND(ISNUMBER(SEARCH("@",F253)),ISNUMBER(SEARCH(".",F253))),0,1),1)=1,"Email; ","")&amp;IF(IFERROR(IF(AND(LEN(J253)=6,ISNUMBER(VALUE(J253))),0,1),1)=1,"Pincode; ","")&amp;IF(IFERROR(IF(ISNUMBER(MATCH(TRIM(I253),Lists!$A$2:$A$20,0)),0,1),1)=1,"State; ","")&amp;IF(IFERROR(IF(AND(LEN(K253)=10,VALUE(LEFT(K253,FIND("/",K253)-1))&gt;=1,VALUE(LEFT(K253,FIND("/",K253)-1))&lt;=31,VALUE(LEFT(MID(K253,FIND("/",K253)+1,10),FIND("/",MID(K253,FIND("/",K253)+1,10))-1))&gt;=1,VALUE(LEFT(MID(K253,FIND("/",K253)+1,10),FIND("/",MID(K253,FIND("/",K253)+1,10))-1))&lt;=12,VALUE(LEFT(K253,FIND("/",K253)-1))&lt;=DAY(EOMONTH(DATE(VALUE(MID(MID(K253,FIND("/",K253)+1,10),FIND("/",MID(K253,FIND("/",K253)+1,10))+1,4)),VALUE(LEFT(MID(K253,FIND("/",K253)+1,10),FIND("/",MID(K253,FIND("/",K253)+1,10))-1)),1),0))),0,1),1)=1,"Date; ","")&amp;IF(IFERROR(IF(M253&gt;=0,0,1),1)=1,"Amount; ","")&amp;IF(IFERROR(IF(ISNUMBER(MATCH(N253,Lists!$B$2:$B$7,0)),0,1),1)=1,"Payment; ","")))</f>
        <v/>
      </c>
      <c r="R253" s="3" t="str">
        <f aca="false">IF(D253="","",IF(COUNTIFS($D$2:$D$701,D253,$E$2:$E$701,E253)&gt;1,"DUPLICATE","Unique"))</f>
        <v>Unique</v>
      </c>
    </row>
    <row r="254" customFormat="false" ht="15" hidden="false" customHeight="false" outlineLevel="0" collapsed="false">
      <c r="A254" s="3" t="n">
        <v>253</v>
      </c>
      <c r="B254" s="3" t="n">
        <v>6</v>
      </c>
      <c r="C254" s="3" t="s">
        <v>1891</v>
      </c>
      <c r="D254" s="3" t="s">
        <v>1892</v>
      </c>
      <c r="E254" s="3" t="s">
        <v>1893</v>
      </c>
      <c r="F254" s="3" t="s">
        <v>1894</v>
      </c>
      <c r="G254" s="3" t="s">
        <v>1895</v>
      </c>
      <c r="H254" s="3" t="s">
        <v>1207</v>
      </c>
      <c r="I254" s="3" t="s">
        <v>67</v>
      </c>
      <c r="J254" s="3" t="s">
        <v>1896</v>
      </c>
      <c r="K254" s="3" t="s">
        <v>1776</v>
      </c>
      <c r="L254" s="3" t="s">
        <v>74</v>
      </c>
      <c r="M254" s="3" t="n">
        <v>8563.76</v>
      </c>
      <c r="N254" s="3" t="s">
        <v>46</v>
      </c>
      <c r="O254" s="3" t="n">
        <f aca="false">IFERROR(LEN(C254&amp;D254&amp;E254&amp;F254&amp;G254&amp;H254&amp;I254&amp;J254&amp;K254&amp;L254&amp;M254&amp;N254)/5,0)</f>
        <v>25.6</v>
      </c>
      <c r="P254" s="3" t="str">
        <f aca="false">IF(OR(D254="",C254=""),"",IF((IFERROR(IF(AND(TRIM(D254)=D254,LEN(D254)&gt;0),0,1),1)+IFERROR(IF(AND(LEN(E254)=10,ISNUMBER(VALUE(E254))),0,1),1)+IFERROR(IF(AND(ISNUMBER(SEARCH("@",F254)),ISNUMBER(SEARCH(".",F254))),0,1),1)+IFERROR(IF(AND(LEN(J254)=6,ISNUMBER(VALUE(J254))),0,1),1)+IFERROR(IF(ISNUMBER(MATCH(TRIM(I254),Lists!$A$2:$A$20,0)),0,1),1)+IFERROR(IF(AND(LEN(K254)=10,VALUE(LEFT(K254,FIND("/",K254)-1))&gt;=1,VALUE(LEFT(K254,FIND("/",K254)-1))&lt;=31,VALUE(LEFT(MID(K254,FIND("/",K254)+1,10),FIND("/",MID(K254,FIND("/",K254)+1,10))-1))&gt;=1,VALUE(LEFT(MID(K254,FIND("/",K254)+1,10),FIND("/",MID(K254,FIND("/",K254)+1,10))-1))&lt;=12,VALUE(LEFT(K254,FIND("/",K254)-1))&lt;=DAY(EOMONTH(DATE(VALUE(MID(MID(K254,FIND("/",K254)+1,10),FIND("/",MID(K254,FIND("/",K254)+1,10))+1,4)),VALUE(LEFT(MID(K254,FIND("/",K254)+1,10),FIND("/",MID(K254,FIND("/",K254)+1,10))-1)),1),0))),0,1),1)+IFERROR(IF(M254&gt;=0,0,1),1)+IFERROR(IF(ISNUMBER(MATCH(N254,Lists!$B$2:$B$7,0)),0,1),1))=0,"OK","ERROR"))</f>
        <v>OK</v>
      </c>
      <c r="Q254" s="3" t="str">
        <f aca="false">IF(D254="","",TRIM(IF(IFERROR(IF(AND(TRIM(D254)=D254,LEN(D254)&gt;0),0,1),1)=1,"Name; ","")&amp;IF(IFERROR(IF(AND(LEN(E254)=10,ISNUMBER(VALUE(E254))),0,1),1)=1,"Phone; ","")&amp;IF(IFERROR(IF(AND(ISNUMBER(SEARCH("@",F254)),ISNUMBER(SEARCH(".",F254))),0,1),1)=1,"Email; ","")&amp;IF(IFERROR(IF(AND(LEN(J254)=6,ISNUMBER(VALUE(J254))),0,1),1)=1,"Pincode; ","")&amp;IF(IFERROR(IF(ISNUMBER(MATCH(TRIM(I254),Lists!$A$2:$A$20,0)),0,1),1)=1,"State; ","")&amp;IF(IFERROR(IF(AND(LEN(K254)=10,VALUE(LEFT(K254,FIND("/",K254)-1))&gt;=1,VALUE(LEFT(K254,FIND("/",K254)-1))&lt;=31,VALUE(LEFT(MID(K254,FIND("/",K254)+1,10),FIND("/",MID(K254,FIND("/",K254)+1,10))-1))&gt;=1,VALUE(LEFT(MID(K254,FIND("/",K254)+1,10),FIND("/",MID(K254,FIND("/",K254)+1,10))-1))&lt;=12,VALUE(LEFT(K254,FIND("/",K254)-1))&lt;=DAY(EOMONTH(DATE(VALUE(MID(MID(K254,FIND("/",K254)+1,10),FIND("/",MID(K254,FIND("/",K254)+1,10))+1,4)),VALUE(LEFT(MID(K254,FIND("/",K254)+1,10),FIND("/",MID(K254,FIND("/",K254)+1,10))-1)),1),0))),0,1),1)=1,"Date; ","")&amp;IF(IFERROR(IF(M254&gt;=0,0,1),1)=1,"Amount; ","")&amp;IF(IFERROR(IF(ISNUMBER(MATCH(N254,Lists!$B$2:$B$7,0)),0,1),1)=1,"Payment; ","")))</f>
        <v/>
      </c>
      <c r="R254" s="3" t="str">
        <f aca="false">IF(D254="","",IF(COUNTIFS($D$2:$D$701,D254,$E$2:$E$701,E254)&gt;1,"DUPLICATE","Unique"))</f>
        <v>Unique</v>
      </c>
    </row>
    <row r="255" customFormat="false" ht="15" hidden="false" customHeight="false" outlineLevel="0" collapsed="false">
      <c r="A255" s="3" t="n">
        <v>254</v>
      </c>
      <c r="B255" s="3" t="n">
        <v>6</v>
      </c>
      <c r="C255" s="3" t="s">
        <v>1897</v>
      </c>
      <c r="D255" s="3" t="s">
        <v>1898</v>
      </c>
      <c r="E255" s="3" t="s">
        <v>1899</v>
      </c>
      <c r="F255" s="3" t="s">
        <v>1900</v>
      </c>
      <c r="G255" s="3" t="s">
        <v>1901</v>
      </c>
      <c r="H255" s="3" t="s">
        <v>340</v>
      </c>
      <c r="I255" s="3" t="s">
        <v>75</v>
      </c>
      <c r="J255" s="3" t="s">
        <v>1902</v>
      </c>
      <c r="K255" s="3" t="s">
        <v>1449</v>
      </c>
      <c r="L255" s="3" t="s">
        <v>74</v>
      </c>
      <c r="M255" s="3" t="n">
        <v>6405.98</v>
      </c>
      <c r="N255" s="3" t="s">
        <v>43</v>
      </c>
      <c r="O255" s="3" t="n">
        <f aca="false">IFERROR(LEN(C255&amp;D255&amp;E255&amp;F255&amp;G255&amp;H255&amp;I255&amp;J255&amp;K255&amp;L255&amp;M255&amp;N255)/5,0)</f>
        <v>25.2</v>
      </c>
      <c r="P255" s="3" t="str">
        <f aca="false">IF(OR(D255="",C255=""),"",IF((IFERROR(IF(AND(TRIM(D255)=D255,LEN(D255)&gt;0),0,1),1)+IFERROR(IF(AND(LEN(E255)=10,ISNUMBER(VALUE(E255))),0,1),1)+IFERROR(IF(AND(ISNUMBER(SEARCH("@",F255)),ISNUMBER(SEARCH(".",F255))),0,1),1)+IFERROR(IF(AND(LEN(J255)=6,ISNUMBER(VALUE(J255))),0,1),1)+IFERROR(IF(ISNUMBER(MATCH(TRIM(I255),Lists!$A$2:$A$20,0)),0,1),1)+IFERROR(IF(AND(LEN(K255)=10,VALUE(LEFT(K255,FIND("/",K255)-1))&gt;=1,VALUE(LEFT(K255,FIND("/",K255)-1))&lt;=31,VALUE(LEFT(MID(K255,FIND("/",K255)+1,10),FIND("/",MID(K255,FIND("/",K255)+1,10))-1))&gt;=1,VALUE(LEFT(MID(K255,FIND("/",K255)+1,10),FIND("/",MID(K255,FIND("/",K255)+1,10))-1))&lt;=12,VALUE(LEFT(K255,FIND("/",K255)-1))&lt;=DAY(EOMONTH(DATE(VALUE(MID(MID(K255,FIND("/",K255)+1,10),FIND("/",MID(K255,FIND("/",K255)+1,10))+1,4)),VALUE(LEFT(MID(K255,FIND("/",K255)+1,10),FIND("/",MID(K255,FIND("/",K255)+1,10))-1)),1),0))),0,1),1)+IFERROR(IF(M255&gt;=0,0,1),1)+IFERROR(IF(ISNUMBER(MATCH(N255,Lists!$B$2:$B$7,0)),0,1),1))=0,"OK","ERROR"))</f>
        <v>OK</v>
      </c>
      <c r="Q255" s="3" t="str">
        <f aca="false">IF(D255="","",TRIM(IF(IFERROR(IF(AND(TRIM(D255)=D255,LEN(D255)&gt;0),0,1),1)=1,"Name; ","")&amp;IF(IFERROR(IF(AND(LEN(E255)=10,ISNUMBER(VALUE(E255))),0,1),1)=1,"Phone; ","")&amp;IF(IFERROR(IF(AND(ISNUMBER(SEARCH("@",F255)),ISNUMBER(SEARCH(".",F255))),0,1),1)=1,"Email; ","")&amp;IF(IFERROR(IF(AND(LEN(J255)=6,ISNUMBER(VALUE(J255))),0,1),1)=1,"Pincode; ","")&amp;IF(IFERROR(IF(ISNUMBER(MATCH(TRIM(I255),Lists!$A$2:$A$20,0)),0,1),1)=1,"State; ","")&amp;IF(IFERROR(IF(AND(LEN(K255)=10,VALUE(LEFT(K255,FIND("/",K255)-1))&gt;=1,VALUE(LEFT(K255,FIND("/",K255)-1))&lt;=31,VALUE(LEFT(MID(K255,FIND("/",K255)+1,10),FIND("/",MID(K255,FIND("/",K255)+1,10))-1))&gt;=1,VALUE(LEFT(MID(K255,FIND("/",K255)+1,10),FIND("/",MID(K255,FIND("/",K255)+1,10))-1))&lt;=12,VALUE(LEFT(K255,FIND("/",K255)-1))&lt;=DAY(EOMONTH(DATE(VALUE(MID(MID(K255,FIND("/",K255)+1,10),FIND("/",MID(K255,FIND("/",K255)+1,10))+1,4)),VALUE(LEFT(MID(K255,FIND("/",K255)+1,10),FIND("/",MID(K255,FIND("/",K255)+1,10))-1)),1),0))),0,1),1)=1,"Date; ","")&amp;IF(IFERROR(IF(M255&gt;=0,0,1),1)=1,"Amount; ","")&amp;IF(IFERROR(IF(ISNUMBER(MATCH(N255,Lists!$B$2:$B$7,0)),0,1),1)=1,"Payment; ","")))</f>
        <v/>
      </c>
      <c r="R255" s="3" t="str">
        <f aca="false">IF(D255="","",IF(COUNTIFS($D$2:$D$701,D255,$E$2:$E$701,E255)&gt;1,"DUPLICATE","Unique"))</f>
        <v>Unique</v>
      </c>
    </row>
    <row r="256" customFormat="false" ht="15" hidden="false" customHeight="false" outlineLevel="0" collapsed="false">
      <c r="A256" s="3" t="n">
        <v>255</v>
      </c>
      <c r="B256" s="3" t="n">
        <v>6</v>
      </c>
      <c r="C256" s="3" t="s">
        <v>1903</v>
      </c>
      <c r="D256" s="3" t="s">
        <v>1904</v>
      </c>
      <c r="E256" s="3" t="s">
        <v>1905</v>
      </c>
      <c r="F256" s="3" t="s">
        <v>1906</v>
      </c>
      <c r="G256" s="3" t="s">
        <v>1907</v>
      </c>
      <c r="H256" s="3" t="s">
        <v>126</v>
      </c>
      <c r="I256" s="3" t="s">
        <v>45</v>
      </c>
      <c r="J256" s="3" t="s">
        <v>1908</v>
      </c>
      <c r="K256" s="3" t="s">
        <v>850</v>
      </c>
      <c r="L256" s="3" t="s">
        <v>72</v>
      </c>
      <c r="M256" s="3" t="n">
        <v>2381.13</v>
      </c>
      <c r="N256" s="3" t="s">
        <v>55</v>
      </c>
      <c r="O256" s="3" t="n">
        <f aca="false">IFERROR(LEN(C256&amp;D256&amp;E256&amp;F256&amp;G256&amp;H256&amp;I256&amp;J256&amp;K256&amp;L256&amp;M256&amp;N256)/5,0)</f>
        <v>24.6</v>
      </c>
      <c r="P256" s="3" t="str">
        <f aca="false">IF(OR(D256="",C256=""),"",IF((IFERROR(IF(AND(TRIM(D256)=D256,LEN(D256)&gt;0),0,1),1)+IFERROR(IF(AND(LEN(E256)=10,ISNUMBER(VALUE(E256))),0,1),1)+IFERROR(IF(AND(ISNUMBER(SEARCH("@",F256)),ISNUMBER(SEARCH(".",F256))),0,1),1)+IFERROR(IF(AND(LEN(J256)=6,ISNUMBER(VALUE(J256))),0,1),1)+IFERROR(IF(ISNUMBER(MATCH(TRIM(I256),Lists!$A$2:$A$20,0)),0,1),1)+IFERROR(IF(AND(LEN(K256)=10,VALUE(LEFT(K256,FIND("/",K256)-1))&gt;=1,VALUE(LEFT(K256,FIND("/",K256)-1))&lt;=31,VALUE(LEFT(MID(K256,FIND("/",K256)+1,10),FIND("/",MID(K256,FIND("/",K256)+1,10))-1))&gt;=1,VALUE(LEFT(MID(K256,FIND("/",K256)+1,10),FIND("/",MID(K256,FIND("/",K256)+1,10))-1))&lt;=12,VALUE(LEFT(K256,FIND("/",K256)-1))&lt;=DAY(EOMONTH(DATE(VALUE(MID(MID(K256,FIND("/",K256)+1,10),FIND("/",MID(K256,FIND("/",K256)+1,10))+1,4)),VALUE(LEFT(MID(K256,FIND("/",K256)+1,10),FIND("/",MID(K256,FIND("/",K256)+1,10))-1)),1),0))),0,1),1)+IFERROR(IF(M256&gt;=0,0,1),1)+IFERROR(IF(ISNUMBER(MATCH(N256,Lists!$B$2:$B$7,0)),0,1),1))=0,"OK","ERROR"))</f>
        <v>OK</v>
      </c>
      <c r="Q256" s="3" t="str">
        <f aca="false">IF(D256="","",TRIM(IF(IFERROR(IF(AND(TRIM(D256)=D256,LEN(D256)&gt;0),0,1),1)=1,"Name; ","")&amp;IF(IFERROR(IF(AND(LEN(E256)=10,ISNUMBER(VALUE(E256))),0,1),1)=1,"Phone; ","")&amp;IF(IFERROR(IF(AND(ISNUMBER(SEARCH("@",F256)),ISNUMBER(SEARCH(".",F256))),0,1),1)=1,"Email; ","")&amp;IF(IFERROR(IF(AND(LEN(J256)=6,ISNUMBER(VALUE(J256))),0,1),1)=1,"Pincode; ","")&amp;IF(IFERROR(IF(ISNUMBER(MATCH(TRIM(I256),Lists!$A$2:$A$20,0)),0,1),1)=1,"State; ","")&amp;IF(IFERROR(IF(AND(LEN(K256)=10,VALUE(LEFT(K256,FIND("/",K256)-1))&gt;=1,VALUE(LEFT(K256,FIND("/",K256)-1))&lt;=31,VALUE(LEFT(MID(K256,FIND("/",K256)+1,10),FIND("/",MID(K256,FIND("/",K256)+1,10))-1))&gt;=1,VALUE(LEFT(MID(K256,FIND("/",K256)+1,10),FIND("/",MID(K256,FIND("/",K256)+1,10))-1))&lt;=12,VALUE(LEFT(K256,FIND("/",K256)-1))&lt;=DAY(EOMONTH(DATE(VALUE(MID(MID(K256,FIND("/",K256)+1,10),FIND("/",MID(K256,FIND("/",K256)+1,10))+1,4)),VALUE(LEFT(MID(K256,FIND("/",K256)+1,10),FIND("/",MID(K256,FIND("/",K256)+1,10))-1)),1),0))),0,1),1)=1,"Date; ","")&amp;IF(IFERROR(IF(M256&gt;=0,0,1),1)=1,"Amount; ","")&amp;IF(IFERROR(IF(ISNUMBER(MATCH(N256,Lists!$B$2:$B$7,0)),0,1),1)=1,"Payment; ","")))</f>
        <v/>
      </c>
      <c r="R256" s="3" t="str">
        <f aca="false">IF(D256="","",IF(COUNTIFS($D$2:$D$701,D256,$E$2:$E$701,E256)&gt;1,"DUPLICATE","Unique"))</f>
        <v>Unique</v>
      </c>
    </row>
    <row r="257" customFormat="false" ht="15" hidden="false" customHeight="false" outlineLevel="0" collapsed="false">
      <c r="A257" s="3" t="n">
        <v>256</v>
      </c>
      <c r="B257" s="3" t="n">
        <v>6</v>
      </c>
      <c r="C257" s="3" t="s">
        <v>1909</v>
      </c>
      <c r="D257" s="3" t="s">
        <v>1910</v>
      </c>
      <c r="E257" s="3" t="s">
        <v>1911</v>
      </c>
      <c r="F257" s="3" t="s">
        <v>1912</v>
      </c>
      <c r="G257" s="3" t="s">
        <v>1913</v>
      </c>
      <c r="H257" s="3" t="s">
        <v>633</v>
      </c>
      <c r="I257" s="3" t="s">
        <v>76</v>
      </c>
      <c r="J257" s="3" t="s">
        <v>1914</v>
      </c>
      <c r="K257" s="3" t="s">
        <v>221</v>
      </c>
      <c r="L257" s="3" t="s">
        <v>74</v>
      </c>
      <c r="M257" s="3" t="n">
        <v>11864.77</v>
      </c>
      <c r="N257" s="3" t="s">
        <v>43</v>
      </c>
      <c r="O257" s="3" t="n">
        <f aca="false">IFERROR(LEN(C257&amp;D257&amp;E257&amp;F257&amp;G257&amp;H257&amp;I257&amp;J257&amp;K257&amp;L257&amp;M257&amp;N257)/5,0)</f>
        <v>23.4</v>
      </c>
      <c r="P257" s="3" t="str">
        <f aca="false">IF(OR(D257="",C257=""),"",IF((IFERROR(IF(AND(TRIM(D257)=D257,LEN(D257)&gt;0),0,1),1)+IFERROR(IF(AND(LEN(E257)=10,ISNUMBER(VALUE(E257))),0,1),1)+IFERROR(IF(AND(ISNUMBER(SEARCH("@",F257)),ISNUMBER(SEARCH(".",F257))),0,1),1)+IFERROR(IF(AND(LEN(J257)=6,ISNUMBER(VALUE(J257))),0,1),1)+IFERROR(IF(ISNUMBER(MATCH(TRIM(I257),Lists!$A$2:$A$20,0)),0,1),1)+IFERROR(IF(AND(LEN(K257)=10,VALUE(LEFT(K257,FIND("/",K257)-1))&gt;=1,VALUE(LEFT(K257,FIND("/",K257)-1))&lt;=31,VALUE(LEFT(MID(K257,FIND("/",K257)+1,10),FIND("/",MID(K257,FIND("/",K257)+1,10))-1))&gt;=1,VALUE(LEFT(MID(K257,FIND("/",K257)+1,10),FIND("/",MID(K257,FIND("/",K257)+1,10))-1))&lt;=12,VALUE(LEFT(K257,FIND("/",K257)-1))&lt;=DAY(EOMONTH(DATE(VALUE(MID(MID(K257,FIND("/",K257)+1,10),FIND("/",MID(K257,FIND("/",K257)+1,10))+1,4)),VALUE(LEFT(MID(K257,FIND("/",K257)+1,10),FIND("/",MID(K257,FIND("/",K257)+1,10))-1)),1),0))),0,1),1)+IFERROR(IF(M257&gt;=0,0,1),1)+IFERROR(IF(ISNUMBER(MATCH(N257,Lists!$B$2:$B$7,0)),0,1),1))=0,"OK","ERROR"))</f>
        <v>OK</v>
      </c>
      <c r="Q257" s="3" t="str">
        <f aca="false">IF(D257="","",TRIM(IF(IFERROR(IF(AND(TRIM(D257)=D257,LEN(D257)&gt;0),0,1),1)=1,"Name; ","")&amp;IF(IFERROR(IF(AND(LEN(E257)=10,ISNUMBER(VALUE(E257))),0,1),1)=1,"Phone; ","")&amp;IF(IFERROR(IF(AND(ISNUMBER(SEARCH("@",F257)),ISNUMBER(SEARCH(".",F257))),0,1),1)=1,"Email; ","")&amp;IF(IFERROR(IF(AND(LEN(J257)=6,ISNUMBER(VALUE(J257))),0,1),1)=1,"Pincode; ","")&amp;IF(IFERROR(IF(ISNUMBER(MATCH(TRIM(I257),Lists!$A$2:$A$20,0)),0,1),1)=1,"State; ","")&amp;IF(IFERROR(IF(AND(LEN(K257)=10,VALUE(LEFT(K257,FIND("/",K257)-1))&gt;=1,VALUE(LEFT(K257,FIND("/",K257)-1))&lt;=31,VALUE(LEFT(MID(K257,FIND("/",K257)+1,10),FIND("/",MID(K257,FIND("/",K257)+1,10))-1))&gt;=1,VALUE(LEFT(MID(K257,FIND("/",K257)+1,10),FIND("/",MID(K257,FIND("/",K257)+1,10))-1))&lt;=12,VALUE(LEFT(K257,FIND("/",K257)-1))&lt;=DAY(EOMONTH(DATE(VALUE(MID(MID(K257,FIND("/",K257)+1,10),FIND("/",MID(K257,FIND("/",K257)+1,10))+1,4)),VALUE(LEFT(MID(K257,FIND("/",K257)+1,10),FIND("/",MID(K257,FIND("/",K257)+1,10))-1)),1),0))),0,1),1)=1,"Date; ","")&amp;IF(IFERROR(IF(M257&gt;=0,0,1),1)=1,"Amount; ","")&amp;IF(IFERROR(IF(ISNUMBER(MATCH(N257,Lists!$B$2:$B$7,0)),0,1),1)=1,"Payment; ","")))</f>
        <v/>
      </c>
      <c r="R257" s="3" t="str">
        <f aca="false">IF(D257="","",IF(COUNTIFS($D$2:$D$701,D257,$E$2:$E$701,E257)&gt;1,"DUPLICATE","Unique"))</f>
        <v>Unique</v>
      </c>
    </row>
    <row r="258" customFormat="false" ht="15" hidden="false" customHeight="false" outlineLevel="0" collapsed="false">
      <c r="A258" s="3" t="n">
        <v>257</v>
      </c>
      <c r="B258" s="3" t="n">
        <v>6</v>
      </c>
      <c r="C258" s="3" t="s">
        <v>1915</v>
      </c>
      <c r="D258" s="3" t="s">
        <v>1916</v>
      </c>
      <c r="E258" s="3" t="s">
        <v>1917</v>
      </c>
      <c r="F258" s="3" t="s">
        <v>1918</v>
      </c>
      <c r="G258" s="3" t="s">
        <v>1919</v>
      </c>
      <c r="H258" s="3" t="s">
        <v>510</v>
      </c>
      <c r="I258" s="3" t="s">
        <v>57</v>
      </c>
      <c r="J258" s="3" t="s">
        <v>1920</v>
      </c>
      <c r="K258" s="3" t="s">
        <v>1921</v>
      </c>
      <c r="L258" s="3" t="s">
        <v>60</v>
      </c>
      <c r="M258" s="3" t="n">
        <v>11448.9</v>
      </c>
      <c r="N258" s="3" t="s">
        <v>46</v>
      </c>
      <c r="O258" s="3" t="n">
        <f aca="false">IFERROR(LEN(C258&amp;D258&amp;E258&amp;F258&amp;G258&amp;H258&amp;I258&amp;J258&amp;K258&amp;L258&amp;M258&amp;N258)/5,0)</f>
        <v>26.2</v>
      </c>
      <c r="P258" s="3" t="str">
        <f aca="false">IF(OR(D258="",C258=""),"",IF((IFERROR(IF(AND(TRIM(D258)=D258,LEN(D258)&gt;0),0,1),1)+IFERROR(IF(AND(LEN(E258)=10,ISNUMBER(VALUE(E258))),0,1),1)+IFERROR(IF(AND(ISNUMBER(SEARCH("@",F258)),ISNUMBER(SEARCH(".",F258))),0,1),1)+IFERROR(IF(AND(LEN(J258)=6,ISNUMBER(VALUE(J258))),0,1),1)+IFERROR(IF(ISNUMBER(MATCH(TRIM(I258),Lists!$A$2:$A$20,0)),0,1),1)+IFERROR(IF(AND(LEN(K258)=10,VALUE(LEFT(K258,FIND("/",K258)-1))&gt;=1,VALUE(LEFT(K258,FIND("/",K258)-1))&lt;=31,VALUE(LEFT(MID(K258,FIND("/",K258)+1,10),FIND("/",MID(K258,FIND("/",K258)+1,10))-1))&gt;=1,VALUE(LEFT(MID(K258,FIND("/",K258)+1,10),FIND("/",MID(K258,FIND("/",K258)+1,10))-1))&lt;=12,VALUE(LEFT(K258,FIND("/",K258)-1))&lt;=DAY(EOMONTH(DATE(VALUE(MID(MID(K258,FIND("/",K258)+1,10),FIND("/",MID(K258,FIND("/",K258)+1,10))+1,4)),VALUE(LEFT(MID(K258,FIND("/",K258)+1,10),FIND("/",MID(K258,FIND("/",K258)+1,10))-1)),1),0))),0,1),1)+IFERROR(IF(M258&gt;=0,0,1),1)+IFERROR(IF(ISNUMBER(MATCH(N258,Lists!$B$2:$B$7,0)),0,1),1))=0,"OK","ERROR"))</f>
        <v>OK</v>
      </c>
      <c r="Q258" s="3" t="str">
        <f aca="false">IF(D258="","",TRIM(IF(IFERROR(IF(AND(TRIM(D258)=D258,LEN(D258)&gt;0),0,1),1)=1,"Name; ","")&amp;IF(IFERROR(IF(AND(LEN(E258)=10,ISNUMBER(VALUE(E258))),0,1),1)=1,"Phone; ","")&amp;IF(IFERROR(IF(AND(ISNUMBER(SEARCH("@",F258)),ISNUMBER(SEARCH(".",F258))),0,1),1)=1,"Email; ","")&amp;IF(IFERROR(IF(AND(LEN(J258)=6,ISNUMBER(VALUE(J258))),0,1),1)=1,"Pincode; ","")&amp;IF(IFERROR(IF(ISNUMBER(MATCH(TRIM(I258),Lists!$A$2:$A$20,0)),0,1),1)=1,"State; ","")&amp;IF(IFERROR(IF(AND(LEN(K258)=10,VALUE(LEFT(K258,FIND("/",K258)-1))&gt;=1,VALUE(LEFT(K258,FIND("/",K258)-1))&lt;=31,VALUE(LEFT(MID(K258,FIND("/",K258)+1,10),FIND("/",MID(K258,FIND("/",K258)+1,10))-1))&gt;=1,VALUE(LEFT(MID(K258,FIND("/",K258)+1,10),FIND("/",MID(K258,FIND("/",K258)+1,10))-1))&lt;=12,VALUE(LEFT(K258,FIND("/",K258)-1))&lt;=DAY(EOMONTH(DATE(VALUE(MID(MID(K258,FIND("/",K258)+1,10),FIND("/",MID(K258,FIND("/",K258)+1,10))+1,4)),VALUE(LEFT(MID(K258,FIND("/",K258)+1,10),FIND("/",MID(K258,FIND("/",K258)+1,10))-1)),1),0))),0,1),1)=1,"Date; ","")&amp;IF(IFERROR(IF(M258&gt;=0,0,1),1)=1,"Amount; ","")&amp;IF(IFERROR(IF(ISNUMBER(MATCH(N258,Lists!$B$2:$B$7,0)),0,1),1)=1,"Payment; ","")))</f>
        <v/>
      </c>
      <c r="R258" s="3" t="str">
        <f aca="false">IF(D258="","",IF(COUNTIFS($D$2:$D$701,D258,$E$2:$E$701,E258)&gt;1,"DUPLICATE","Unique"))</f>
        <v>Unique</v>
      </c>
    </row>
    <row r="259" customFormat="false" ht="15" hidden="false" customHeight="false" outlineLevel="0" collapsed="false">
      <c r="A259" s="3" t="n">
        <v>258</v>
      </c>
      <c r="B259" s="3" t="n">
        <v>6</v>
      </c>
      <c r="C259" s="3" t="s">
        <v>1922</v>
      </c>
      <c r="D259" s="3" t="s">
        <v>1923</v>
      </c>
      <c r="E259" s="3" t="s">
        <v>1924</v>
      </c>
      <c r="F259" s="3" t="s">
        <v>1925</v>
      </c>
      <c r="G259" s="3" t="s">
        <v>1926</v>
      </c>
      <c r="H259" s="3" t="s">
        <v>720</v>
      </c>
      <c r="I259" s="3" t="s">
        <v>54</v>
      </c>
      <c r="J259" s="3" t="s">
        <v>1927</v>
      </c>
      <c r="K259" s="3" t="s">
        <v>1928</v>
      </c>
      <c r="L259" s="3" t="s">
        <v>68</v>
      </c>
      <c r="M259" s="3" t="n">
        <v>5332.35</v>
      </c>
      <c r="N259" s="3" t="s">
        <v>49</v>
      </c>
      <c r="O259" s="3" t="n">
        <f aca="false">IFERROR(LEN(C259&amp;D259&amp;E259&amp;F259&amp;G259&amp;H259&amp;I259&amp;J259&amp;K259&amp;L259&amp;M259&amp;N259)/5,0)</f>
        <v>27.2</v>
      </c>
      <c r="P259" s="3" t="str">
        <f aca="false">IF(OR(D259="",C259=""),"",IF((IFERROR(IF(AND(TRIM(D259)=D259,LEN(D259)&gt;0),0,1),1)+IFERROR(IF(AND(LEN(E259)=10,ISNUMBER(VALUE(E259))),0,1),1)+IFERROR(IF(AND(ISNUMBER(SEARCH("@",F259)),ISNUMBER(SEARCH(".",F259))),0,1),1)+IFERROR(IF(AND(LEN(J259)=6,ISNUMBER(VALUE(J259))),0,1),1)+IFERROR(IF(ISNUMBER(MATCH(TRIM(I259),Lists!$A$2:$A$20,0)),0,1),1)+IFERROR(IF(AND(LEN(K259)=10,VALUE(LEFT(K259,FIND("/",K259)-1))&gt;=1,VALUE(LEFT(K259,FIND("/",K259)-1))&lt;=31,VALUE(LEFT(MID(K259,FIND("/",K259)+1,10),FIND("/",MID(K259,FIND("/",K259)+1,10))-1))&gt;=1,VALUE(LEFT(MID(K259,FIND("/",K259)+1,10),FIND("/",MID(K259,FIND("/",K259)+1,10))-1))&lt;=12,VALUE(LEFT(K259,FIND("/",K259)-1))&lt;=DAY(EOMONTH(DATE(VALUE(MID(MID(K259,FIND("/",K259)+1,10),FIND("/",MID(K259,FIND("/",K259)+1,10))+1,4)),VALUE(LEFT(MID(K259,FIND("/",K259)+1,10),FIND("/",MID(K259,FIND("/",K259)+1,10))-1)),1),0))),0,1),1)+IFERROR(IF(M259&gt;=0,0,1),1)+IFERROR(IF(ISNUMBER(MATCH(N259,Lists!$B$2:$B$7,0)),0,1),1))=0,"OK","ERROR"))</f>
        <v>OK</v>
      </c>
      <c r="Q259" s="3" t="str">
        <f aca="false">IF(D259="","",TRIM(IF(IFERROR(IF(AND(TRIM(D259)=D259,LEN(D259)&gt;0),0,1),1)=1,"Name; ","")&amp;IF(IFERROR(IF(AND(LEN(E259)=10,ISNUMBER(VALUE(E259))),0,1),1)=1,"Phone; ","")&amp;IF(IFERROR(IF(AND(ISNUMBER(SEARCH("@",F259)),ISNUMBER(SEARCH(".",F259))),0,1),1)=1,"Email; ","")&amp;IF(IFERROR(IF(AND(LEN(J259)=6,ISNUMBER(VALUE(J259))),0,1),1)=1,"Pincode; ","")&amp;IF(IFERROR(IF(ISNUMBER(MATCH(TRIM(I259),Lists!$A$2:$A$20,0)),0,1),1)=1,"State; ","")&amp;IF(IFERROR(IF(AND(LEN(K259)=10,VALUE(LEFT(K259,FIND("/",K259)-1))&gt;=1,VALUE(LEFT(K259,FIND("/",K259)-1))&lt;=31,VALUE(LEFT(MID(K259,FIND("/",K259)+1,10),FIND("/",MID(K259,FIND("/",K259)+1,10))-1))&gt;=1,VALUE(LEFT(MID(K259,FIND("/",K259)+1,10),FIND("/",MID(K259,FIND("/",K259)+1,10))-1))&lt;=12,VALUE(LEFT(K259,FIND("/",K259)-1))&lt;=DAY(EOMONTH(DATE(VALUE(MID(MID(K259,FIND("/",K259)+1,10),FIND("/",MID(K259,FIND("/",K259)+1,10))+1,4)),VALUE(LEFT(MID(K259,FIND("/",K259)+1,10),FIND("/",MID(K259,FIND("/",K259)+1,10))-1)),1),0))),0,1),1)=1,"Date; ","")&amp;IF(IFERROR(IF(M259&gt;=0,0,1),1)=1,"Amount; ","")&amp;IF(IFERROR(IF(ISNUMBER(MATCH(N259,Lists!$B$2:$B$7,0)),0,1),1)=1,"Payment; ","")))</f>
        <v/>
      </c>
      <c r="R259" s="3" t="str">
        <f aca="false">IF(D259="","",IF(COUNTIFS($D$2:$D$701,D259,$E$2:$E$701,E259)&gt;1,"DUPLICATE","Unique"))</f>
        <v>Unique</v>
      </c>
    </row>
    <row r="260" customFormat="false" ht="15" hidden="false" customHeight="false" outlineLevel="0" collapsed="false">
      <c r="A260" s="3" t="n">
        <v>259</v>
      </c>
      <c r="B260" s="3" t="n">
        <v>6</v>
      </c>
      <c r="C260" s="3" t="s">
        <v>1929</v>
      </c>
      <c r="D260" s="3" t="s">
        <v>1930</v>
      </c>
      <c r="E260" s="3" t="s">
        <v>1931</v>
      </c>
      <c r="F260" s="3" t="s">
        <v>1932</v>
      </c>
      <c r="G260" s="3" t="s">
        <v>1933</v>
      </c>
      <c r="H260" s="3" t="s">
        <v>436</v>
      </c>
      <c r="I260" s="3" t="s">
        <v>59</v>
      </c>
      <c r="J260" s="3" t="s">
        <v>1934</v>
      </c>
      <c r="K260" s="3" t="s">
        <v>1935</v>
      </c>
      <c r="L260" s="3" t="s">
        <v>62</v>
      </c>
      <c r="M260" s="3" t="n">
        <v>8697.33</v>
      </c>
      <c r="N260" s="3" t="s">
        <v>55</v>
      </c>
      <c r="O260" s="3" t="n">
        <f aca="false">IFERROR(LEN(C260&amp;D260&amp;E260&amp;F260&amp;G260&amp;H260&amp;I260&amp;J260&amp;K260&amp;L260&amp;M260&amp;N260)/5,0)</f>
        <v>27.2</v>
      </c>
      <c r="P260" s="3" t="str">
        <f aca="false">IF(OR(D260="",C260=""),"",IF((IFERROR(IF(AND(TRIM(D260)=D260,LEN(D260)&gt;0),0,1),1)+IFERROR(IF(AND(LEN(E260)=10,ISNUMBER(VALUE(E260))),0,1),1)+IFERROR(IF(AND(ISNUMBER(SEARCH("@",F260)),ISNUMBER(SEARCH(".",F260))),0,1),1)+IFERROR(IF(AND(LEN(J260)=6,ISNUMBER(VALUE(J260))),0,1),1)+IFERROR(IF(ISNUMBER(MATCH(TRIM(I260),Lists!$A$2:$A$20,0)),0,1),1)+IFERROR(IF(AND(LEN(K260)=10,VALUE(LEFT(K260,FIND("/",K260)-1))&gt;=1,VALUE(LEFT(K260,FIND("/",K260)-1))&lt;=31,VALUE(LEFT(MID(K260,FIND("/",K260)+1,10),FIND("/",MID(K260,FIND("/",K260)+1,10))-1))&gt;=1,VALUE(LEFT(MID(K260,FIND("/",K260)+1,10),FIND("/",MID(K260,FIND("/",K260)+1,10))-1))&lt;=12,VALUE(LEFT(K260,FIND("/",K260)-1))&lt;=DAY(EOMONTH(DATE(VALUE(MID(MID(K260,FIND("/",K260)+1,10),FIND("/",MID(K260,FIND("/",K260)+1,10))+1,4)),VALUE(LEFT(MID(K260,FIND("/",K260)+1,10),FIND("/",MID(K260,FIND("/",K260)+1,10))-1)),1),0))),0,1),1)+IFERROR(IF(M260&gt;=0,0,1),1)+IFERROR(IF(ISNUMBER(MATCH(N260,Lists!$B$2:$B$7,0)),0,1),1))=0,"OK","ERROR"))</f>
        <v>OK</v>
      </c>
      <c r="Q260" s="3" t="str">
        <f aca="false">IF(D260="","",TRIM(IF(IFERROR(IF(AND(TRIM(D260)=D260,LEN(D260)&gt;0),0,1),1)=1,"Name; ","")&amp;IF(IFERROR(IF(AND(LEN(E260)=10,ISNUMBER(VALUE(E260))),0,1),1)=1,"Phone; ","")&amp;IF(IFERROR(IF(AND(ISNUMBER(SEARCH("@",F260)),ISNUMBER(SEARCH(".",F260))),0,1),1)=1,"Email; ","")&amp;IF(IFERROR(IF(AND(LEN(J260)=6,ISNUMBER(VALUE(J260))),0,1),1)=1,"Pincode; ","")&amp;IF(IFERROR(IF(ISNUMBER(MATCH(TRIM(I260),Lists!$A$2:$A$20,0)),0,1),1)=1,"State; ","")&amp;IF(IFERROR(IF(AND(LEN(K260)=10,VALUE(LEFT(K260,FIND("/",K260)-1))&gt;=1,VALUE(LEFT(K260,FIND("/",K260)-1))&lt;=31,VALUE(LEFT(MID(K260,FIND("/",K260)+1,10),FIND("/",MID(K260,FIND("/",K260)+1,10))-1))&gt;=1,VALUE(LEFT(MID(K260,FIND("/",K260)+1,10),FIND("/",MID(K260,FIND("/",K260)+1,10))-1))&lt;=12,VALUE(LEFT(K260,FIND("/",K260)-1))&lt;=DAY(EOMONTH(DATE(VALUE(MID(MID(K260,FIND("/",K260)+1,10),FIND("/",MID(K260,FIND("/",K260)+1,10))+1,4)),VALUE(LEFT(MID(K260,FIND("/",K260)+1,10),FIND("/",MID(K260,FIND("/",K260)+1,10))-1)),1),0))),0,1),1)=1,"Date; ","")&amp;IF(IFERROR(IF(M260&gt;=0,0,1),1)=1,"Amount; ","")&amp;IF(IFERROR(IF(ISNUMBER(MATCH(N260,Lists!$B$2:$B$7,0)),0,1),1)=1,"Payment; ","")))</f>
        <v/>
      </c>
      <c r="R260" s="3" t="str">
        <f aca="false">IF(D260="","",IF(COUNTIFS($D$2:$D$701,D260,$E$2:$E$701,E260)&gt;1,"DUPLICATE","Unique"))</f>
        <v>Unique</v>
      </c>
    </row>
    <row r="261" customFormat="false" ht="15" hidden="false" customHeight="false" outlineLevel="0" collapsed="false">
      <c r="A261" s="3" t="n">
        <v>260</v>
      </c>
      <c r="B261" s="3" t="n">
        <v>6</v>
      </c>
      <c r="C261" s="3" t="s">
        <v>1936</v>
      </c>
      <c r="D261" s="3" t="s">
        <v>1937</v>
      </c>
      <c r="E261" s="3" t="s">
        <v>1938</v>
      </c>
      <c r="F261" s="3" t="s">
        <v>1939</v>
      </c>
      <c r="G261" s="3" t="s">
        <v>1940</v>
      </c>
      <c r="H261" s="3" t="s">
        <v>1220</v>
      </c>
      <c r="I261" s="3" t="s">
        <v>42</v>
      </c>
      <c r="J261" s="3" t="s">
        <v>1941</v>
      </c>
      <c r="K261" s="3" t="s">
        <v>1942</v>
      </c>
      <c r="L261" s="3" t="s">
        <v>68</v>
      </c>
      <c r="M261" s="3" t="n">
        <v>8109.39</v>
      </c>
      <c r="N261" s="3" t="s">
        <v>43</v>
      </c>
      <c r="O261" s="3" t="n">
        <f aca="false">IFERROR(LEN(C261&amp;D261&amp;E261&amp;F261&amp;G261&amp;H261&amp;I261&amp;J261&amp;K261&amp;L261&amp;M261&amp;N261)/5,0)</f>
        <v>24.8</v>
      </c>
      <c r="P261" s="3" t="str">
        <f aca="false">IF(OR(D261="",C261=""),"",IF((IFERROR(IF(AND(TRIM(D261)=D261,LEN(D261)&gt;0),0,1),1)+IFERROR(IF(AND(LEN(E261)=10,ISNUMBER(VALUE(E261))),0,1),1)+IFERROR(IF(AND(ISNUMBER(SEARCH("@",F261)),ISNUMBER(SEARCH(".",F261))),0,1),1)+IFERROR(IF(AND(LEN(J261)=6,ISNUMBER(VALUE(J261))),0,1),1)+IFERROR(IF(ISNUMBER(MATCH(TRIM(I261),Lists!$A$2:$A$20,0)),0,1),1)+IFERROR(IF(AND(LEN(K261)=10,VALUE(LEFT(K261,FIND("/",K261)-1))&gt;=1,VALUE(LEFT(K261,FIND("/",K261)-1))&lt;=31,VALUE(LEFT(MID(K261,FIND("/",K261)+1,10),FIND("/",MID(K261,FIND("/",K261)+1,10))-1))&gt;=1,VALUE(LEFT(MID(K261,FIND("/",K261)+1,10),FIND("/",MID(K261,FIND("/",K261)+1,10))-1))&lt;=12,VALUE(LEFT(K261,FIND("/",K261)-1))&lt;=DAY(EOMONTH(DATE(VALUE(MID(MID(K261,FIND("/",K261)+1,10),FIND("/",MID(K261,FIND("/",K261)+1,10))+1,4)),VALUE(LEFT(MID(K261,FIND("/",K261)+1,10),FIND("/",MID(K261,FIND("/",K261)+1,10))-1)),1),0))),0,1),1)+IFERROR(IF(M261&gt;=0,0,1),1)+IFERROR(IF(ISNUMBER(MATCH(N261,Lists!$B$2:$B$7,0)),0,1),1))=0,"OK","ERROR"))</f>
        <v>OK</v>
      </c>
      <c r="Q261" s="3" t="str">
        <f aca="false">IF(D261="","",TRIM(IF(IFERROR(IF(AND(TRIM(D261)=D261,LEN(D261)&gt;0),0,1),1)=1,"Name; ","")&amp;IF(IFERROR(IF(AND(LEN(E261)=10,ISNUMBER(VALUE(E261))),0,1),1)=1,"Phone; ","")&amp;IF(IFERROR(IF(AND(ISNUMBER(SEARCH("@",F261)),ISNUMBER(SEARCH(".",F261))),0,1),1)=1,"Email; ","")&amp;IF(IFERROR(IF(AND(LEN(J261)=6,ISNUMBER(VALUE(J261))),0,1),1)=1,"Pincode; ","")&amp;IF(IFERROR(IF(ISNUMBER(MATCH(TRIM(I261),Lists!$A$2:$A$20,0)),0,1),1)=1,"State; ","")&amp;IF(IFERROR(IF(AND(LEN(K261)=10,VALUE(LEFT(K261,FIND("/",K261)-1))&gt;=1,VALUE(LEFT(K261,FIND("/",K261)-1))&lt;=31,VALUE(LEFT(MID(K261,FIND("/",K261)+1,10),FIND("/",MID(K261,FIND("/",K261)+1,10))-1))&gt;=1,VALUE(LEFT(MID(K261,FIND("/",K261)+1,10),FIND("/",MID(K261,FIND("/",K261)+1,10))-1))&lt;=12,VALUE(LEFT(K261,FIND("/",K261)-1))&lt;=DAY(EOMONTH(DATE(VALUE(MID(MID(K261,FIND("/",K261)+1,10),FIND("/",MID(K261,FIND("/",K261)+1,10))+1,4)),VALUE(LEFT(MID(K261,FIND("/",K261)+1,10),FIND("/",MID(K261,FIND("/",K261)+1,10))-1)),1),0))),0,1),1)=1,"Date; ","")&amp;IF(IFERROR(IF(M261&gt;=0,0,1),1)=1,"Amount; ","")&amp;IF(IFERROR(IF(ISNUMBER(MATCH(N261,Lists!$B$2:$B$7,0)),0,1),1)=1,"Payment; ","")))</f>
        <v/>
      </c>
      <c r="R261" s="3" t="str">
        <f aca="false">IF(D261="","",IF(COUNTIFS($D$2:$D$701,D261,$E$2:$E$701,E261)&gt;1,"DUPLICATE","Unique"))</f>
        <v>Unique</v>
      </c>
    </row>
    <row r="262" customFormat="false" ht="15" hidden="false" customHeight="false" outlineLevel="0" collapsed="false">
      <c r="A262" s="3" t="n">
        <v>261</v>
      </c>
      <c r="B262" s="3" t="n">
        <v>6</v>
      </c>
      <c r="C262" s="3" t="s">
        <v>1943</v>
      </c>
      <c r="D262" s="3" t="s">
        <v>1944</v>
      </c>
      <c r="E262" s="3" t="s">
        <v>1945</v>
      </c>
      <c r="F262" s="3" t="s">
        <v>1946</v>
      </c>
      <c r="G262" s="3" t="s">
        <v>1947</v>
      </c>
      <c r="H262" s="3" t="s">
        <v>826</v>
      </c>
      <c r="I262" s="3" t="s">
        <v>78</v>
      </c>
      <c r="J262" s="3" t="s">
        <v>1948</v>
      </c>
      <c r="K262" s="3" t="s">
        <v>1949</v>
      </c>
      <c r="L262" s="3" t="s">
        <v>62</v>
      </c>
      <c r="M262" s="3" t="n">
        <v>11374.01</v>
      </c>
      <c r="N262" s="3" t="s">
        <v>55</v>
      </c>
      <c r="O262" s="3" t="n">
        <f aca="false">IFERROR(LEN(C262&amp;D262&amp;E262&amp;F262&amp;G262&amp;H262&amp;I262&amp;J262&amp;K262&amp;L262&amp;M262&amp;N262)/5,0)</f>
        <v>25.8</v>
      </c>
      <c r="P262" s="3" t="str">
        <f aca="false">IF(OR(D262="",C262=""),"",IF((IFERROR(IF(AND(TRIM(D262)=D262,LEN(D262)&gt;0),0,1),1)+IFERROR(IF(AND(LEN(E262)=10,ISNUMBER(VALUE(E262))),0,1),1)+IFERROR(IF(AND(ISNUMBER(SEARCH("@",F262)),ISNUMBER(SEARCH(".",F262))),0,1),1)+IFERROR(IF(AND(LEN(J262)=6,ISNUMBER(VALUE(J262))),0,1),1)+IFERROR(IF(ISNUMBER(MATCH(TRIM(I262),Lists!$A$2:$A$20,0)),0,1),1)+IFERROR(IF(AND(LEN(K262)=10,VALUE(LEFT(K262,FIND("/",K262)-1))&gt;=1,VALUE(LEFT(K262,FIND("/",K262)-1))&lt;=31,VALUE(LEFT(MID(K262,FIND("/",K262)+1,10),FIND("/",MID(K262,FIND("/",K262)+1,10))-1))&gt;=1,VALUE(LEFT(MID(K262,FIND("/",K262)+1,10),FIND("/",MID(K262,FIND("/",K262)+1,10))-1))&lt;=12,VALUE(LEFT(K262,FIND("/",K262)-1))&lt;=DAY(EOMONTH(DATE(VALUE(MID(MID(K262,FIND("/",K262)+1,10),FIND("/",MID(K262,FIND("/",K262)+1,10))+1,4)),VALUE(LEFT(MID(K262,FIND("/",K262)+1,10),FIND("/",MID(K262,FIND("/",K262)+1,10))-1)),1),0))),0,1),1)+IFERROR(IF(M262&gt;=0,0,1),1)+IFERROR(IF(ISNUMBER(MATCH(N262,Lists!$B$2:$B$7,0)),0,1),1))=0,"OK","ERROR"))</f>
        <v>OK</v>
      </c>
      <c r="Q262" s="3" t="str">
        <f aca="false">IF(D262="","",TRIM(IF(IFERROR(IF(AND(TRIM(D262)=D262,LEN(D262)&gt;0),0,1),1)=1,"Name; ","")&amp;IF(IFERROR(IF(AND(LEN(E262)=10,ISNUMBER(VALUE(E262))),0,1),1)=1,"Phone; ","")&amp;IF(IFERROR(IF(AND(ISNUMBER(SEARCH("@",F262)),ISNUMBER(SEARCH(".",F262))),0,1),1)=1,"Email; ","")&amp;IF(IFERROR(IF(AND(LEN(J262)=6,ISNUMBER(VALUE(J262))),0,1),1)=1,"Pincode; ","")&amp;IF(IFERROR(IF(ISNUMBER(MATCH(TRIM(I262),Lists!$A$2:$A$20,0)),0,1),1)=1,"State; ","")&amp;IF(IFERROR(IF(AND(LEN(K262)=10,VALUE(LEFT(K262,FIND("/",K262)-1))&gt;=1,VALUE(LEFT(K262,FIND("/",K262)-1))&lt;=31,VALUE(LEFT(MID(K262,FIND("/",K262)+1,10),FIND("/",MID(K262,FIND("/",K262)+1,10))-1))&gt;=1,VALUE(LEFT(MID(K262,FIND("/",K262)+1,10),FIND("/",MID(K262,FIND("/",K262)+1,10))-1))&lt;=12,VALUE(LEFT(K262,FIND("/",K262)-1))&lt;=DAY(EOMONTH(DATE(VALUE(MID(MID(K262,FIND("/",K262)+1,10),FIND("/",MID(K262,FIND("/",K262)+1,10))+1,4)),VALUE(LEFT(MID(K262,FIND("/",K262)+1,10),FIND("/",MID(K262,FIND("/",K262)+1,10))-1)),1),0))),0,1),1)=1,"Date; ","")&amp;IF(IFERROR(IF(M262&gt;=0,0,1),1)=1,"Amount; ","")&amp;IF(IFERROR(IF(ISNUMBER(MATCH(N262,Lists!$B$2:$B$7,0)),0,1),1)=1,"Payment; ","")))</f>
        <v/>
      </c>
      <c r="R262" s="3" t="str">
        <f aca="false">IF(D262="","",IF(COUNTIFS($D$2:$D$701,D262,$E$2:$E$701,E262)&gt;1,"DUPLICATE","Unique"))</f>
        <v>Unique</v>
      </c>
    </row>
    <row r="263" customFormat="false" ht="15" hidden="false" customHeight="false" outlineLevel="0" collapsed="false">
      <c r="A263" s="3" t="n">
        <v>262</v>
      </c>
      <c r="B263" s="3" t="n">
        <v>6</v>
      </c>
      <c r="C263" s="3" t="s">
        <v>1950</v>
      </c>
      <c r="D263" s="3" t="s">
        <v>1951</v>
      </c>
      <c r="E263" s="3" t="s">
        <v>1952</v>
      </c>
      <c r="F263" s="3" t="s">
        <v>1953</v>
      </c>
      <c r="G263" s="3" t="s">
        <v>1954</v>
      </c>
      <c r="H263" s="3" t="s">
        <v>633</v>
      </c>
      <c r="I263" s="3" t="s">
        <v>76</v>
      </c>
      <c r="J263" s="3" t="s">
        <v>1955</v>
      </c>
      <c r="K263" s="3" t="s">
        <v>1956</v>
      </c>
      <c r="L263" s="3" t="s">
        <v>47</v>
      </c>
      <c r="M263" s="3" t="n">
        <v>2056.35</v>
      </c>
      <c r="N263" s="3" t="s">
        <v>43</v>
      </c>
      <c r="O263" s="3" t="n">
        <f aca="false">IFERROR(LEN(C263&amp;D263&amp;E263&amp;F263&amp;G263&amp;H263&amp;I263&amp;J263&amp;K263&amp;L263&amp;M263&amp;N263)/5,0)</f>
        <v>27.4</v>
      </c>
      <c r="P263" s="3" t="str">
        <f aca="false">IF(OR(D263="",C263=""),"",IF((IFERROR(IF(AND(TRIM(D263)=D263,LEN(D263)&gt;0),0,1),1)+IFERROR(IF(AND(LEN(E263)=10,ISNUMBER(VALUE(E263))),0,1),1)+IFERROR(IF(AND(ISNUMBER(SEARCH("@",F263)),ISNUMBER(SEARCH(".",F263))),0,1),1)+IFERROR(IF(AND(LEN(J263)=6,ISNUMBER(VALUE(J263))),0,1),1)+IFERROR(IF(ISNUMBER(MATCH(TRIM(I263),Lists!$A$2:$A$20,0)),0,1),1)+IFERROR(IF(AND(LEN(K263)=10,VALUE(LEFT(K263,FIND("/",K263)-1))&gt;=1,VALUE(LEFT(K263,FIND("/",K263)-1))&lt;=31,VALUE(LEFT(MID(K263,FIND("/",K263)+1,10),FIND("/",MID(K263,FIND("/",K263)+1,10))-1))&gt;=1,VALUE(LEFT(MID(K263,FIND("/",K263)+1,10),FIND("/",MID(K263,FIND("/",K263)+1,10))-1))&lt;=12,VALUE(LEFT(K263,FIND("/",K263)-1))&lt;=DAY(EOMONTH(DATE(VALUE(MID(MID(K263,FIND("/",K263)+1,10),FIND("/",MID(K263,FIND("/",K263)+1,10))+1,4)),VALUE(LEFT(MID(K263,FIND("/",K263)+1,10),FIND("/",MID(K263,FIND("/",K263)+1,10))-1)),1),0))),0,1),1)+IFERROR(IF(M263&gt;=0,0,1),1)+IFERROR(IF(ISNUMBER(MATCH(N263,Lists!$B$2:$B$7,0)),0,1),1))=0,"OK","ERROR"))</f>
        <v>OK</v>
      </c>
      <c r="Q263" s="3" t="str">
        <f aca="false">IF(D263="","",TRIM(IF(IFERROR(IF(AND(TRIM(D263)=D263,LEN(D263)&gt;0),0,1),1)=1,"Name; ","")&amp;IF(IFERROR(IF(AND(LEN(E263)=10,ISNUMBER(VALUE(E263))),0,1),1)=1,"Phone; ","")&amp;IF(IFERROR(IF(AND(ISNUMBER(SEARCH("@",F263)),ISNUMBER(SEARCH(".",F263))),0,1),1)=1,"Email; ","")&amp;IF(IFERROR(IF(AND(LEN(J263)=6,ISNUMBER(VALUE(J263))),0,1),1)=1,"Pincode; ","")&amp;IF(IFERROR(IF(ISNUMBER(MATCH(TRIM(I263),Lists!$A$2:$A$20,0)),0,1),1)=1,"State; ","")&amp;IF(IFERROR(IF(AND(LEN(K263)=10,VALUE(LEFT(K263,FIND("/",K263)-1))&gt;=1,VALUE(LEFT(K263,FIND("/",K263)-1))&lt;=31,VALUE(LEFT(MID(K263,FIND("/",K263)+1,10),FIND("/",MID(K263,FIND("/",K263)+1,10))-1))&gt;=1,VALUE(LEFT(MID(K263,FIND("/",K263)+1,10),FIND("/",MID(K263,FIND("/",K263)+1,10))-1))&lt;=12,VALUE(LEFT(K263,FIND("/",K263)-1))&lt;=DAY(EOMONTH(DATE(VALUE(MID(MID(K263,FIND("/",K263)+1,10),FIND("/",MID(K263,FIND("/",K263)+1,10))+1,4)),VALUE(LEFT(MID(K263,FIND("/",K263)+1,10),FIND("/",MID(K263,FIND("/",K263)+1,10))-1)),1),0))),0,1),1)=1,"Date; ","")&amp;IF(IFERROR(IF(M263&gt;=0,0,1),1)=1,"Amount; ","")&amp;IF(IFERROR(IF(ISNUMBER(MATCH(N263,Lists!$B$2:$B$7,0)),0,1),1)=1,"Payment; ","")))</f>
        <v/>
      </c>
      <c r="R263" s="3" t="str">
        <f aca="false">IF(D263="","",IF(COUNTIFS($D$2:$D$701,D263,$E$2:$E$701,E263)&gt;1,"DUPLICATE","Unique"))</f>
        <v>Unique</v>
      </c>
    </row>
    <row r="264" customFormat="false" ht="15" hidden="false" customHeight="false" outlineLevel="0" collapsed="false">
      <c r="A264" s="3" t="n">
        <v>263</v>
      </c>
      <c r="B264" s="3" t="n">
        <v>6</v>
      </c>
      <c r="C264" s="3" t="s">
        <v>1957</v>
      </c>
      <c r="D264" s="3" t="s">
        <v>1958</v>
      </c>
      <c r="E264" s="3" t="s">
        <v>1959</v>
      </c>
      <c r="F264" s="3" t="s">
        <v>1960</v>
      </c>
      <c r="G264" s="3" t="s">
        <v>1961</v>
      </c>
      <c r="H264" s="3" t="s">
        <v>510</v>
      </c>
      <c r="I264" s="3" t="s">
        <v>57</v>
      </c>
      <c r="J264" s="3" t="s">
        <v>1962</v>
      </c>
      <c r="K264" s="3" t="s">
        <v>1963</v>
      </c>
      <c r="L264" s="3" t="s">
        <v>64</v>
      </c>
      <c r="M264" s="3" t="n">
        <v>302.85</v>
      </c>
      <c r="N264" s="3" t="s">
        <v>52</v>
      </c>
      <c r="O264" s="3" t="n">
        <f aca="false">IFERROR(LEN(C264&amp;D264&amp;E264&amp;F264&amp;G264&amp;H264&amp;I264&amp;J264&amp;K264&amp;L264&amp;M264&amp;N264)/5,0)</f>
        <v>26.2</v>
      </c>
      <c r="P264" s="3" t="str">
        <f aca="false">IF(OR(D264="",C264=""),"",IF((IFERROR(IF(AND(TRIM(D264)=D264,LEN(D264)&gt;0),0,1),1)+IFERROR(IF(AND(LEN(E264)=10,ISNUMBER(VALUE(E264))),0,1),1)+IFERROR(IF(AND(ISNUMBER(SEARCH("@",F264)),ISNUMBER(SEARCH(".",F264))),0,1),1)+IFERROR(IF(AND(LEN(J264)=6,ISNUMBER(VALUE(J264))),0,1),1)+IFERROR(IF(ISNUMBER(MATCH(TRIM(I264),Lists!$A$2:$A$20,0)),0,1),1)+IFERROR(IF(AND(LEN(K264)=10,VALUE(LEFT(K264,FIND("/",K264)-1))&gt;=1,VALUE(LEFT(K264,FIND("/",K264)-1))&lt;=31,VALUE(LEFT(MID(K264,FIND("/",K264)+1,10),FIND("/",MID(K264,FIND("/",K264)+1,10))-1))&gt;=1,VALUE(LEFT(MID(K264,FIND("/",K264)+1,10),FIND("/",MID(K264,FIND("/",K264)+1,10))-1))&lt;=12,VALUE(LEFT(K264,FIND("/",K264)-1))&lt;=DAY(EOMONTH(DATE(VALUE(MID(MID(K264,FIND("/",K264)+1,10),FIND("/",MID(K264,FIND("/",K264)+1,10))+1,4)),VALUE(LEFT(MID(K264,FIND("/",K264)+1,10),FIND("/",MID(K264,FIND("/",K264)+1,10))-1)),1),0))),0,1),1)+IFERROR(IF(M264&gt;=0,0,1),1)+IFERROR(IF(ISNUMBER(MATCH(N264,Lists!$B$2:$B$7,0)),0,1),1))=0,"OK","ERROR"))</f>
        <v>OK</v>
      </c>
      <c r="Q264" s="3" t="str">
        <f aca="false">IF(D264="","",TRIM(IF(IFERROR(IF(AND(TRIM(D264)=D264,LEN(D264)&gt;0),0,1),1)=1,"Name; ","")&amp;IF(IFERROR(IF(AND(LEN(E264)=10,ISNUMBER(VALUE(E264))),0,1),1)=1,"Phone; ","")&amp;IF(IFERROR(IF(AND(ISNUMBER(SEARCH("@",F264)),ISNUMBER(SEARCH(".",F264))),0,1),1)=1,"Email; ","")&amp;IF(IFERROR(IF(AND(LEN(J264)=6,ISNUMBER(VALUE(J264))),0,1),1)=1,"Pincode; ","")&amp;IF(IFERROR(IF(ISNUMBER(MATCH(TRIM(I264),Lists!$A$2:$A$20,0)),0,1),1)=1,"State; ","")&amp;IF(IFERROR(IF(AND(LEN(K264)=10,VALUE(LEFT(K264,FIND("/",K264)-1))&gt;=1,VALUE(LEFT(K264,FIND("/",K264)-1))&lt;=31,VALUE(LEFT(MID(K264,FIND("/",K264)+1,10),FIND("/",MID(K264,FIND("/",K264)+1,10))-1))&gt;=1,VALUE(LEFT(MID(K264,FIND("/",K264)+1,10),FIND("/",MID(K264,FIND("/",K264)+1,10))-1))&lt;=12,VALUE(LEFT(K264,FIND("/",K264)-1))&lt;=DAY(EOMONTH(DATE(VALUE(MID(MID(K264,FIND("/",K264)+1,10),FIND("/",MID(K264,FIND("/",K264)+1,10))+1,4)),VALUE(LEFT(MID(K264,FIND("/",K264)+1,10),FIND("/",MID(K264,FIND("/",K264)+1,10))-1)),1),0))),0,1),1)=1,"Date; ","")&amp;IF(IFERROR(IF(M264&gt;=0,0,1),1)=1,"Amount; ","")&amp;IF(IFERROR(IF(ISNUMBER(MATCH(N264,Lists!$B$2:$B$7,0)),0,1),1)=1,"Payment; ","")))</f>
        <v/>
      </c>
      <c r="R264" s="3" t="str">
        <f aca="false">IF(D264="","",IF(COUNTIFS($D$2:$D$701,D264,$E$2:$E$701,E264)&gt;1,"DUPLICATE","Unique"))</f>
        <v>Unique</v>
      </c>
    </row>
    <row r="265" customFormat="false" ht="15" hidden="false" customHeight="false" outlineLevel="0" collapsed="false">
      <c r="A265" s="3" t="n">
        <v>264</v>
      </c>
      <c r="B265" s="3" t="n">
        <v>6</v>
      </c>
      <c r="C265" s="3" t="s">
        <v>1964</v>
      </c>
      <c r="D265" s="3" t="s">
        <v>1965</v>
      </c>
      <c r="E265" s="3" t="s">
        <v>1966</v>
      </c>
      <c r="F265" s="3" t="s">
        <v>1967</v>
      </c>
      <c r="G265" s="3" t="s">
        <v>1968</v>
      </c>
      <c r="H265" s="3" t="s">
        <v>149</v>
      </c>
      <c r="I265" s="3" t="s">
        <v>61</v>
      </c>
      <c r="J265" s="3" t="s">
        <v>1969</v>
      </c>
      <c r="K265" s="3" t="s">
        <v>1970</v>
      </c>
      <c r="L265" s="3" t="s">
        <v>47</v>
      </c>
      <c r="M265" s="3" t="n">
        <v>2748.1</v>
      </c>
      <c r="N265" s="3" t="s">
        <v>46</v>
      </c>
      <c r="O265" s="3" t="n">
        <f aca="false">IFERROR(LEN(C265&amp;D265&amp;E265&amp;F265&amp;G265&amp;H265&amp;I265&amp;J265&amp;K265&amp;L265&amp;M265&amp;N265)/5,0)</f>
        <v>28.6</v>
      </c>
      <c r="P265" s="3" t="str">
        <f aca="false">IF(OR(D265="",C265=""),"",IF((IFERROR(IF(AND(TRIM(D265)=D265,LEN(D265)&gt;0),0,1),1)+IFERROR(IF(AND(LEN(E265)=10,ISNUMBER(VALUE(E265))),0,1),1)+IFERROR(IF(AND(ISNUMBER(SEARCH("@",F265)),ISNUMBER(SEARCH(".",F265))),0,1),1)+IFERROR(IF(AND(LEN(J265)=6,ISNUMBER(VALUE(J265))),0,1),1)+IFERROR(IF(ISNUMBER(MATCH(TRIM(I265),Lists!$A$2:$A$20,0)),0,1),1)+IFERROR(IF(AND(LEN(K265)=10,VALUE(LEFT(K265,FIND("/",K265)-1))&gt;=1,VALUE(LEFT(K265,FIND("/",K265)-1))&lt;=31,VALUE(LEFT(MID(K265,FIND("/",K265)+1,10),FIND("/",MID(K265,FIND("/",K265)+1,10))-1))&gt;=1,VALUE(LEFT(MID(K265,FIND("/",K265)+1,10),FIND("/",MID(K265,FIND("/",K265)+1,10))-1))&lt;=12,VALUE(LEFT(K265,FIND("/",K265)-1))&lt;=DAY(EOMONTH(DATE(VALUE(MID(MID(K265,FIND("/",K265)+1,10),FIND("/",MID(K265,FIND("/",K265)+1,10))+1,4)),VALUE(LEFT(MID(K265,FIND("/",K265)+1,10),FIND("/",MID(K265,FIND("/",K265)+1,10))-1)),1),0))),0,1),1)+IFERROR(IF(M265&gt;=0,0,1),1)+IFERROR(IF(ISNUMBER(MATCH(N265,Lists!$B$2:$B$7,0)),0,1),1))=0,"OK","ERROR"))</f>
        <v>OK</v>
      </c>
      <c r="Q265" s="3" t="str">
        <f aca="false">IF(D265="","",TRIM(IF(IFERROR(IF(AND(TRIM(D265)=D265,LEN(D265)&gt;0),0,1),1)=1,"Name; ","")&amp;IF(IFERROR(IF(AND(LEN(E265)=10,ISNUMBER(VALUE(E265))),0,1),1)=1,"Phone; ","")&amp;IF(IFERROR(IF(AND(ISNUMBER(SEARCH("@",F265)),ISNUMBER(SEARCH(".",F265))),0,1),1)=1,"Email; ","")&amp;IF(IFERROR(IF(AND(LEN(J265)=6,ISNUMBER(VALUE(J265))),0,1),1)=1,"Pincode; ","")&amp;IF(IFERROR(IF(ISNUMBER(MATCH(TRIM(I265),Lists!$A$2:$A$20,0)),0,1),1)=1,"State; ","")&amp;IF(IFERROR(IF(AND(LEN(K265)=10,VALUE(LEFT(K265,FIND("/",K265)-1))&gt;=1,VALUE(LEFT(K265,FIND("/",K265)-1))&lt;=31,VALUE(LEFT(MID(K265,FIND("/",K265)+1,10),FIND("/",MID(K265,FIND("/",K265)+1,10))-1))&gt;=1,VALUE(LEFT(MID(K265,FIND("/",K265)+1,10),FIND("/",MID(K265,FIND("/",K265)+1,10))-1))&lt;=12,VALUE(LEFT(K265,FIND("/",K265)-1))&lt;=DAY(EOMONTH(DATE(VALUE(MID(MID(K265,FIND("/",K265)+1,10),FIND("/",MID(K265,FIND("/",K265)+1,10))+1,4)),VALUE(LEFT(MID(K265,FIND("/",K265)+1,10),FIND("/",MID(K265,FIND("/",K265)+1,10))-1)),1),0))),0,1),1)=1,"Date; ","")&amp;IF(IFERROR(IF(M265&gt;=0,0,1),1)=1,"Amount; ","")&amp;IF(IFERROR(IF(ISNUMBER(MATCH(N265,Lists!$B$2:$B$7,0)),0,1),1)=1,"Payment; ","")))</f>
        <v/>
      </c>
      <c r="R265" s="3" t="str">
        <f aca="false">IF(D265="","",IF(COUNTIFS($D$2:$D$701,D265,$E$2:$E$701,E265)&gt;1,"DUPLICATE","Unique"))</f>
        <v>Unique</v>
      </c>
    </row>
    <row r="266" customFormat="false" ht="15" hidden="false" customHeight="false" outlineLevel="0" collapsed="false">
      <c r="A266" s="3" t="n">
        <v>265</v>
      </c>
      <c r="B266" s="3" t="n">
        <v>6</v>
      </c>
      <c r="C266" s="3" t="s">
        <v>1971</v>
      </c>
      <c r="D266" s="3" t="s">
        <v>1972</v>
      </c>
      <c r="E266" s="3" t="s">
        <v>1973</v>
      </c>
      <c r="F266" s="3" t="s">
        <v>1974</v>
      </c>
      <c r="G266" s="3" t="s">
        <v>1975</v>
      </c>
      <c r="H266" s="3" t="s">
        <v>826</v>
      </c>
      <c r="I266" s="3" t="s">
        <v>78</v>
      </c>
      <c r="J266" s="3" t="s">
        <v>1976</v>
      </c>
      <c r="K266" s="3" t="s">
        <v>1977</v>
      </c>
      <c r="L266" s="3" t="s">
        <v>56</v>
      </c>
      <c r="M266" s="3" t="n">
        <v>8526.43</v>
      </c>
      <c r="N266" s="3" t="s">
        <v>52</v>
      </c>
      <c r="O266" s="3" t="n">
        <f aca="false">IFERROR(LEN(C266&amp;D266&amp;E266&amp;F266&amp;G266&amp;H266&amp;I266&amp;J266&amp;K266&amp;L266&amp;M266&amp;N266)/5,0)</f>
        <v>28.8</v>
      </c>
      <c r="P266" s="3" t="str">
        <f aca="false">IF(OR(D266="",C266=""),"",IF((IFERROR(IF(AND(TRIM(D266)=D266,LEN(D266)&gt;0),0,1),1)+IFERROR(IF(AND(LEN(E266)=10,ISNUMBER(VALUE(E266))),0,1),1)+IFERROR(IF(AND(ISNUMBER(SEARCH("@",F266)),ISNUMBER(SEARCH(".",F266))),0,1),1)+IFERROR(IF(AND(LEN(J266)=6,ISNUMBER(VALUE(J266))),0,1),1)+IFERROR(IF(ISNUMBER(MATCH(TRIM(I266),Lists!$A$2:$A$20,0)),0,1),1)+IFERROR(IF(AND(LEN(K266)=10,VALUE(LEFT(K266,FIND("/",K266)-1))&gt;=1,VALUE(LEFT(K266,FIND("/",K266)-1))&lt;=31,VALUE(LEFT(MID(K266,FIND("/",K266)+1,10),FIND("/",MID(K266,FIND("/",K266)+1,10))-1))&gt;=1,VALUE(LEFT(MID(K266,FIND("/",K266)+1,10),FIND("/",MID(K266,FIND("/",K266)+1,10))-1))&lt;=12,VALUE(LEFT(K266,FIND("/",K266)-1))&lt;=DAY(EOMONTH(DATE(VALUE(MID(MID(K266,FIND("/",K266)+1,10),FIND("/",MID(K266,FIND("/",K266)+1,10))+1,4)),VALUE(LEFT(MID(K266,FIND("/",K266)+1,10),FIND("/",MID(K266,FIND("/",K266)+1,10))-1)),1),0))),0,1),1)+IFERROR(IF(M266&gt;=0,0,1),1)+IFERROR(IF(ISNUMBER(MATCH(N266,Lists!$B$2:$B$7,0)),0,1),1))=0,"OK","ERROR"))</f>
        <v>OK</v>
      </c>
      <c r="Q266" s="3" t="str">
        <f aca="false">IF(D266="","",TRIM(IF(IFERROR(IF(AND(TRIM(D266)=D266,LEN(D266)&gt;0),0,1),1)=1,"Name; ","")&amp;IF(IFERROR(IF(AND(LEN(E266)=10,ISNUMBER(VALUE(E266))),0,1),1)=1,"Phone; ","")&amp;IF(IFERROR(IF(AND(ISNUMBER(SEARCH("@",F266)),ISNUMBER(SEARCH(".",F266))),0,1),1)=1,"Email; ","")&amp;IF(IFERROR(IF(AND(LEN(J266)=6,ISNUMBER(VALUE(J266))),0,1),1)=1,"Pincode; ","")&amp;IF(IFERROR(IF(ISNUMBER(MATCH(TRIM(I266),Lists!$A$2:$A$20,0)),0,1),1)=1,"State; ","")&amp;IF(IFERROR(IF(AND(LEN(K266)=10,VALUE(LEFT(K266,FIND("/",K266)-1))&gt;=1,VALUE(LEFT(K266,FIND("/",K266)-1))&lt;=31,VALUE(LEFT(MID(K266,FIND("/",K266)+1,10),FIND("/",MID(K266,FIND("/",K266)+1,10))-1))&gt;=1,VALUE(LEFT(MID(K266,FIND("/",K266)+1,10),FIND("/",MID(K266,FIND("/",K266)+1,10))-1))&lt;=12,VALUE(LEFT(K266,FIND("/",K266)-1))&lt;=DAY(EOMONTH(DATE(VALUE(MID(MID(K266,FIND("/",K266)+1,10),FIND("/",MID(K266,FIND("/",K266)+1,10))+1,4)),VALUE(LEFT(MID(K266,FIND("/",K266)+1,10),FIND("/",MID(K266,FIND("/",K266)+1,10))-1)),1),0))),0,1),1)=1,"Date; ","")&amp;IF(IFERROR(IF(M266&gt;=0,0,1),1)=1,"Amount; ","")&amp;IF(IFERROR(IF(ISNUMBER(MATCH(N266,Lists!$B$2:$B$7,0)),0,1),1)=1,"Payment; ","")))</f>
        <v/>
      </c>
      <c r="R266" s="3" t="str">
        <f aca="false">IF(D266="","",IF(COUNTIFS($D$2:$D$701,D266,$E$2:$E$701,E266)&gt;1,"DUPLICATE","Unique"))</f>
        <v>Unique</v>
      </c>
    </row>
    <row r="267" customFormat="false" ht="15" hidden="false" customHeight="false" outlineLevel="0" collapsed="false">
      <c r="A267" s="3" t="n">
        <v>266</v>
      </c>
      <c r="B267" s="3" t="n">
        <v>6</v>
      </c>
      <c r="C267" s="3" t="s">
        <v>1978</v>
      </c>
      <c r="D267" s="3" t="s">
        <v>1979</v>
      </c>
      <c r="E267" s="3" t="s">
        <v>1980</v>
      </c>
      <c r="F267" s="3" t="s">
        <v>1981</v>
      </c>
      <c r="G267" s="3" t="s">
        <v>1982</v>
      </c>
      <c r="H267" s="3" t="s">
        <v>863</v>
      </c>
      <c r="I267" s="3" t="s">
        <v>57</v>
      </c>
      <c r="J267" s="3" t="s">
        <v>1983</v>
      </c>
      <c r="K267" s="3" t="s">
        <v>1984</v>
      </c>
      <c r="L267" s="3" t="s">
        <v>64</v>
      </c>
      <c r="M267" s="3" t="n">
        <v>8042.07</v>
      </c>
      <c r="N267" s="3" t="s">
        <v>55</v>
      </c>
      <c r="O267" s="3" t="n">
        <f aca="false">IFERROR(LEN(C267&amp;D267&amp;E267&amp;F267&amp;G267&amp;H267&amp;I267&amp;J267&amp;K267&amp;L267&amp;M267&amp;N267)/5,0)</f>
        <v>23.8</v>
      </c>
      <c r="P267" s="3" t="str">
        <f aca="false">IF(OR(D267="",C267=""),"",IF((IFERROR(IF(AND(TRIM(D267)=D267,LEN(D267)&gt;0),0,1),1)+IFERROR(IF(AND(LEN(E267)=10,ISNUMBER(VALUE(E267))),0,1),1)+IFERROR(IF(AND(ISNUMBER(SEARCH("@",F267)),ISNUMBER(SEARCH(".",F267))),0,1),1)+IFERROR(IF(AND(LEN(J267)=6,ISNUMBER(VALUE(J267))),0,1),1)+IFERROR(IF(ISNUMBER(MATCH(TRIM(I267),Lists!$A$2:$A$20,0)),0,1),1)+IFERROR(IF(AND(LEN(K267)=10,VALUE(LEFT(K267,FIND("/",K267)-1))&gt;=1,VALUE(LEFT(K267,FIND("/",K267)-1))&lt;=31,VALUE(LEFT(MID(K267,FIND("/",K267)+1,10),FIND("/",MID(K267,FIND("/",K267)+1,10))-1))&gt;=1,VALUE(LEFT(MID(K267,FIND("/",K267)+1,10),FIND("/",MID(K267,FIND("/",K267)+1,10))-1))&lt;=12,VALUE(LEFT(K267,FIND("/",K267)-1))&lt;=DAY(EOMONTH(DATE(VALUE(MID(MID(K267,FIND("/",K267)+1,10),FIND("/",MID(K267,FIND("/",K267)+1,10))+1,4)),VALUE(LEFT(MID(K267,FIND("/",K267)+1,10),FIND("/",MID(K267,FIND("/",K267)+1,10))-1)),1),0))),0,1),1)+IFERROR(IF(M267&gt;=0,0,1),1)+IFERROR(IF(ISNUMBER(MATCH(N267,Lists!$B$2:$B$7,0)),0,1),1))=0,"OK","ERROR"))</f>
        <v>OK</v>
      </c>
      <c r="Q267" s="3" t="str">
        <f aca="false">IF(D267="","",TRIM(IF(IFERROR(IF(AND(TRIM(D267)=D267,LEN(D267)&gt;0),0,1),1)=1,"Name; ","")&amp;IF(IFERROR(IF(AND(LEN(E267)=10,ISNUMBER(VALUE(E267))),0,1),1)=1,"Phone; ","")&amp;IF(IFERROR(IF(AND(ISNUMBER(SEARCH("@",F267)),ISNUMBER(SEARCH(".",F267))),0,1),1)=1,"Email; ","")&amp;IF(IFERROR(IF(AND(LEN(J267)=6,ISNUMBER(VALUE(J267))),0,1),1)=1,"Pincode; ","")&amp;IF(IFERROR(IF(ISNUMBER(MATCH(TRIM(I267),Lists!$A$2:$A$20,0)),0,1),1)=1,"State; ","")&amp;IF(IFERROR(IF(AND(LEN(K267)=10,VALUE(LEFT(K267,FIND("/",K267)-1))&gt;=1,VALUE(LEFT(K267,FIND("/",K267)-1))&lt;=31,VALUE(LEFT(MID(K267,FIND("/",K267)+1,10),FIND("/",MID(K267,FIND("/",K267)+1,10))-1))&gt;=1,VALUE(LEFT(MID(K267,FIND("/",K267)+1,10),FIND("/",MID(K267,FIND("/",K267)+1,10))-1))&lt;=12,VALUE(LEFT(K267,FIND("/",K267)-1))&lt;=DAY(EOMONTH(DATE(VALUE(MID(MID(K267,FIND("/",K267)+1,10),FIND("/",MID(K267,FIND("/",K267)+1,10))+1,4)),VALUE(LEFT(MID(K267,FIND("/",K267)+1,10),FIND("/",MID(K267,FIND("/",K267)+1,10))-1)),1),0))),0,1),1)=1,"Date; ","")&amp;IF(IFERROR(IF(M267&gt;=0,0,1),1)=1,"Amount; ","")&amp;IF(IFERROR(IF(ISNUMBER(MATCH(N267,Lists!$B$2:$B$7,0)),0,1),1)=1,"Payment; ","")))</f>
        <v/>
      </c>
      <c r="R267" s="3" t="str">
        <f aca="false">IF(D267="","",IF(COUNTIFS($D$2:$D$701,D267,$E$2:$E$701,E267)&gt;1,"DUPLICATE","Unique"))</f>
        <v>Unique</v>
      </c>
    </row>
    <row r="268" customFormat="false" ht="15" hidden="false" customHeight="false" outlineLevel="0" collapsed="false">
      <c r="A268" s="3" t="n">
        <v>267</v>
      </c>
      <c r="B268" s="3" t="n">
        <v>6</v>
      </c>
      <c r="C268" s="3" t="s">
        <v>1985</v>
      </c>
      <c r="D268" s="3" t="s">
        <v>1986</v>
      </c>
      <c r="E268" s="3" t="s">
        <v>1987</v>
      </c>
      <c r="F268" s="3" t="s">
        <v>1988</v>
      </c>
      <c r="G268" s="3" t="s">
        <v>1989</v>
      </c>
      <c r="H268" s="3" t="s">
        <v>340</v>
      </c>
      <c r="I268" s="3" t="s">
        <v>75</v>
      </c>
      <c r="J268" s="3" t="s">
        <v>1990</v>
      </c>
      <c r="K268" s="3" t="s">
        <v>1991</v>
      </c>
      <c r="L268" s="3" t="s">
        <v>70</v>
      </c>
      <c r="M268" s="3" t="n">
        <v>10271.56</v>
      </c>
      <c r="N268" s="3" t="s">
        <v>40</v>
      </c>
      <c r="O268" s="3" t="n">
        <f aca="false">IFERROR(LEN(C268&amp;D268&amp;E268&amp;F268&amp;G268&amp;H268&amp;I268&amp;J268&amp;K268&amp;L268&amp;M268&amp;N268)/5,0)</f>
        <v>25</v>
      </c>
      <c r="P268" s="3" t="str">
        <f aca="false">IF(OR(D268="",C268=""),"",IF((IFERROR(IF(AND(TRIM(D268)=D268,LEN(D268)&gt;0),0,1),1)+IFERROR(IF(AND(LEN(E268)=10,ISNUMBER(VALUE(E268))),0,1),1)+IFERROR(IF(AND(ISNUMBER(SEARCH("@",F268)),ISNUMBER(SEARCH(".",F268))),0,1),1)+IFERROR(IF(AND(LEN(J268)=6,ISNUMBER(VALUE(J268))),0,1),1)+IFERROR(IF(ISNUMBER(MATCH(TRIM(I268),Lists!$A$2:$A$20,0)),0,1),1)+IFERROR(IF(AND(LEN(K268)=10,VALUE(LEFT(K268,FIND("/",K268)-1))&gt;=1,VALUE(LEFT(K268,FIND("/",K268)-1))&lt;=31,VALUE(LEFT(MID(K268,FIND("/",K268)+1,10),FIND("/",MID(K268,FIND("/",K268)+1,10))-1))&gt;=1,VALUE(LEFT(MID(K268,FIND("/",K268)+1,10),FIND("/",MID(K268,FIND("/",K268)+1,10))-1))&lt;=12,VALUE(LEFT(K268,FIND("/",K268)-1))&lt;=DAY(EOMONTH(DATE(VALUE(MID(MID(K268,FIND("/",K268)+1,10),FIND("/",MID(K268,FIND("/",K268)+1,10))+1,4)),VALUE(LEFT(MID(K268,FIND("/",K268)+1,10),FIND("/",MID(K268,FIND("/",K268)+1,10))-1)),1),0))),0,1),1)+IFERROR(IF(M268&gt;=0,0,1),1)+IFERROR(IF(ISNUMBER(MATCH(N268,Lists!$B$2:$B$7,0)),0,1),1))=0,"OK","ERROR"))</f>
        <v>OK</v>
      </c>
      <c r="Q268" s="3" t="str">
        <f aca="false">IF(D268="","",TRIM(IF(IFERROR(IF(AND(TRIM(D268)=D268,LEN(D268)&gt;0),0,1),1)=1,"Name; ","")&amp;IF(IFERROR(IF(AND(LEN(E268)=10,ISNUMBER(VALUE(E268))),0,1),1)=1,"Phone; ","")&amp;IF(IFERROR(IF(AND(ISNUMBER(SEARCH("@",F268)),ISNUMBER(SEARCH(".",F268))),0,1),1)=1,"Email; ","")&amp;IF(IFERROR(IF(AND(LEN(J268)=6,ISNUMBER(VALUE(J268))),0,1),1)=1,"Pincode; ","")&amp;IF(IFERROR(IF(ISNUMBER(MATCH(TRIM(I268),Lists!$A$2:$A$20,0)),0,1),1)=1,"State; ","")&amp;IF(IFERROR(IF(AND(LEN(K268)=10,VALUE(LEFT(K268,FIND("/",K268)-1))&gt;=1,VALUE(LEFT(K268,FIND("/",K268)-1))&lt;=31,VALUE(LEFT(MID(K268,FIND("/",K268)+1,10),FIND("/",MID(K268,FIND("/",K268)+1,10))-1))&gt;=1,VALUE(LEFT(MID(K268,FIND("/",K268)+1,10),FIND("/",MID(K268,FIND("/",K268)+1,10))-1))&lt;=12,VALUE(LEFT(K268,FIND("/",K268)-1))&lt;=DAY(EOMONTH(DATE(VALUE(MID(MID(K268,FIND("/",K268)+1,10),FIND("/",MID(K268,FIND("/",K268)+1,10))+1,4)),VALUE(LEFT(MID(K268,FIND("/",K268)+1,10),FIND("/",MID(K268,FIND("/",K268)+1,10))-1)),1),0))),0,1),1)=1,"Date; ","")&amp;IF(IFERROR(IF(M268&gt;=0,0,1),1)=1,"Amount; ","")&amp;IF(IFERROR(IF(ISNUMBER(MATCH(N268,Lists!$B$2:$B$7,0)),0,1),1)=1,"Payment; ","")))</f>
        <v/>
      </c>
      <c r="R268" s="3" t="str">
        <f aca="false">IF(D268="","",IF(COUNTIFS($D$2:$D$701,D268,$E$2:$E$701,E268)&gt;1,"DUPLICATE","Unique"))</f>
        <v>Unique</v>
      </c>
    </row>
    <row r="269" customFormat="false" ht="15" hidden="false" customHeight="false" outlineLevel="0" collapsed="false">
      <c r="A269" s="3" t="n">
        <v>268</v>
      </c>
      <c r="B269" s="3" t="n">
        <v>6</v>
      </c>
      <c r="C269" s="3" t="s">
        <v>1992</v>
      </c>
      <c r="D269" s="3" t="s">
        <v>1993</v>
      </c>
      <c r="E269" s="3" t="s">
        <v>1994</v>
      </c>
      <c r="F269" s="3" t="s">
        <v>1995</v>
      </c>
      <c r="G269" s="3" t="s">
        <v>1996</v>
      </c>
      <c r="H269" s="3" t="s">
        <v>863</v>
      </c>
      <c r="I269" s="3" t="s">
        <v>57</v>
      </c>
      <c r="J269" s="3" t="s">
        <v>1997</v>
      </c>
      <c r="K269" s="3" t="s">
        <v>613</v>
      </c>
      <c r="L269" s="3" t="s">
        <v>74</v>
      </c>
      <c r="M269" s="3" t="n">
        <v>10824.07</v>
      </c>
      <c r="N269" s="3" t="s">
        <v>49</v>
      </c>
      <c r="O269" s="3" t="n">
        <f aca="false">IFERROR(LEN(C269&amp;D269&amp;E269&amp;F269&amp;G269&amp;H269&amp;I269&amp;J269&amp;K269&amp;L269&amp;M269&amp;N269)/5,0)</f>
        <v>25.4</v>
      </c>
      <c r="P269" s="3" t="str">
        <f aca="false">IF(OR(D269="",C269=""),"",IF((IFERROR(IF(AND(TRIM(D269)=D269,LEN(D269)&gt;0),0,1),1)+IFERROR(IF(AND(LEN(E269)=10,ISNUMBER(VALUE(E269))),0,1),1)+IFERROR(IF(AND(ISNUMBER(SEARCH("@",F269)),ISNUMBER(SEARCH(".",F269))),0,1),1)+IFERROR(IF(AND(LEN(J269)=6,ISNUMBER(VALUE(J269))),0,1),1)+IFERROR(IF(ISNUMBER(MATCH(TRIM(I269),Lists!$A$2:$A$20,0)),0,1),1)+IFERROR(IF(AND(LEN(K269)=10,VALUE(LEFT(K269,FIND("/",K269)-1))&gt;=1,VALUE(LEFT(K269,FIND("/",K269)-1))&lt;=31,VALUE(LEFT(MID(K269,FIND("/",K269)+1,10),FIND("/",MID(K269,FIND("/",K269)+1,10))-1))&gt;=1,VALUE(LEFT(MID(K269,FIND("/",K269)+1,10),FIND("/",MID(K269,FIND("/",K269)+1,10))-1))&lt;=12,VALUE(LEFT(K269,FIND("/",K269)-1))&lt;=DAY(EOMONTH(DATE(VALUE(MID(MID(K269,FIND("/",K269)+1,10),FIND("/",MID(K269,FIND("/",K269)+1,10))+1,4)),VALUE(LEFT(MID(K269,FIND("/",K269)+1,10),FIND("/",MID(K269,FIND("/",K269)+1,10))-1)),1),0))),0,1),1)+IFERROR(IF(M269&gt;=0,0,1),1)+IFERROR(IF(ISNUMBER(MATCH(N269,Lists!$B$2:$B$7,0)),0,1),1))=0,"OK","ERROR"))</f>
        <v>OK</v>
      </c>
      <c r="Q269" s="3" t="str">
        <f aca="false">IF(D269="","",TRIM(IF(IFERROR(IF(AND(TRIM(D269)=D269,LEN(D269)&gt;0),0,1),1)=1,"Name; ","")&amp;IF(IFERROR(IF(AND(LEN(E269)=10,ISNUMBER(VALUE(E269))),0,1),1)=1,"Phone; ","")&amp;IF(IFERROR(IF(AND(ISNUMBER(SEARCH("@",F269)),ISNUMBER(SEARCH(".",F269))),0,1),1)=1,"Email; ","")&amp;IF(IFERROR(IF(AND(LEN(J269)=6,ISNUMBER(VALUE(J269))),0,1),1)=1,"Pincode; ","")&amp;IF(IFERROR(IF(ISNUMBER(MATCH(TRIM(I269),Lists!$A$2:$A$20,0)),0,1),1)=1,"State; ","")&amp;IF(IFERROR(IF(AND(LEN(K269)=10,VALUE(LEFT(K269,FIND("/",K269)-1))&gt;=1,VALUE(LEFT(K269,FIND("/",K269)-1))&lt;=31,VALUE(LEFT(MID(K269,FIND("/",K269)+1,10),FIND("/",MID(K269,FIND("/",K269)+1,10))-1))&gt;=1,VALUE(LEFT(MID(K269,FIND("/",K269)+1,10),FIND("/",MID(K269,FIND("/",K269)+1,10))-1))&lt;=12,VALUE(LEFT(K269,FIND("/",K269)-1))&lt;=DAY(EOMONTH(DATE(VALUE(MID(MID(K269,FIND("/",K269)+1,10),FIND("/",MID(K269,FIND("/",K269)+1,10))+1,4)),VALUE(LEFT(MID(K269,FIND("/",K269)+1,10),FIND("/",MID(K269,FIND("/",K269)+1,10))-1)),1),0))),0,1),1)=1,"Date; ","")&amp;IF(IFERROR(IF(M269&gt;=0,0,1),1)=1,"Amount; ","")&amp;IF(IFERROR(IF(ISNUMBER(MATCH(N269,Lists!$B$2:$B$7,0)),0,1),1)=1,"Payment; ","")))</f>
        <v/>
      </c>
      <c r="R269" s="3" t="str">
        <f aca="false">IF(D269="","",IF(COUNTIFS($D$2:$D$701,D269,$E$2:$E$701,E269)&gt;1,"DUPLICATE","Unique"))</f>
        <v>Unique</v>
      </c>
    </row>
    <row r="270" customFormat="false" ht="15" hidden="false" customHeight="false" outlineLevel="0" collapsed="false">
      <c r="A270" s="3" t="n">
        <v>269</v>
      </c>
      <c r="B270" s="3" t="n">
        <v>6</v>
      </c>
      <c r="C270" s="3" t="s">
        <v>1998</v>
      </c>
      <c r="D270" s="3" t="s">
        <v>1999</v>
      </c>
      <c r="E270" s="3" t="s">
        <v>2000</v>
      </c>
      <c r="F270" s="3" t="s">
        <v>2001</v>
      </c>
      <c r="G270" s="3" t="s">
        <v>2002</v>
      </c>
      <c r="H270" s="3" t="s">
        <v>370</v>
      </c>
      <c r="I270" s="3" t="s">
        <v>42</v>
      </c>
      <c r="J270" s="3" t="s">
        <v>2003</v>
      </c>
      <c r="K270" s="3" t="s">
        <v>2004</v>
      </c>
      <c r="L270" s="3" t="s">
        <v>70</v>
      </c>
      <c r="M270" s="3" t="n">
        <v>14674.75</v>
      </c>
      <c r="N270" s="3" t="s">
        <v>46</v>
      </c>
      <c r="O270" s="3" t="n">
        <f aca="false">IFERROR(LEN(C270&amp;D270&amp;E270&amp;F270&amp;G270&amp;H270&amp;I270&amp;J270&amp;K270&amp;L270&amp;M270&amp;N270)/5,0)</f>
        <v>27.4</v>
      </c>
      <c r="P270" s="3" t="str">
        <f aca="false">IF(OR(D270="",C270=""),"",IF((IFERROR(IF(AND(TRIM(D270)=D270,LEN(D270)&gt;0),0,1),1)+IFERROR(IF(AND(LEN(E270)=10,ISNUMBER(VALUE(E270))),0,1),1)+IFERROR(IF(AND(ISNUMBER(SEARCH("@",F270)),ISNUMBER(SEARCH(".",F270))),0,1),1)+IFERROR(IF(AND(LEN(J270)=6,ISNUMBER(VALUE(J270))),0,1),1)+IFERROR(IF(ISNUMBER(MATCH(TRIM(I270),Lists!$A$2:$A$20,0)),0,1),1)+IFERROR(IF(AND(LEN(K270)=10,VALUE(LEFT(K270,FIND("/",K270)-1))&gt;=1,VALUE(LEFT(K270,FIND("/",K270)-1))&lt;=31,VALUE(LEFT(MID(K270,FIND("/",K270)+1,10),FIND("/",MID(K270,FIND("/",K270)+1,10))-1))&gt;=1,VALUE(LEFT(MID(K270,FIND("/",K270)+1,10),FIND("/",MID(K270,FIND("/",K270)+1,10))-1))&lt;=12,VALUE(LEFT(K270,FIND("/",K270)-1))&lt;=DAY(EOMONTH(DATE(VALUE(MID(MID(K270,FIND("/",K270)+1,10),FIND("/",MID(K270,FIND("/",K270)+1,10))+1,4)),VALUE(LEFT(MID(K270,FIND("/",K270)+1,10),FIND("/",MID(K270,FIND("/",K270)+1,10))-1)),1),0))),0,1),1)+IFERROR(IF(M270&gt;=0,0,1),1)+IFERROR(IF(ISNUMBER(MATCH(N270,Lists!$B$2:$B$7,0)),0,1),1))=0,"OK","ERROR"))</f>
        <v>OK</v>
      </c>
      <c r="Q270" s="3" t="str">
        <f aca="false">IF(D270="","",TRIM(IF(IFERROR(IF(AND(TRIM(D270)=D270,LEN(D270)&gt;0),0,1),1)=1,"Name; ","")&amp;IF(IFERROR(IF(AND(LEN(E270)=10,ISNUMBER(VALUE(E270))),0,1),1)=1,"Phone; ","")&amp;IF(IFERROR(IF(AND(ISNUMBER(SEARCH("@",F270)),ISNUMBER(SEARCH(".",F270))),0,1),1)=1,"Email; ","")&amp;IF(IFERROR(IF(AND(LEN(J270)=6,ISNUMBER(VALUE(J270))),0,1),1)=1,"Pincode; ","")&amp;IF(IFERROR(IF(ISNUMBER(MATCH(TRIM(I270),Lists!$A$2:$A$20,0)),0,1),1)=1,"State; ","")&amp;IF(IFERROR(IF(AND(LEN(K270)=10,VALUE(LEFT(K270,FIND("/",K270)-1))&gt;=1,VALUE(LEFT(K270,FIND("/",K270)-1))&lt;=31,VALUE(LEFT(MID(K270,FIND("/",K270)+1,10),FIND("/",MID(K270,FIND("/",K270)+1,10))-1))&gt;=1,VALUE(LEFT(MID(K270,FIND("/",K270)+1,10),FIND("/",MID(K270,FIND("/",K270)+1,10))-1))&lt;=12,VALUE(LEFT(K270,FIND("/",K270)-1))&lt;=DAY(EOMONTH(DATE(VALUE(MID(MID(K270,FIND("/",K270)+1,10),FIND("/",MID(K270,FIND("/",K270)+1,10))+1,4)),VALUE(LEFT(MID(K270,FIND("/",K270)+1,10),FIND("/",MID(K270,FIND("/",K270)+1,10))-1)),1),0))),0,1),1)=1,"Date; ","")&amp;IF(IFERROR(IF(M270&gt;=0,0,1),1)=1,"Amount; ","")&amp;IF(IFERROR(IF(ISNUMBER(MATCH(N270,Lists!$B$2:$B$7,0)),0,1),1)=1,"Payment; ","")))</f>
        <v/>
      </c>
      <c r="R270" s="3" t="str">
        <f aca="false">IF(D270="","",IF(COUNTIFS($D$2:$D$701,D270,$E$2:$E$701,E270)&gt;1,"DUPLICATE","Unique"))</f>
        <v>Unique</v>
      </c>
    </row>
    <row r="271" customFormat="false" ht="15" hidden="false" customHeight="false" outlineLevel="0" collapsed="false">
      <c r="A271" s="3" t="n">
        <v>270</v>
      </c>
      <c r="B271" s="3" t="n">
        <v>6</v>
      </c>
      <c r="C271" s="3" t="s">
        <v>2005</v>
      </c>
      <c r="D271" s="3" t="s">
        <v>2006</v>
      </c>
      <c r="E271" s="3" t="s">
        <v>2007</v>
      </c>
      <c r="F271" s="3" t="s">
        <v>2008</v>
      </c>
      <c r="G271" s="3" t="s">
        <v>2009</v>
      </c>
      <c r="H271" s="3" t="s">
        <v>189</v>
      </c>
      <c r="I271" s="3" t="s">
        <v>45</v>
      </c>
      <c r="J271" s="3" t="s">
        <v>2010</v>
      </c>
      <c r="K271" s="3" t="s">
        <v>2011</v>
      </c>
      <c r="L271" s="3" t="s">
        <v>74</v>
      </c>
      <c r="M271" s="3" t="n">
        <v>3953.75</v>
      </c>
      <c r="N271" s="3" t="s">
        <v>49</v>
      </c>
      <c r="O271" s="3" t="n">
        <f aca="false">IFERROR(LEN(C271&amp;D271&amp;E271&amp;F271&amp;G271&amp;H271&amp;I271&amp;J271&amp;K271&amp;L271&amp;M271&amp;N271)/5,0)</f>
        <v>24.6</v>
      </c>
      <c r="P271" s="3" t="str">
        <f aca="false">IF(OR(D271="",C271=""),"",IF((IFERROR(IF(AND(TRIM(D271)=D271,LEN(D271)&gt;0),0,1),1)+IFERROR(IF(AND(LEN(E271)=10,ISNUMBER(VALUE(E271))),0,1),1)+IFERROR(IF(AND(ISNUMBER(SEARCH("@",F271)),ISNUMBER(SEARCH(".",F271))),0,1),1)+IFERROR(IF(AND(LEN(J271)=6,ISNUMBER(VALUE(J271))),0,1),1)+IFERROR(IF(ISNUMBER(MATCH(TRIM(I271),Lists!$A$2:$A$20,0)),0,1),1)+IFERROR(IF(AND(LEN(K271)=10,VALUE(LEFT(K271,FIND("/",K271)-1))&gt;=1,VALUE(LEFT(K271,FIND("/",K271)-1))&lt;=31,VALUE(LEFT(MID(K271,FIND("/",K271)+1,10),FIND("/",MID(K271,FIND("/",K271)+1,10))-1))&gt;=1,VALUE(LEFT(MID(K271,FIND("/",K271)+1,10),FIND("/",MID(K271,FIND("/",K271)+1,10))-1))&lt;=12,VALUE(LEFT(K271,FIND("/",K271)-1))&lt;=DAY(EOMONTH(DATE(VALUE(MID(MID(K271,FIND("/",K271)+1,10),FIND("/",MID(K271,FIND("/",K271)+1,10))+1,4)),VALUE(LEFT(MID(K271,FIND("/",K271)+1,10),FIND("/",MID(K271,FIND("/",K271)+1,10))-1)),1),0))),0,1),1)+IFERROR(IF(M271&gt;=0,0,1),1)+IFERROR(IF(ISNUMBER(MATCH(N271,Lists!$B$2:$B$7,0)),0,1),1))=0,"OK","ERROR"))</f>
        <v>OK</v>
      </c>
      <c r="Q271" s="3" t="str">
        <f aca="false">IF(D271="","",TRIM(IF(IFERROR(IF(AND(TRIM(D271)=D271,LEN(D271)&gt;0),0,1),1)=1,"Name; ","")&amp;IF(IFERROR(IF(AND(LEN(E271)=10,ISNUMBER(VALUE(E271))),0,1),1)=1,"Phone; ","")&amp;IF(IFERROR(IF(AND(ISNUMBER(SEARCH("@",F271)),ISNUMBER(SEARCH(".",F271))),0,1),1)=1,"Email; ","")&amp;IF(IFERROR(IF(AND(LEN(J271)=6,ISNUMBER(VALUE(J271))),0,1),1)=1,"Pincode; ","")&amp;IF(IFERROR(IF(ISNUMBER(MATCH(TRIM(I271),Lists!$A$2:$A$20,0)),0,1),1)=1,"State; ","")&amp;IF(IFERROR(IF(AND(LEN(K271)=10,VALUE(LEFT(K271,FIND("/",K271)-1))&gt;=1,VALUE(LEFT(K271,FIND("/",K271)-1))&lt;=31,VALUE(LEFT(MID(K271,FIND("/",K271)+1,10),FIND("/",MID(K271,FIND("/",K271)+1,10))-1))&gt;=1,VALUE(LEFT(MID(K271,FIND("/",K271)+1,10),FIND("/",MID(K271,FIND("/",K271)+1,10))-1))&lt;=12,VALUE(LEFT(K271,FIND("/",K271)-1))&lt;=DAY(EOMONTH(DATE(VALUE(MID(MID(K271,FIND("/",K271)+1,10),FIND("/",MID(K271,FIND("/",K271)+1,10))+1,4)),VALUE(LEFT(MID(K271,FIND("/",K271)+1,10),FIND("/",MID(K271,FIND("/",K271)+1,10))-1)),1),0))),0,1),1)=1,"Date; ","")&amp;IF(IFERROR(IF(M271&gt;=0,0,1),1)=1,"Amount; ","")&amp;IF(IFERROR(IF(ISNUMBER(MATCH(N271,Lists!$B$2:$B$7,0)),0,1),1)=1,"Payment; ","")))</f>
        <v/>
      </c>
      <c r="R271" s="3" t="str">
        <f aca="false">IF(D271="","",IF(COUNTIFS($D$2:$D$701,D271,$E$2:$E$701,E271)&gt;1,"DUPLICATE","Unique"))</f>
        <v>Unique</v>
      </c>
    </row>
    <row r="272" customFormat="false" ht="15" hidden="false" customHeight="false" outlineLevel="0" collapsed="false">
      <c r="A272" s="3" t="n">
        <v>271</v>
      </c>
      <c r="B272" s="3" t="n">
        <v>6</v>
      </c>
      <c r="C272" s="3" t="s">
        <v>2012</v>
      </c>
      <c r="D272" s="3" t="s">
        <v>2013</v>
      </c>
      <c r="E272" s="3" t="s">
        <v>2014</v>
      </c>
      <c r="F272" s="3" t="s">
        <v>2015</v>
      </c>
      <c r="G272" s="3" t="s">
        <v>2016</v>
      </c>
      <c r="H272" s="3" t="s">
        <v>472</v>
      </c>
      <c r="I272" s="3" t="s">
        <v>63</v>
      </c>
      <c r="J272" s="3" t="s">
        <v>2017</v>
      </c>
      <c r="K272" s="3" t="s">
        <v>1131</v>
      </c>
      <c r="L272" s="3" t="s">
        <v>70</v>
      </c>
      <c r="M272" s="3" t="n">
        <v>5370.94</v>
      </c>
      <c r="N272" s="3" t="s">
        <v>40</v>
      </c>
      <c r="O272" s="3" t="n">
        <f aca="false">IFERROR(LEN(C272&amp;D272&amp;E272&amp;F272&amp;G272&amp;H272&amp;I272&amp;J272&amp;K272&amp;L272&amp;M272&amp;N272)/5,0)</f>
        <v>25.2</v>
      </c>
      <c r="P272" s="3" t="str">
        <f aca="false">IF(OR(D272="",C272=""),"",IF((IFERROR(IF(AND(TRIM(D272)=D272,LEN(D272)&gt;0),0,1),1)+IFERROR(IF(AND(LEN(E272)=10,ISNUMBER(VALUE(E272))),0,1),1)+IFERROR(IF(AND(ISNUMBER(SEARCH("@",F272)),ISNUMBER(SEARCH(".",F272))),0,1),1)+IFERROR(IF(AND(LEN(J272)=6,ISNUMBER(VALUE(J272))),0,1),1)+IFERROR(IF(ISNUMBER(MATCH(TRIM(I272),Lists!$A$2:$A$20,0)),0,1),1)+IFERROR(IF(AND(LEN(K272)=10,VALUE(LEFT(K272,FIND("/",K272)-1))&gt;=1,VALUE(LEFT(K272,FIND("/",K272)-1))&lt;=31,VALUE(LEFT(MID(K272,FIND("/",K272)+1,10),FIND("/",MID(K272,FIND("/",K272)+1,10))-1))&gt;=1,VALUE(LEFT(MID(K272,FIND("/",K272)+1,10),FIND("/",MID(K272,FIND("/",K272)+1,10))-1))&lt;=12,VALUE(LEFT(K272,FIND("/",K272)-1))&lt;=DAY(EOMONTH(DATE(VALUE(MID(MID(K272,FIND("/",K272)+1,10),FIND("/",MID(K272,FIND("/",K272)+1,10))+1,4)),VALUE(LEFT(MID(K272,FIND("/",K272)+1,10),FIND("/",MID(K272,FIND("/",K272)+1,10))-1)),1),0))),0,1),1)+IFERROR(IF(M272&gt;=0,0,1),1)+IFERROR(IF(ISNUMBER(MATCH(N272,Lists!$B$2:$B$7,0)),0,1),1))=0,"OK","ERROR"))</f>
        <v>OK</v>
      </c>
      <c r="Q272" s="3" t="str">
        <f aca="false">IF(D272="","",TRIM(IF(IFERROR(IF(AND(TRIM(D272)=D272,LEN(D272)&gt;0),0,1),1)=1,"Name; ","")&amp;IF(IFERROR(IF(AND(LEN(E272)=10,ISNUMBER(VALUE(E272))),0,1),1)=1,"Phone; ","")&amp;IF(IFERROR(IF(AND(ISNUMBER(SEARCH("@",F272)),ISNUMBER(SEARCH(".",F272))),0,1),1)=1,"Email; ","")&amp;IF(IFERROR(IF(AND(LEN(J272)=6,ISNUMBER(VALUE(J272))),0,1),1)=1,"Pincode; ","")&amp;IF(IFERROR(IF(ISNUMBER(MATCH(TRIM(I272),Lists!$A$2:$A$20,0)),0,1),1)=1,"State; ","")&amp;IF(IFERROR(IF(AND(LEN(K272)=10,VALUE(LEFT(K272,FIND("/",K272)-1))&gt;=1,VALUE(LEFT(K272,FIND("/",K272)-1))&lt;=31,VALUE(LEFT(MID(K272,FIND("/",K272)+1,10),FIND("/",MID(K272,FIND("/",K272)+1,10))-1))&gt;=1,VALUE(LEFT(MID(K272,FIND("/",K272)+1,10),FIND("/",MID(K272,FIND("/",K272)+1,10))-1))&lt;=12,VALUE(LEFT(K272,FIND("/",K272)-1))&lt;=DAY(EOMONTH(DATE(VALUE(MID(MID(K272,FIND("/",K272)+1,10),FIND("/",MID(K272,FIND("/",K272)+1,10))+1,4)),VALUE(LEFT(MID(K272,FIND("/",K272)+1,10),FIND("/",MID(K272,FIND("/",K272)+1,10))-1)),1),0))),0,1),1)=1,"Date; ","")&amp;IF(IFERROR(IF(M272&gt;=0,0,1),1)=1,"Amount; ","")&amp;IF(IFERROR(IF(ISNUMBER(MATCH(N272,Lists!$B$2:$B$7,0)),0,1),1)=1,"Payment; ","")))</f>
        <v/>
      </c>
      <c r="R272" s="3" t="str">
        <f aca="false">IF(D272="","",IF(COUNTIFS($D$2:$D$701,D272,$E$2:$E$701,E272)&gt;1,"DUPLICATE","Unique"))</f>
        <v>Unique</v>
      </c>
    </row>
    <row r="273" customFormat="false" ht="15" hidden="false" customHeight="false" outlineLevel="0" collapsed="false">
      <c r="A273" s="3" t="n">
        <v>272</v>
      </c>
      <c r="B273" s="3" t="n">
        <v>6</v>
      </c>
      <c r="C273" s="3" t="s">
        <v>2018</v>
      </c>
      <c r="D273" s="3" t="s">
        <v>2019</v>
      </c>
      <c r="E273" s="3" t="s">
        <v>2020</v>
      </c>
      <c r="F273" s="3" t="s">
        <v>2021</v>
      </c>
      <c r="G273" s="3" t="s">
        <v>2022</v>
      </c>
      <c r="H273" s="3" t="s">
        <v>633</v>
      </c>
      <c r="I273" s="3" t="s">
        <v>76</v>
      </c>
      <c r="J273" s="3" t="s">
        <v>2023</v>
      </c>
      <c r="K273" s="3" t="s">
        <v>2024</v>
      </c>
      <c r="L273" s="3" t="s">
        <v>64</v>
      </c>
      <c r="M273" s="3" t="n">
        <v>12183.2</v>
      </c>
      <c r="N273" s="3" t="s">
        <v>55</v>
      </c>
      <c r="O273" s="3" t="n">
        <f aca="false">IFERROR(LEN(C273&amp;D273&amp;E273&amp;F273&amp;G273&amp;H273&amp;I273&amp;J273&amp;K273&amp;L273&amp;M273&amp;N273)/5,0)</f>
        <v>25.2</v>
      </c>
      <c r="P273" s="3" t="str">
        <f aca="false">IF(OR(D273="",C273=""),"",IF((IFERROR(IF(AND(TRIM(D273)=D273,LEN(D273)&gt;0),0,1),1)+IFERROR(IF(AND(LEN(E273)=10,ISNUMBER(VALUE(E273))),0,1),1)+IFERROR(IF(AND(ISNUMBER(SEARCH("@",F273)),ISNUMBER(SEARCH(".",F273))),0,1),1)+IFERROR(IF(AND(LEN(J273)=6,ISNUMBER(VALUE(J273))),0,1),1)+IFERROR(IF(ISNUMBER(MATCH(TRIM(I273),Lists!$A$2:$A$20,0)),0,1),1)+IFERROR(IF(AND(LEN(K273)=10,VALUE(LEFT(K273,FIND("/",K273)-1))&gt;=1,VALUE(LEFT(K273,FIND("/",K273)-1))&lt;=31,VALUE(LEFT(MID(K273,FIND("/",K273)+1,10),FIND("/",MID(K273,FIND("/",K273)+1,10))-1))&gt;=1,VALUE(LEFT(MID(K273,FIND("/",K273)+1,10),FIND("/",MID(K273,FIND("/",K273)+1,10))-1))&lt;=12,VALUE(LEFT(K273,FIND("/",K273)-1))&lt;=DAY(EOMONTH(DATE(VALUE(MID(MID(K273,FIND("/",K273)+1,10),FIND("/",MID(K273,FIND("/",K273)+1,10))+1,4)),VALUE(LEFT(MID(K273,FIND("/",K273)+1,10),FIND("/",MID(K273,FIND("/",K273)+1,10))-1)),1),0))),0,1),1)+IFERROR(IF(M273&gt;=0,0,1),1)+IFERROR(IF(ISNUMBER(MATCH(N273,Lists!$B$2:$B$7,0)),0,1),1))=0,"OK","ERROR"))</f>
        <v>OK</v>
      </c>
      <c r="Q273" s="3" t="str">
        <f aca="false">IF(D273="","",TRIM(IF(IFERROR(IF(AND(TRIM(D273)=D273,LEN(D273)&gt;0),0,1),1)=1,"Name; ","")&amp;IF(IFERROR(IF(AND(LEN(E273)=10,ISNUMBER(VALUE(E273))),0,1),1)=1,"Phone; ","")&amp;IF(IFERROR(IF(AND(ISNUMBER(SEARCH("@",F273)),ISNUMBER(SEARCH(".",F273))),0,1),1)=1,"Email; ","")&amp;IF(IFERROR(IF(AND(LEN(J273)=6,ISNUMBER(VALUE(J273))),0,1),1)=1,"Pincode; ","")&amp;IF(IFERROR(IF(ISNUMBER(MATCH(TRIM(I273),Lists!$A$2:$A$20,0)),0,1),1)=1,"State; ","")&amp;IF(IFERROR(IF(AND(LEN(K273)=10,VALUE(LEFT(K273,FIND("/",K273)-1))&gt;=1,VALUE(LEFT(K273,FIND("/",K273)-1))&lt;=31,VALUE(LEFT(MID(K273,FIND("/",K273)+1,10),FIND("/",MID(K273,FIND("/",K273)+1,10))-1))&gt;=1,VALUE(LEFT(MID(K273,FIND("/",K273)+1,10),FIND("/",MID(K273,FIND("/",K273)+1,10))-1))&lt;=12,VALUE(LEFT(K273,FIND("/",K273)-1))&lt;=DAY(EOMONTH(DATE(VALUE(MID(MID(K273,FIND("/",K273)+1,10),FIND("/",MID(K273,FIND("/",K273)+1,10))+1,4)),VALUE(LEFT(MID(K273,FIND("/",K273)+1,10),FIND("/",MID(K273,FIND("/",K273)+1,10))-1)),1),0))),0,1),1)=1,"Date; ","")&amp;IF(IFERROR(IF(M273&gt;=0,0,1),1)=1,"Amount; ","")&amp;IF(IFERROR(IF(ISNUMBER(MATCH(N273,Lists!$B$2:$B$7,0)),0,1),1)=1,"Payment; ","")))</f>
        <v/>
      </c>
      <c r="R273" s="3" t="str">
        <f aca="false">IF(D273="","",IF(COUNTIFS($D$2:$D$701,D273,$E$2:$E$701,E273)&gt;1,"DUPLICATE","Unique"))</f>
        <v>Unique</v>
      </c>
    </row>
    <row r="274" customFormat="false" ht="15" hidden="false" customHeight="false" outlineLevel="0" collapsed="false">
      <c r="A274" s="3" t="n">
        <v>273</v>
      </c>
      <c r="B274" s="3" t="n">
        <v>6</v>
      </c>
      <c r="C274" s="3" t="s">
        <v>2025</v>
      </c>
      <c r="D274" s="3" t="s">
        <v>2026</v>
      </c>
      <c r="E274" s="3" t="s">
        <v>2027</v>
      </c>
      <c r="F274" s="3" t="s">
        <v>2028</v>
      </c>
      <c r="G274" s="3" t="s">
        <v>2029</v>
      </c>
      <c r="H274" s="3" t="s">
        <v>770</v>
      </c>
      <c r="I274" s="3" t="s">
        <v>57</v>
      </c>
      <c r="J274" s="3" t="s">
        <v>2030</v>
      </c>
      <c r="K274" s="3" t="s">
        <v>2031</v>
      </c>
      <c r="L274" s="3" t="s">
        <v>56</v>
      </c>
      <c r="M274" s="3" t="n">
        <v>8878.98</v>
      </c>
      <c r="N274" s="3" t="s">
        <v>46</v>
      </c>
      <c r="O274" s="3" t="n">
        <f aca="false">IFERROR(LEN(C274&amp;D274&amp;E274&amp;F274&amp;G274&amp;H274&amp;I274&amp;J274&amp;K274&amp;L274&amp;M274&amp;N274)/5,0)</f>
        <v>28.2</v>
      </c>
      <c r="P274" s="3" t="str">
        <f aca="false">IF(OR(D274="",C274=""),"",IF((IFERROR(IF(AND(TRIM(D274)=D274,LEN(D274)&gt;0),0,1),1)+IFERROR(IF(AND(LEN(E274)=10,ISNUMBER(VALUE(E274))),0,1),1)+IFERROR(IF(AND(ISNUMBER(SEARCH("@",F274)),ISNUMBER(SEARCH(".",F274))),0,1),1)+IFERROR(IF(AND(LEN(J274)=6,ISNUMBER(VALUE(J274))),0,1),1)+IFERROR(IF(ISNUMBER(MATCH(TRIM(I274),Lists!$A$2:$A$20,0)),0,1),1)+IFERROR(IF(AND(LEN(K274)=10,VALUE(LEFT(K274,FIND("/",K274)-1))&gt;=1,VALUE(LEFT(K274,FIND("/",K274)-1))&lt;=31,VALUE(LEFT(MID(K274,FIND("/",K274)+1,10),FIND("/",MID(K274,FIND("/",K274)+1,10))-1))&gt;=1,VALUE(LEFT(MID(K274,FIND("/",K274)+1,10),FIND("/",MID(K274,FIND("/",K274)+1,10))-1))&lt;=12,VALUE(LEFT(K274,FIND("/",K274)-1))&lt;=DAY(EOMONTH(DATE(VALUE(MID(MID(K274,FIND("/",K274)+1,10),FIND("/",MID(K274,FIND("/",K274)+1,10))+1,4)),VALUE(LEFT(MID(K274,FIND("/",K274)+1,10),FIND("/",MID(K274,FIND("/",K274)+1,10))-1)),1),0))),0,1),1)+IFERROR(IF(M274&gt;=0,0,1),1)+IFERROR(IF(ISNUMBER(MATCH(N274,Lists!$B$2:$B$7,0)),0,1),1))=0,"OK","ERROR"))</f>
        <v>OK</v>
      </c>
      <c r="Q274" s="3" t="str">
        <f aca="false">IF(D274="","",TRIM(IF(IFERROR(IF(AND(TRIM(D274)=D274,LEN(D274)&gt;0),0,1),1)=1,"Name; ","")&amp;IF(IFERROR(IF(AND(LEN(E274)=10,ISNUMBER(VALUE(E274))),0,1),1)=1,"Phone; ","")&amp;IF(IFERROR(IF(AND(ISNUMBER(SEARCH("@",F274)),ISNUMBER(SEARCH(".",F274))),0,1),1)=1,"Email; ","")&amp;IF(IFERROR(IF(AND(LEN(J274)=6,ISNUMBER(VALUE(J274))),0,1),1)=1,"Pincode; ","")&amp;IF(IFERROR(IF(ISNUMBER(MATCH(TRIM(I274),Lists!$A$2:$A$20,0)),0,1),1)=1,"State; ","")&amp;IF(IFERROR(IF(AND(LEN(K274)=10,VALUE(LEFT(K274,FIND("/",K274)-1))&gt;=1,VALUE(LEFT(K274,FIND("/",K274)-1))&lt;=31,VALUE(LEFT(MID(K274,FIND("/",K274)+1,10),FIND("/",MID(K274,FIND("/",K274)+1,10))-1))&gt;=1,VALUE(LEFT(MID(K274,FIND("/",K274)+1,10),FIND("/",MID(K274,FIND("/",K274)+1,10))-1))&lt;=12,VALUE(LEFT(K274,FIND("/",K274)-1))&lt;=DAY(EOMONTH(DATE(VALUE(MID(MID(K274,FIND("/",K274)+1,10),FIND("/",MID(K274,FIND("/",K274)+1,10))+1,4)),VALUE(LEFT(MID(K274,FIND("/",K274)+1,10),FIND("/",MID(K274,FIND("/",K274)+1,10))-1)),1),0))),0,1),1)=1,"Date; ","")&amp;IF(IFERROR(IF(M274&gt;=0,0,1),1)=1,"Amount; ","")&amp;IF(IFERROR(IF(ISNUMBER(MATCH(N274,Lists!$B$2:$B$7,0)),0,1),1)=1,"Payment; ","")))</f>
        <v/>
      </c>
      <c r="R274" s="3" t="str">
        <f aca="false">IF(D274="","",IF(COUNTIFS($D$2:$D$701,D274,$E$2:$E$701,E274)&gt;1,"DUPLICATE","Unique"))</f>
        <v>Unique</v>
      </c>
    </row>
    <row r="275" customFormat="false" ht="15" hidden="false" customHeight="false" outlineLevel="0" collapsed="false">
      <c r="A275" s="3" t="n">
        <v>274</v>
      </c>
      <c r="B275" s="3" t="n">
        <v>6</v>
      </c>
      <c r="C275" s="3" t="s">
        <v>2032</v>
      </c>
      <c r="D275" s="3" t="s">
        <v>2033</v>
      </c>
      <c r="E275" s="3" t="s">
        <v>2034</v>
      </c>
      <c r="F275" s="3" t="s">
        <v>2035</v>
      </c>
      <c r="G275" s="3" t="s">
        <v>2036</v>
      </c>
      <c r="H275" s="3" t="s">
        <v>480</v>
      </c>
      <c r="I275" s="3" t="s">
        <v>51</v>
      </c>
      <c r="J275" s="3" t="s">
        <v>2037</v>
      </c>
      <c r="K275" s="3" t="s">
        <v>2038</v>
      </c>
      <c r="L275" s="3" t="s">
        <v>58</v>
      </c>
      <c r="M275" s="3" t="n">
        <v>6391.28</v>
      </c>
      <c r="N275" s="3" t="s">
        <v>55</v>
      </c>
      <c r="O275" s="3" t="n">
        <f aca="false">IFERROR(LEN(C275&amp;D275&amp;E275&amp;F275&amp;G275&amp;H275&amp;I275&amp;J275&amp;K275&amp;L275&amp;M275&amp;N275)/5,0)</f>
        <v>25.2</v>
      </c>
      <c r="P275" s="3" t="str">
        <f aca="false">IF(OR(D275="",C275=""),"",IF((IFERROR(IF(AND(TRIM(D275)=D275,LEN(D275)&gt;0),0,1),1)+IFERROR(IF(AND(LEN(E275)=10,ISNUMBER(VALUE(E275))),0,1),1)+IFERROR(IF(AND(ISNUMBER(SEARCH("@",F275)),ISNUMBER(SEARCH(".",F275))),0,1),1)+IFERROR(IF(AND(LEN(J275)=6,ISNUMBER(VALUE(J275))),0,1),1)+IFERROR(IF(ISNUMBER(MATCH(TRIM(I275),Lists!$A$2:$A$20,0)),0,1),1)+IFERROR(IF(AND(LEN(K275)=10,VALUE(LEFT(K275,FIND("/",K275)-1))&gt;=1,VALUE(LEFT(K275,FIND("/",K275)-1))&lt;=31,VALUE(LEFT(MID(K275,FIND("/",K275)+1,10),FIND("/",MID(K275,FIND("/",K275)+1,10))-1))&gt;=1,VALUE(LEFT(MID(K275,FIND("/",K275)+1,10),FIND("/",MID(K275,FIND("/",K275)+1,10))-1))&lt;=12,VALUE(LEFT(K275,FIND("/",K275)-1))&lt;=DAY(EOMONTH(DATE(VALUE(MID(MID(K275,FIND("/",K275)+1,10),FIND("/",MID(K275,FIND("/",K275)+1,10))+1,4)),VALUE(LEFT(MID(K275,FIND("/",K275)+1,10),FIND("/",MID(K275,FIND("/",K275)+1,10))-1)),1),0))),0,1),1)+IFERROR(IF(M275&gt;=0,0,1),1)+IFERROR(IF(ISNUMBER(MATCH(N275,Lists!$B$2:$B$7,0)),0,1),1))=0,"OK","ERROR"))</f>
        <v>OK</v>
      </c>
      <c r="Q275" s="3" t="str">
        <f aca="false">IF(D275="","",TRIM(IF(IFERROR(IF(AND(TRIM(D275)=D275,LEN(D275)&gt;0),0,1),1)=1,"Name; ","")&amp;IF(IFERROR(IF(AND(LEN(E275)=10,ISNUMBER(VALUE(E275))),0,1),1)=1,"Phone; ","")&amp;IF(IFERROR(IF(AND(ISNUMBER(SEARCH("@",F275)),ISNUMBER(SEARCH(".",F275))),0,1),1)=1,"Email; ","")&amp;IF(IFERROR(IF(AND(LEN(J275)=6,ISNUMBER(VALUE(J275))),0,1),1)=1,"Pincode; ","")&amp;IF(IFERROR(IF(ISNUMBER(MATCH(TRIM(I275),Lists!$A$2:$A$20,0)),0,1),1)=1,"State; ","")&amp;IF(IFERROR(IF(AND(LEN(K275)=10,VALUE(LEFT(K275,FIND("/",K275)-1))&gt;=1,VALUE(LEFT(K275,FIND("/",K275)-1))&lt;=31,VALUE(LEFT(MID(K275,FIND("/",K275)+1,10),FIND("/",MID(K275,FIND("/",K275)+1,10))-1))&gt;=1,VALUE(LEFT(MID(K275,FIND("/",K275)+1,10),FIND("/",MID(K275,FIND("/",K275)+1,10))-1))&lt;=12,VALUE(LEFT(K275,FIND("/",K275)-1))&lt;=DAY(EOMONTH(DATE(VALUE(MID(MID(K275,FIND("/",K275)+1,10),FIND("/",MID(K275,FIND("/",K275)+1,10))+1,4)),VALUE(LEFT(MID(K275,FIND("/",K275)+1,10),FIND("/",MID(K275,FIND("/",K275)+1,10))-1)),1),0))),0,1),1)=1,"Date; ","")&amp;IF(IFERROR(IF(M275&gt;=0,0,1),1)=1,"Amount; ","")&amp;IF(IFERROR(IF(ISNUMBER(MATCH(N275,Lists!$B$2:$B$7,0)),0,1),1)=1,"Payment; ","")))</f>
        <v/>
      </c>
      <c r="R275" s="3" t="str">
        <f aca="false">IF(D275="","",IF(COUNTIFS($D$2:$D$701,D275,$E$2:$E$701,E275)&gt;1,"DUPLICATE","Unique"))</f>
        <v>Unique</v>
      </c>
    </row>
    <row r="276" customFormat="false" ht="15" hidden="false" customHeight="false" outlineLevel="0" collapsed="false">
      <c r="A276" s="3" t="n">
        <v>275</v>
      </c>
      <c r="B276" s="3" t="n">
        <v>6</v>
      </c>
      <c r="C276" s="3" t="s">
        <v>2039</v>
      </c>
      <c r="D276" s="3" t="s">
        <v>2040</v>
      </c>
      <c r="E276" s="3" t="s">
        <v>2041</v>
      </c>
      <c r="F276" s="3" t="s">
        <v>2042</v>
      </c>
      <c r="G276" s="3" t="s">
        <v>2043</v>
      </c>
      <c r="H276" s="3" t="s">
        <v>266</v>
      </c>
      <c r="I276" s="3" t="s">
        <v>78</v>
      </c>
      <c r="J276" s="3" t="s">
        <v>2044</v>
      </c>
      <c r="K276" s="3" t="s">
        <v>379</v>
      </c>
      <c r="L276" s="3" t="s">
        <v>50</v>
      </c>
      <c r="M276" s="3" t="n">
        <v>2469.8</v>
      </c>
      <c r="N276" s="3" t="s">
        <v>52</v>
      </c>
      <c r="O276" s="3" t="n">
        <f aca="false">IFERROR(LEN(C276&amp;D276&amp;E276&amp;F276&amp;G276&amp;H276&amp;I276&amp;J276&amp;K276&amp;L276&amp;M276&amp;N276)/5,0)</f>
        <v>24.4</v>
      </c>
      <c r="P276" s="3" t="str">
        <f aca="false">IF(OR(D276="",C276=""),"",IF((IFERROR(IF(AND(TRIM(D276)=D276,LEN(D276)&gt;0),0,1),1)+IFERROR(IF(AND(LEN(E276)=10,ISNUMBER(VALUE(E276))),0,1),1)+IFERROR(IF(AND(ISNUMBER(SEARCH("@",F276)),ISNUMBER(SEARCH(".",F276))),0,1),1)+IFERROR(IF(AND(LEN(J276)=6,ISNUMBER(VALUE(J276))),0,1),1)+IFERROR(IF(ISNUMBER(MATCH(TRIM(I276),Lists!$A$2:$A$20,0)),0,1),1)+IFERROR(IF(AND(LEN(K276)=10,VALUE(LEFT(K276,FIND("/",K276)-1))&gt;=1,VALUE(LEFT(K276,FIND("/",K276)-1))&lt;=31,VALUE(LEFT(MID(K276,FIND("/",K276)+1,10),FIND("/",MID(K276,FIND("/",K276)+1,10))-1))&gt;=1,VALUE(LEFT(MID(K276,FIND("/",K276)+1,10),FIND("/",MID(K276,FIND("/",K276)+1,10))-1))&lt;=12,VALUE(LEFT(K276,FIND("/",K276)-1))&lt;=DAY(EOMONTH(DATE(VALUE(MID(MID(K276,FIND("/",K276)+1,10),FIND("/",MID(K276,FIND("/",K276)+1,10))+1,4)),VALUE(LEFT(MID(K276,FIND("/",K276)+1,10),FIND("/",MID(K276,FIND("/",K276)+1,10))-1)),1),0))),0,1),1)+IFERROR(IF(M276&gt;=0,0,1),1)+IFERROR(IF(ISNUMBER(MATCH(N276,Lists!$B$2:$B$7,0)),0,1),1))=0,"OK","ERROR"))</f>
        <v>OK</v>
      </c>
      <c r="Q276" s="3" t="str">
        <f aca="false">IF(D276="","",TRIM(IF(IFERROR(IF(AND(TRIM(D276)=D276,LEN(D276)&gt;0),0,1),1)=1,"Name; ","")&amp;IF(IFERROR(IF(AND(LEN(E276)=10,ISNUMBER(VALUE(E276))),0,1),1)=1,"Phone; ","")&amp;IF(IFERROR(IF(AND(ISNUMBER(SEARCH("@",F276)),ISNUMBER(SEARCH(".",F276))),0,1),1)=1,"Email; ","")&amp;IF(IFERROR(IF(AND(LEN(J276)=6,ISNUMBER(VALUE(J276))),0,1),1)=1,"Pincode; ","")&amp;IF(IFERROR(IF(ISNUMBER(MATCH(TRIM(I276),Lists!$A$2:$A$20,0)),0,1),1)=1,"State; ","")&amp;IF(IFERROR(IF(AND(LEN(K276)=10,VALUE(LEFT(K276,FIND("/",K276)-1))&gt;=1,VALUE(LEFT(K276,FIND("/",K276)-1))&lt;=31,VALUE(LEFT(MID(K276,FIND("/",K276)+1,10),FIND("/",MID(K276,FIND("/",K276)+1,10))-1))&gt;=1,VALUE(LEFT(MID(K276,FIND("/",K276)+1,10),FIND("/",MID(K276,FIND("/",K276)+1,10))-1))&lt;=12,VALUE(LEFT(K276,FIND("/",K276)-1))&lt;=DAY(EOMONTH(DATE(VALUE(MID(MID(K276,FIND("/",K276)+1,10),FIND("/",MID(K276,FIND("/",K276)+1,10))+1,4)),VALUE(LEFT(MID(K276,FIND("/",K276)+1,10),FIND("/",MID(K276,FIND("/",K276)+1,10))-1)),1),0))),0,1),1)=1,"Date; ","")&amp;IF(IFERROR(IF(M276&gt;=0,0,1),1)=1,"Amount; ","")&amp;IF(IFERROR(IF(ISNUMBER(MATCH(N276,Lists!$B$2:$B$7,0)),0,1),1)=1,"Payment; ","")))</f>
        <v/>
      </c>
      <c r="R276" s="3" t="str">
        <f aca="false">IF(D276="","",IF(COUNTIFS($D$2:$D$701,D276,$E$2:$E$701,E276)&gt;1,"DUPLICATE","Unique"))</f>
        <v>Unique</v>
      </c>
    </row>
    <row r="277" customFormat="false" ht="15" hidden="false" customHeight="false" outlineLevel="0" collapsed="false">
      <c r="A277" s="3" t="n">
        <v>276</v>
      </c>
      <c r="B277" s="3" t="n">
        <v>6</v>
      </c>
      <c r="C277" s="3" t="s">
        <v>2045</v>
      </c>
      <c r="D277" s="3" t="s">
        <v>2046</v>
      </c>
      <c r="E277" s="3" t="s">
        <v>2047</v>
      </c>
      <c r="F277" s="3" t="s">
        <v>2048</v>
      </c>
      <c r="G277" s="3" t="s">
        <v>2049</v>
      </c>
      <c r="H277" s="3" t="s">
        <v>464</v>
      </c>
      <c r="I277" s="3" t="s">
        <v>61</v>
      </c>
      <c r="J277" s="3" t="s">
        <v>2050</v>
      </c>
      <c r="K277" s="3" t="s">
        <v>2051</v>
      </c>
      <c r="L277" s="3" t="s">
        <v>44</v>
      </c>
      <c r="M277" s="3" t="n">
        <v>6608.84</v>
      </c>
      <c r="N277" s="3" t="s">
        <v>55</v>
      </c>
      <c r="O277" s="3" t="n">
        <f aca="false">IFERROR(LEN(C277&amp;D277&amp;E277&amp;F277&amp;G277&amp;H277&amp;I277&amp;J277&amp;K277&amp;L277&amp;M277&amp;N277)/5,0)</f>
        <v>27.6</v>
      </c>
      <c r="P277" s="3" t="str">
        <f aca="false">IF(OR(D277="",C277=""),"",IF((IFERROR(IF(AND(TRIM(D277)=D277,LEN(D277)&gt;0),0,1),1)+IFERROR(IF(AND(LEN(E277)=10,ISNUMBER(VALUE(E277))),0,1),1)+IFERROR(IF(AND(ISNUMBER(SEARCH("@",F277)),ISNUMBER(SEARCH(".",F277))),0,1),1)+IFERROR(IF(AND(LEN(J277)=6,ISNUMBER(VALUE(J277))),0,1),1)+IFERROR(IF(ISNUMBER(MATCH(TRIM(I277),Lists!$A$2:$A$20,0)),0,1),1)+IFERROR(IF(AND(LEN(K277)=10,VALUE(LEFT(K277,FIND("/",K277)-1))&gt;=1,VALUE(LEFT(K277,FIND("/",K277)-1))&lt;=31,VALUE(LEFT(MID(K277,FIND("/",K277)+1,10),FIND("/",MID(K277,FIND("/",K277)+1,10))-1))&gt;=1,VALUE(LEFT(MID(K277,FIND("/",K277)+1,10),FIND("/",MID(K277,FIND("/",K277)+1,10))-1))&lt;=12,VALUE(LEFT(K277,FIND("/",K277)-1))&lt;=DAY(EOMONTH(DATE(VALUE(MID(MID(K277,FIND("/",K277)+1,10),FIND("/",MID(K277,FIND("/",K277)+1,10))+1,4)),VALUE(LEFT(MID(K277,FIND("/",K277)+1,10),FIND("/",MID(K277,FIND("/",K277)+1,10))-1)),1),0))),0,1),1)+IFERROR(IF(M277&gt;=0,0,1),1)+IFERROR(IF(ISNUMBER(MATCH(N277,Lists!$B$2:$B$7,0)),0,1),1))=0,"OK","ERROR"))</f>
        <v>OK</v>
      </c>
      <c r="Q277" s="3" t="str">
        <f aca="false">IF(D277="","",TRIM(IF(IFERROR(IF(AND(TRIM(D277)=D277,LEN(D277)&gt;0),0,1),1)=1,"Name; ","")&amp;IF(IFERROR(IF(AND(LEN(E277)=10,ISNUMBER(VALUE(E277))),0,1),1)=1,"Phone; ","")&amp;IF(IFERROR(IF(AND(ISNUMBER(SEARCH("@",F277)),ISNUMBER(SEARCH(".",F277))),0,1),1)=1,"Email; ","")&amp;IF(IFERROR(IF(AND(LEN(J277)=6,ISNUMBER(VALUE(J277))),0,1),1)=1,"Pincode; ","")&amp;IF(IFERROR(IF(ISNUMBER(MATCH(TRIM(I277),Lists!$A$2:$A$20,0)),0,1),1)=1,"State; ","")&amp;IF(IFERROR(IF(AND(LEN(K277)=10,VALUE(LEFT(K277,FIND("/",K277)-1))&gt;=1,VALUE(LEFT(K277,FIND("/",K277)-1))&lt;=31,VALUE(LEFT(MID(K277,FIND("/",K277)+1,10),FIND("/",MID(K277,FIND("/",K277)+1,10))-1))&gt;=1,VALUE(LEFT(MID(K277,FIND("/",K277)+1,10),FIND("/",MID(K277,FIND("/",K277)+1,10))-1))&lt;=12,VALUE(LEFT(K277,FIND("/",K277)-1))&lt;=DAY(EOMONTH(DATE(VALUE(MID(MID(K277,FIND("/",K277)+1,10),FIND("/",MID(K277,FIND("/",K277)+1,10))+1,4)),VALUE(LEFT(MID(K277,FIND("/",K277)+1,10),FIND("/",MID(K277,FIND("/",K277)+1,10))-1)),1),0))),0,1),1)=1,"Date; ","")&amp;IF(IFERROR(IF(M277&gt;=0,0,1),1)=1,"Amount; ","")&amp;IF(IFERROR(IF(ISNUMBER(MATCH(N277,Lists!$B$2:$B$7,0)),0,1),1)=1,"Payment; ","")))</f>
        <v/>
      </c>
      <c r="R277" s="3" t="str">
        <f aca="false">IF(D277="","",IF(COUNTIFS($D$2:$D$701,D277,$E$2:$E$701,E277)&gt;1,"DUPLICATE","Unique"))</f>
        <v>Unique</v>
      </c>
    </row>
    <row r="278" customFormat="false" ht="15" hidden="false" customHeight="false" outlineLevel="0" collapsed="false">
      <c r="A278" s="3" t="n">
        <v>277</v>
      </c>
      <c r="B278" s="3" t="n">
        <v>6</v>
      </c>
      <c r="C278" s="3" t="s">
        <v>2052</v>
      </c>
      <c r="D278" s="3" t="s">
        <v>2053</v>
      </c>
      <c r="E278" s="3" t="s">
        <v>2054</v>
      </c>
      <c r="F278" s="3" t="s">
        <v>2055</v>
      </c>
      <c r="G278" s="3" t="s">
        <v>2056</v>
      </c>
      <c r="H278" s="3" t="s">
        <v>663</v>
      </c>
      <c r="I278" s="3" t="s">
        <v>48</v>
      </c>
      <c r="J278" s="3" t="s">
        <v>2057</v>
      </c>
      <c r="K278" s="3" t="s">
        <v>2058</v>
      </c>
      <c r="L278" s="3" t="s">
        <v>58</v>
      </c>
      <c r="M278" s="3" t="n">
        <v>12591.16</v>
      </c>
      <c r="N278" s="3" t="s">
        <v>49</v>
      </c>
      <c r="O278" s="3" t="n">
        <f aca="false">IFERROR(LEN(C278&amp;D278&amp;E278&amp;F278&amp;G278&amp;H278&amp;I278&amp;J278&amp;K278&amp;L278&amp;M278&amp;N278)/5,0)</f>
        <v>28.8</v>
      </c>
      <c r="P278" s="3" t="str">
        <f aca="false">IF(OR(D278="",C278=""),"",IF((IFERROR(IF(AND(TRIM(D278)=D278,LEN(D278)&gt;0),0,1),1)+IFERROR(IF(AND(LEN(E278)=10,ISNUMBER(VALUE(E278))),0,1),1)+IFERROR(IF(AND(ISNUMBER(SEARCH("@",F278)),ISNUMBER(SEARCH(".",F278))),0,1),1)+IFERROR(IF(AND(LEN(J278)=6,ISNUMBER(VALUE(J278))),0,1),1)+IFERROR(IF(ISNUMBER(MATCH(TRIM(I278),Lists!$A$2:$A$20,0)),0,1),1)+IFERROR(IF(AND(LEN(K278)=10,VALUE(LEFT(K278,FIND("/",K278)-1))&gt;=1,VALUE(LEFT(K278,FIND("/",K278)-1))&lt;=31,VALUE(LEFT(MID(K278,FIND("/",K278)+1,10),FIND("/",MID(K278,FIND("/",K278)+1,10))-1))&gt;=1,VALUE(LEFT(MID(K278,FIND("/",K278)+1,10),FIND("/",MID(K278,FIND("/",K278)+1,10))-1))&lt;=12,VALUE(LEFT(K278,FIND("/",K278)-1))&lt;=DAY(EOMONTH(DATE(VALUE(MID(MID(K278,FIND("/",K278)+1,10),FIND("/",MID(K278,FIND("/",K278)+1,10))+1,4)),VALUE(LEFT(MID(K278,FIND("/",K278)+1,10),FIND("/",MID(K278,FIND("/",K278)+1,10))-1)),1),0))),0,1),1)+IFERROR(IF(M278&gt;=0,0,1),1)+IFERROR(IF(ISNUMBER(MATCH(N278,Lists!$B$2:$B$7,0)),0,1),1))=0,"OK","ERROR"))</f>
        <v>OK</v>
      </c>
      <c r="Q278" s="3" t="str">
        <f aca="false">IF(D278="","",TRIM(IF(IFERROR(IF(AND(TRIM(D278)=D278,LEN(D278)&gt;0),0,1),1)=1,"Name; ","")&amp;IF(IFERROR(IF(AND(LEN(E278)=10,ISNUMBER(VALUE(E278))),0,1),1)=1,"Phone; ","")&amp;IF(IFERROR(IF(AND(ISNUMBER(SEARCH("@",F278)),ISNUMBER(SEARCH(".",F278))),0,1),1)=1,"Email; ","")&amp;IF(IFERROR(IF(AND(LEN(J278)=6,ISNUMBER(VALUE(J278))),0,1),1)=1,"Pincode; ","")&amp;IF(IFERROR(IF(ISNUMBER(MATCH(TRIM(I278),Lists!$A$2:$A$20,0)),0,1),1)=1,"State; ","")&amp;IF(IFERROR(IF(AND(LEN(K278)=10,VALUE(LEFT(K278,FIND("/",K278)-1))&gt;=1,VALUE(LEFT(K278,FIND("/",K278)-1))&lt;=31,VALUE(LEFT(MID(K278,FIND("/",K278)+1,10),FIND("/",MID(K278,FIND("/",K278)+1,10))-1))&gt;=1,VALUE(LEFT(MID(K278,FIND("/",K278)+1,10),FIND("/",MID(K278,FIND("/",K278)+1,10))-1))&lt;=12,VALUE(LEFT(K278,FIND("/",K278)-1))&lt;=DAY(EOMONTH(DATE(VALUE(MID(MID(K278,FIND("/",K278)+1,10),FIND("/",MID(K278,FIND("/",K278)+1,10))+1,4)),VALUE(LEFT(MID(K278,FIND("/",K278)+1,10),FIND("/",MID(K278,FIND("/",K278)+1,10))-1)),1),0))),0,1),1)=1,"Date; ","")&amp;IF(IFERROR(IF(M278&gt;=0,0,1),1)=1,"Amount; ","")&amp;IF(IFERROR(IF(ISNUMBER(MATCH(N278,Lists!$B$2:$B$7,0)),0,1),1)=1,"Payment; ","")))</f>
        <v/>
      </c>
      <c r="R278" s="3" t="str">
        <f aca="false">IF(D278="","",IF(COUNTIFS($D$2:$D$701,D278,$E$2:$E$701,E278)&gt;1,"DUPLICATE","Unique"))</f>
        <v>Unique</v>
      </c>
    </row>
    <row r="279" customFormat="false" ht="15" hidden="false" customHeight="false" outlineLevel="0" collapsed="false">
      <c r="A279" s="3" t="n">
        <v>278</v>
      </c>
      <c r="B279" s="3" t="n">
        <v>6</v>
      </c>
      <c r="C279" s="3" t="s">
        <v>2059</v>
      </c>
      <c r="D279" s="3" t="s">
        <v>2060</v>
      </c>
      <c r="E279" s="3" t="s">
        <v>2061</v>
      </c>
      <c r="F279" s="3" t="s">
        <v>2062</v>
      </c>
      <c r="G279" s="3" t="s">
        <v>2063</v>
      </c>
      <c r="H279" s="3" t="s">
        <v>266</v>
      </c>
      <c r="I279" s="3" t="s">
        <v>78</v>
      </c>
      <c r="J279" s="3" t="s">
        <v>2064</v>
      </c>
      <c r="K279" s="3" t="s">
        <v>1622</v>
      </c>
      <c r="L279" s="3" t="s">
        <v>44</v>
      </c>
      <c r="M279" s="3" t="n">
        <v>11030.04</v>
      </c>
      <c r="N279" s="3" t="s">
        <v>52</v>
      </c>
      <c r="O279" s="3" t="n">
        <f aca="false">IFERROR(LEN(C279&amp;D279&amp;E279&amp;F279&amp;G279&amp;H279&amp;I279&amp;J279&amp;K279&amp;L279&amp;M279&amp;N279)/5,0)</f>
        <v>26.2</v>
      </c>
      <c r="P279" s="3" t="str">
        <f aca="false">IF(OR(D279="",C279=""),"",IF((IFERROR(IF(AND(TRIM(D279)=D279,LEN(D279)&gt;0),0,1),1)+IFERROR(IF(AND(LEN(E279)=10,ISNUMBER(VALUE(E279))),0,1),1)+IFERROR(IF(AND(ISNUMBER(SEARCH("@",F279)),ISNUMBER(SEARCH(".",F279))),0,1),1)+IFERROR(IF(AND(LEN(J279)=6,ISNUMBER(VALUE(J279))),0,1),1)+IFERROR(IF(ISNUMBER(MATCH(TRIM(I279),Lists!$A$2:$A$20,0)),0,1),1)+IFERROR(IF(AND(LEN(K279)=10,VALUE(LEFT(K279,FIND("/",K279)-1))&gt;=1,VALUE(LEFT(K279,FIND("/",K279)-1))&lt;=31,VALUE(LEFT(MID(K279,FIND("/",K279)+1,10),FIND("/",MID(K279,FIND("/",K279)+1,10))-1))&gt;=1,VALUE(LEFT(MID(K279,FIND("/",K279)+1,10),FIND("/",MID(K279,FIND("/",K279)+1,10))-1))&lt;=12,VALUE(LEFT(K279,FIND("/",K279)-1))&lt;=DAY(EOMONTH(DATE(VALUE(MID(MID(K279,FIND("/",K279)+1,10),FIND("/",MID(K279,FIND("/",K279)+1,10))+1,4)),VALUE(LEFT(MID(K279,FIND("/",K279)+1,10),FIND("/",MID(K279,FIND("/",K279)+1,10))-1)),1),0))),0,1),1)+IFERROR(IF(M279&gt;=0,0,1),1)+IFERROR(IF(ISNUMBER(MATCH(N279,Lists!$B$2:$B$7,0)),0,1),1))=0,"OK","ERROR"))</f>
        <v>OK</v>
      </c>
      <c r="Q279" s="3" t="str">
        <f aca="false">IF(D279="","",TRIM(IF(IFERROR(IF(AND(TRIM(D279)=D279,LEN(D279)&gt;0),0,1),1)=1,"Name; ","")&amp;IF(IFERROR(IF(AND(LEN(E279)=10,ISNUMBER(VALUE(E279))),0,1),1)=1,"Phone; ","")&amp;IF(IFERROR(IF(AND(ISNUMBER(SEARCH("@",F279)),ISNUMBER(SEARCH(".",F279))),0,1),1)=1,"Email; ","")&amp;IF(IFERROR(IF(AND(LEN(J279)=6,ISNUMBER(VALUE(J279))),0,1),1)=1,"Pincode; ","")&amp;IF(IFERROR(IF(ISNUMBER(MATCH(TRIM(I279),Lists!$A$2:$A$20,0)),0,1),1)=1,"State; ","")&amp;IF(IFERROR(IF(AND(LEN(K279)=10,VALUE(LEFT(K279,FIND("/",K279)-1))&gt;=1,VALUE(LEFT(K279,FIND("/",K279)-1))&lt;=31,VALUE(LEFT(MID(K279,FIND("/",K279)+1,10),FIND("/",MID(K279,FIND("/",K279)+1,10))-1))&gt;=1,VALUE(LEFT(MID(K279,FIND("/",K279)+1,10),FIND("/",MID(K279,FIND("/",K279)+1,10))-1))&lt;=12,VALUE(LEFT(K279,FIND("/",K279)-1))&lt;=DAY(EOMONTH(DATE(VALUE(MID(MID(K279,FIND("/",K279)+1,10),FIND("/",MID(K279,FIND("/",K279)+1,10))+1,4)),VALUE(LEFT(MID(K279,FIND("/",K279)+1,10),FIND("/",MID(K279,FIND("/",K279)+1,10))-1)),1),0))),0,1),1)=1,"Date; ","")&amp;IF(IFERROR(IF(M279&gt;=0,0,1),1)=1,"Amount; ","")&amp;IF(IFERROR(IF(ISNUMBER(MATCH(N279,Lists!$B$2:$B$7,0)),0,1),1)=1,"Payment; ","")))</f>
        <v/>
      </c>
      <c r="R279" s="3" t="str">
        <f aca="false">IF(D279="","",IF(COUNTIFS($D$2:$D$701,D279,$E$2:$E$701,E279)&gt;1,"DUPLICATE","Unique"))</f>
        <v>Unique</v>
      </c>
    </row>
    <row r="280" customFormat="false" ht="15" hidden="false" customHeight="false" outlineLevel="0" collapsed="false">
      <c r="A280" s="3" t="n">
        <v>279</v>
      </c>
      <c r="B280" s="3" t="n">
        <v>6</v>
      </c>
      <c r="C280" s="3" t="s">
        <v>2065</v>
      </c>
      <c r="D280" s="3" t="s">
        <v>2066</v>
      </c>
      <c r="E280" s="3" t="s">
        <v>2067</v>
      </c>
      <c r="F280" s="3" t="s">
        <v>2068</v>
      </c>
      <c r="G280" s="3" t="s">
        <v>2069</v>
      </c>
      <c r="H280" s="3" t="s">
        <v>310</v>
      </c>
      <c r="I280" s="3" t="s">
        <v>69</v>
      </c>
      <c r="J280" s="3" t="s">
        <v>2070</v>
      </c>
      <c r="K280" s="3" t="s">
        <v>2071</v>
      </c>
      <c r="L280" s="3" t="s">
        <v>53</v>
      </c>
      <c r="M280" s="3" t="n">
        <v>9209.37</v>
      </c>
      <c r="N280" s="3" t="s">
        <v>55</v>
      </c>
      <c r="O280" s="3" t="n">
        <f aca="false">IFERROR(LEN(C280&amp;D280&amp;E280&amp;F280&amp;G280&amp;H280&amp;I280&amp;J280&amp;K280&amp;L280&amp;M280&amp;N280)/5,0)</f>
        <v>29.6</v>
      </c>
      <c r="P280" s="3" t="str">
        <f aca="false">IF(OR(D280="",C280=""),"",IF((IFERROR(IF(AND(TRIM(D280)=D280,LEN(D280)&gt;0),0,1),1)+IFERROR(IF(AND(LEN(E280)=10,ISNUMBER(VALUE(E280))),0,1),1)+IFERROR(IF(AND(ISNUMBER(SEARCH("@",F280)),ISNUMBER(SEARCH(".",F280))),0,1),1)+IFERROR(IF(AND(LEN(J280)=6,ISNUMBER(VALUE(J280))),0,1),1)+IFERROR(IF(ISNUMBER(MATCH(TRIM(I280),Lists!$A$2:$A$20,0)),0,1),1)+IFERROR(IF(AND(LEN(K280)=10,VALUE(LEFT(K280,FIND("/",K280)-1))&gt;=1,VALUE(LEFT(K280,FIND("/",K280)-1))&lt;=31,VALUE(LEFT(MID(K280,FIND("/",K280)+1,10),FIND("/",MID(K280,FIND("/",K280)+1,10))-1))&gt;=1,VALUE(LEFT(MID(K280,FIND("/",K280)+1,10),FIND("/",MID(K280,FIND("/",K280)+1,10))-1))&lt;=12,VALUE(LEFT(K280,FIND("/",K280)-1))&lt;=DAY(EOMONTH(DATE(VALUE(MID(MID(K280,FIND("/",K280)+1,10),FIND("/",MID(K280,FIND("/",K280)+1,10))+1,4)),VALUE(LEFT(MID(K280,FIND("/",K280)+1,10),FIND("/",MID(K280,FIND("/",K280)+1,10))-1)),1),0))),0,1),1)+IFERROR(IF(M280&gt;=0,0,1),1)+IFERROR(IF(ISNUMBER(MATCH(N280,Lists!$B$2:$B$7,0)),0,1),1))=0,"OK","ERROR"))</f>
        <v>OK</v>
      </c>
      <c r="Q280" s="3" t="str">
        <f aca="false">IF(D280="","",TRIM(IF(IFERROR(IF(AND(TRIM(D280)=D280,LEN(D280)&gt;0),0,1),1)=1,"Name; ","")&amp;IF(IFERROR(IF(AND(LEN(E280)=10,ISNUMBER(VALUE(E280))),0,1),1)=1,"Phone; ","")&amp;IF(IFERROR(IF(AND(ISNUMBER(SEARCH("@",F280)),ISNUMBER(SEARCH(".",F280))),0,1),1)=1,"Email; ","")&amp;IF(IFERROR(IF(AND(LEN(J280)=6,ISNUMBER(VALUE(J280))),0,1),1)=1,"Pincode; ","")&amp;IF(IFERROR(IF(ISNUMBER(MATCH(TRIM(I280),Lists!$A$2:$A$20,0)),0,1),1)=1,"State; ","")&amp;IF(IFERROR(IF(AND(LEN(K280)=10,VALUE(LEFT(K280,FIND("/",K280)-1))&gt;=1,VALUE(LEFT(K280,FIND("/",K280)-1))&lt;=31,VALUE(LEFT(MID(K280,FIND("/",K280)+1,10),FIND("/",MID(K280,FIND("/",K280)+1,10))-1))&gt;=1,VALUE(LEFT(MID(K280,FIND("/",K280)+1,10),FIND("/",MID(K280,FIND("/",K280)+1,10))-1))&lt;=12,VALUE(LEFT(K280,FIND("/",K280)-1))&lt;=DAY(EOMONTH(DATE(VALUE(MID(MID(K280,FIND("/",K280)+1,10),FIND("/",MID(K280,FIND("/",K280)+1,10))+1,4)),VALUE(LEFT(MID(K280,FIND("/",K280)+1,10),FIND("/",MID(K280,FIND("/",K280)+1,10))-1)),1),0))),0,1),1)=1,"Date; ","")&amp;IF(IFERROR(IF(M280&gt;=0,0,1),1)=1,"Amount; ","")&amp;IF(IFERROR(IF(ISNUMBER(MATCH(N280,Lists!$B$2:$B$7,0)),0,1),1)=1,"Payment; ","")))</f>
        <v/>
      </c>
      <c r="R280" s="3" t="str">
        <f aca="false">IF(D280="","",IF(COUNTIFS($D$2:$D$701,D280,$E$2:$E$701,E280)&gt;1,"DUPLICATE","Unique"))</f>
        <v>Unique</v>
      </c>
    </row>
    <row r="281" customFormat="false" ht="15" hidden="false" customHeight="false" outlineLevel="0" collapsed="false">
      <c r="A281" s="3" t="n">
        <v>280</v>
      </c>
      <c r="B281" s="3" t="n">
        <v>6</v>
      </c>
      <c r="C281" s="3" t="s">
        <v>2072</v>
      </c>
      <c r="D281" s="3" t="s">
        <v>2073</v>
      </c>
      <c r="E281" s="3" t="s">
        <v>2074</v>
      </c>
      <c r="F281" s="3" t="s">
        <v>2075</v>
      </c>
      <c r="G281" s="3" t="s">
        <v>2076</v>
      </c>
      <c r="H281" s="3" t="s">
        <v>165</v>
      </c>
      <c r="I281" s="3" t="s">
        <v>63</v>
      </c>
      <c r="J281" s="3" t="s">
        <v>2077</v>
      </c>
      <c r="K281" s="3" t="s">
        <v>2078</v>
      </c>
      <c r="L281" s="3" t="s">
        <v>72</v>
      </c>
      <c r="M281" s="3" t="n">
        <v>691.72</v>
      </c>
      <c r="N281" s="3" t="s">
        <v>49</v>
      </c>
      <c r="O281" s="3" t="n">
        <f aca="false">IFERROR(LEN(C281&amp;D281&amp;E281&amp;F281&amp;G281&amp;H281&amp;I281&amp;J281&amp;K281&amp;L281&amp;M281&amp;N281)/5,0)</f>
        <v>26.6</v>
      </c>
      <c r="P281" s="3" t="str">
        <f aca="false">IF(OR(D281="",C281=""),"",IF((IFERROR(IF(AND(TRIM(D281)=D281,LEN(D281)&gt;0),0,1),1)+IFERROR(IF(AND(LEN(E281)=10,ISNUMBER(VALUE(E281))),0,1),1)+IFERROR(IF(AND(ISNUMBER(SEARCH("@",F281)),ISNUMBER(SEARCH(".",F281))),0,1),1)+IFERROR(IF(AND(LEN(J281)=6,ISNUMBER(VALUE(J281))),0,1),1)+IFERROR(IF(ISNUMBER(MATCH(TRIM(I281),Lists!$A$2:$A$20,0)),0,1),1)+IFERROR(IF(AND(LEN(K281)=10,VALUE(LEFT(K281,FIND("/",K281)-1))&gt;=1,VALUE(LEFT(K281,FIND("/",K281)-1))&lt;=31,VALUE(LEFT(MID(K281,FIND("/",K281)+1,10),FIND("/",MID(K281,FIND("/",K281)+1,10))-1))&gt;=1,VALUE(LEFT(MID(K281,FIND("/",K281)+1,10),FIND("/",MID(K281,FIND("/",K281)+1,10))-1))&lt;=12,VALUE(LEFT(K281,FIND("/",K281)-1))&lt;=DAY(EOMONTH(DATE(VALUE(MID(MID(K281,FIND("/",K281)+1,10),FIND("/",MID(K281,FIND("/",K281)+1,10))+1,4)),VALUE(LEFT(MID(K281,FIND("/",K281)+1,10),FIND("/",MID(K281,FIND("/",K281)+1,10))-1)),1),0))),0,1),1)+IFERROR(IF(M281&gt;=0,0,1),1)+IFERROR(IF(ISNUMBER(MATCH(N281,Lists!$B$2:$B$7,0)),0,1),1))=0,"OK","ERROR"))</f>
        <v>OK</v>
      </c>
      <c r="Q281" s="3" t="str">
        <f aca="false">IF(D281="","",TRIM(IF(IFERROR(IF(AND(TRIM(D281)=D281,LEN(D281)&gt;0),0,1),1)=1,"Name; ","")&amp;IF(IFERROR(IF(AND(LEN(E281)=10,ISNUMBER(VALUE(E281))),0,1),1)=1,"Phone; ","")&amp;IF(IFERROR(IF(AND(ISNUMBER(SEARCH("@",F281)),ISNUMBER(SEARCH(".",F281))),0,1),1)=1,"Email; ","")&amp;IF(IFERROR(IF(AND(LEN(J281)=6,ISNUMBER(VALUE(J281))),0,1),1)=1,"Pincode; ","")&amp;IF(IFERROR(IF(ISNUMBER(MATCH(TRIM(I281),Lists!$A$2:$A$20,0)),0,1),1)=1,"State; ","")&amp;IF(IFERROR(IF(AND(LEN(K281)=10,VALUE(LEFT(K281,FIND("/",K281)-1))&gt;=1,VALUE(LEFT(K281,FIND("/",K281)-1))&lt;=31,VALUE(LEFT(MID(K281,FIND("/",K281)+1,10),FIND("/",MID(K281,FIND("/",K281)+1,10))-1))&gt;=1,VALUE(LEFT(MID(K281,FIND("/",K281)+1,10),FIND("/",MID(K281,FIND("/",K281)+1,10))-1))&lt;=12,VALUE(LEFT(K281,FIND("/",K281)-1))&lt;=DAY(EOMONTH(DATE(VALUE(MID(MID(K281,FIND("/",K281)+1,10),FIND("/",MID(K281,FIND("/",K281)+1,10))+1,4)),VALUE(LEFT(MID(K281,FIND("/",K281)+1,10),FIND("/",MID(K281,FIND("/",K281)+1,10))-1)),1),0))),0,1),1)=1,"Date; ","")&amp;IF(IFERROR(IF(M281&gt;=0,0,1),1)=1,"Amount; ","")&amp;IF(IFERROR(IF(ISNUMBER(MATCH(N281,Lists!$B$2:$B$7,0)),0,1),1)=1,"Payment; ","")))</f>
        <v/>
      </c>
      <c r="R281" s="3" t="str">
        <f aca="false">IF(D281="","",IF(COUNTIFS($D$2:$D$701,D281,$E$2:$E$701,E281)&gt;1,"DUPLICATE","Unique"))</f>
        <v>Unique</v>
      </c>
    </row>
    <row r="282" customFormat="false" ht="15" hidden="false" customHeight="false" outlineLevel="0" collapsed="false">
      <c r="A282" s="3" t="n">
        <v>281</v>
      </c>
      <c r="B282" s="3" t="n">
        <v>6</v>
      </c>
      <c r="C282" s="3" t="s">
        <v>2079</v>
      </c>
      <c r="D282" s="3" t="s">
        <v>2080</v>
      </c>
      <c r="E282" s="3" t="s">
        <v>2081</v>
      </c>
      <c r="F282" s="3" t="s">
        <v>2082</v>
      </c>
      <c r="G282" s="3" t="s">
        <v>2083</v>
      </c>
      <c r="H282" s="3" t="s">
        <v>266</v>
      </c>
      <c r="I282" s="3" t="s">
        <v>78</v>
      </c>
      <c r="J282" s="3" t="s">
        <v>2084</v>
      </c>
      <c r="K282" s="3" t="s">
        <v>214</v>
      </c>
      <c r="L282" s="3" t="s">
        <v>41</v>
      </c>
      <c r="M282" s="3" t="n">
        <v>1332.59</v>
      </c>
      <c r="N282" s="3" t="s">
        <v>40</v>
      </c>
      <c r="O282" s="3" t="n">
        <f aca="false">IFERROR(LEN(C282&amp;D282&amp;E282&amp;F282&amp;G282&amp;H282&amp;I282&amp;J282&amp;K282&amp;L282&amp;M282&amp;N282)/5,0)</f>
        <v>27.8</v>
      </c>
      <c r="P282" s="3" t="str">
        <f aca="false">IF(OR(D282="",C282=""),"",IF((IFERROR(IF(AND(TRIM(D282)=D282,LEN(D282)&gt;0),0,1),1)+IFERROR(IF(AND(LEN(E282)=10,ISNUMBER(VALUE(E282))),0,1),1)+IFERROR(IF(AND(ISNUMBER(SEARCH("@",F282)),ISNUMBER(SEARCH(".",F282))),0,1),1)+IFERROR(IF(AND(LEN(J282)=6,ISNUMBER(VALUE(J282))),0,1),1)+IFERROR(IF(ISNUMBER(MATCH(TRIM(I282),Lists!$A$2:$A$20,0)),0,1),1)+IFERROR(IF(AND(LEN(K282)=10,VALUE(LEFT(K282,FIND("/",K282)-1))&gt;=1,VALUE(LEFT(K282,FIND("/",K282)-1))&lt;=31,VALUE(LEFT(MID(K282,FIND("/",K282)+1,10),FIND("/",MID(K282,FIND("/",K282)+1,10))-1))&gt;=1,VALUE(LEFT(MID(K282,FIND("/",K282)+1,10),FIND("/",MID(K282,FIND("/",K282)+1,10))-1))&lt;=12,VALUE(LEFT(K282,FIND("/",K282)-1))&lt;=DAY(EOMONTH(DATE(VALUE(MID(MID(K282,FIND("/",K282)+1,10),FIND("/",MID(K282,FIND("/",K282)+1,10))+1,4)),VALUE(LEFT(MID(K282,FIND("/",K282)+1,10),FIND("/",MID(K282,FIND("/",K282)+1,10))-1)),1),0))),0,1),1)+IFERROR(IF(M282&gt;=0,0,1),1)+IFERROR(IF(ISNUMBER(MATCH(N282,Lists!$B$2:$B$7,0)),0,1),1))=0,"OK","ERROR"))</f>
        <v>OK</v>
      </c>
      <c r="Q282" s="3" t="str">
        <f aca="false">IF(D282="","",TRIM(IF(IFERROR(IF(AND(TRIM(D282)=D282,LEN(D282)&gt;0),0,1),1)=1,"Name; ","")&amp;IF(IFERROR(IF(AND(LEN(E282)=10,ISNUMBER(VALUE(E282))),0,1),1)=1,"Phone; ","")&amp;IF(IFERROR(IF(AND(ISNUMBER(SEARCH("@",F282)),ISNUMBER(SEARCH(".",F282))),0,1),1)=1,"Email; ","")&amp;IF(IFERROR(IF(AND(LEN(J282)=6,ISNUMBER(VALUE(J282))),0,1),1)=1,"Pincode; ","")&amp;IF(IFERROR(IF(ISNUMBER(MATCH(TRIM(I282),Lists!$A$2:$A$20,0)),0,1),1)=1,"State; ","")&amp;IF(IFERROR(IF(AND(LEN(K282)=10,VALUE(LEFT(K282,FIND("/",K282)-1))&gt;=1,VALUE(LEFT(K282,FIND("/",K282)-1))&lt;=31,VALUE(LEFT(MID(K282,FIND("/",K282)+1,10),FIND("/",MID(K282,FIND("/",K282)+1,10))-1))&gt;=1,VALUE(LEFT(MID(K282,FIND("/",K282)+1,10),FIND("/",MID(K282,FIND("/",K282)+1,10))-1))&lt;=12,VALUE(LEFT(K282,FIND("/",K282)-1))&lt;=DAY(EOMONTH(DATE(VALUE(MID(MID(K282,FIND("/",K282)+1,10),FIND("/",MID(K282,FIND("/",K282)+1,10))+1,4)),VALUE(LEFT(MID(K282,FIND("/",K282)+1,10),FIND("/",MID(K282,FIND("/",K282)+1,10))-1)),1),0))),0,1),1)=1,"Date; ","")&amp;IF(IFERROR(IF(M282&gt;=0,0,1),1)=1,"Amount; ","")&amp;IF(IFERROR(IF(ISNUMBER(MATCH(N282,Lists!$B$2:$B$7,0)),0,1),1)=1,"Payment; ","")))</f>
        <v/>
      </c>
      <c r="R282" s="3" t="str">
        <f aca="false">IF(D282="","",IF(COUNTIFS($D$2:$D$701,D282,$E$2:$E$701,E282)&gt;1,"DUPLICATE","Unique"))</f>
        <v>Unique</v>
      </c>
    </row>
    <row r="283" customFormat="false" ht="15" hidden="false" customHeight="false" outlineLevel="0" collapsed="false">
      <c r="A283" s="3" t="n">
        <v>282</v>
      </c>
      <c r="B283" s="3" t="n">
        <v>6</v>
      </c>
      <c r="C283" s="3" t="s">
        <v>2085</v>
      </c>
      <c r="D283" s="3" t="s">
        <v>2086</v>
      </c>
      <c r="E283" s="3" t="s">
        <v>2087</v>
      </c>
      <c r="F283" s="3" t="s">
        <v>2088</v>
      </c>
      <c r="G283" s="3" t="s">
        <v>2089</v>
      </c>
      <c r="H283" s="3" t="s">
        <v>480</v>
      </c>
      <c r="I283" s="3" t="s">
        <v>51</v>
      </c>
      <c r="J283" s="3" t="s">
        <v>2090</v>
      </c>
      <c r="K283" s="3" t="s">
        <v>2091</v>
      </c>
      <c r="L283" s="3" t="s">
        <v>47</v>
      </c>
      <c r="M283" s="3" t="n">
        <v>6910.4</v>
      </c>
      <c r="N283" s="3" t="s">
        <v>40</v>
      </c>
      <c r="O283" s="3" t="n">
        <f aca="false">IFERROR(LEN(C283&amp;D283&amp;E283&amp;F283&amp;G283&amp;H283&amp;I283&amp;J283&amp;K283&amp;L283&amp;M283&amp;N283)/5,0)</f>
        <v>25.4</v>
      </c>
      <c r="P283" s="3" t="str">
        <f aca="false">IF(OR(D283="",C283=""),"",IF((IFERROR(IF(AND(TRIM(D283)=D283,LEN(D283)&gt;0),0,1),1)+IFERROR(IF(AND(LEN(E283)=10,ISNUMBER(VALUE(E283))),0,1),1)+IFERROR(IF(AND(ISNUMBER(SEARCH("@",F283)),ISNUMBER(SEARCH(".",F283))),0,1),1)+IFERROR(IF(AND(LEN(J283)=6,ISNUMBER(VALUE(J283))),0,1),1)+IFERROR(IF(ISNUMBER(MATCH(TRIM(I283),Lists!$A$2:$A$20,0)),0,1),1)+IFERROR(IF(AND(LEN(K283)=10,VALUE(LEFT(K283,FIND("/",K283)-1))&gt;=1,VALUE(LEFT(K283,FIND("/",K283)-1))&lt;=31,VALUE(LEFT(MID(K283,FIND("/",K283)+1,10),FIND("/",MID(K283,FIND("/",K283)+1,10))-1))&gt;=1,VALUE(LEFT(MID(K283,FIND("/",K283)+1,10),FIND("/",MID(K283,FIND("/",K283)+1,10))-1))&lt;=12,VALUE(LEFT(K283,FIND("/",K283)-1))&lt;=DAY(EOMONTH(DATE(VALUE(MID(MID(K283,FIND("/",K283)+1,10),FIND("/",MID(K283,FIND("/",K283)+1,10))+1,4)),VALUE(LEFT(MID(K283,FIND("/",K283)+1,10),FIND("/",MID(K283,FIND("/",K283)+1,10))-1)),1),0))),0,1),1)+IFERROR(IF(M283&gt;=0,0,1),1)+IFERROR(IF(ISNUMBER(MATCH(N283,Lists!$B$2:$B$7,0)),0,1),1))=0,"OK","ERROR"))</f>
        <v>OK</v>
      </c>
      <c r="Q283" s="3" t="str">
        <f aca="false">IF(D283="","",TRIM(IF(IFERROR(IF(AND(TRIM(D283)=D283,LEN(D283)&gt;0),0,1),1)=1,"Name; ","")&amp;IF(IFERROR(IF(AND(LEN(E283)=10,ISNUMBER(VALUE(E283))),0,1),1)=1,"Phone; ","")&amp;IF(IFERROR(IF(AND(ISNUMBER(SEARCH("@",F283)),ISNUMBER(SEARCH(".",F283))),0,1),1)=1,"Email; ","")&amp;IF(IFERROR(IF(AND(LEN(J283)=6,ISNUMBER(VALUE(J283))),0,1),1)=1,"Pincode; ","")&amp;IF(IFERROR(IF(ISNUMBER(MATCH(TRIM(I283),Lists!$A$2:$A$20,0)),0,1),1)=1,"State; ","")&amp;IF(IFERROR(IF(AND(LEN(K283)=10,VALUE(LEFT(K283,FIND("/",K283)-1))&gt;=1,VALUE(LEFT(K283,FIND("/",K283)-1))&lt;=31,VALUE(LEFT(MID(K283,FIND("/",K283)+1,10),FIND("/",MID(K283,FIND("/",K283)+1,10))-1))&gt;=1,VALUE(LEFT(MID(K283,FIND("/",K283)+1,10),FIND("/",MID(K283,FIND("/",K283)+1,10))-1))&lt;=12,VALUE(LEFT(K283,FIND("/",K283)-1))&lt;=DAY(EOMONTH(DATE(VALUE(MID(MID(K283,FIND("/",K283)+1,10),FIND("/",MID(K283,FIND("/",K283)+1,10))+1,4)),VALUE(LEFT(MID(K283,FIND("/",K283)+1,10),FIND("/",MID(K283,FIND("/",K283)+1,10))-1)),1),0))),0,1),1)=1,"Date; ","")&amp;IF(IFERROR(IF(M283&gt;=0,0,1),1)=1,"Amount; ","")&amp;IF(IFERROR(IF(ISNUMBER(MATCH(N283,Lists!$B$2:$B$7,0)),0,1),1)=1,"Payment; ","")))</f>
        <v/>
      </c>
      <c r="R283" s="3" t="str">
        <f aca="false">IF(D283="","",IF(COUNTIFS($D$2:$D$701,D283,$E$2:$E$701,E283)&gt;1,"DUPLICATE","Unique"))</f>
        <v>Unique</v>
      </c>
    </row>
    <row r="284" customFormat="false" ht="15" hidden="false" customHeight="false" outlineLevel="0" collapsed="false">
      <c r="A284" s="3" t="n">
        <v>283</v>
      </c>
      <c r="B284" s="3" t="n">
        <v>6</v>
      </c>
      <c r="C284" s="3" t="s">
        <v>2092</v>
      </c>
      <c r="D284" s="3" t="s">
        <v>2093</v>
      </c>
      <c r="E284" s="3" t="s">
        <v>2094</v>
      </c>
      <c r="F284" s="3" t="s">
        <v>2095</v>
      </c>
      <c r="G284" s="3" t="s">
        <v>2096</v>
      </c>
      <c r="H284" s="3" t="s">
        <v>266</v>
      </c>
      <c r="I284" s="3" t="s">
        <v>78</v>
      </c>
      <c r="J284" s="3" t="s">
        <v>2097</v>
      </c>
      <c r="K284" s="3" t="s">
        <v>2098</v>
      </c>
      <c r="L284" s="3" t="s">
        <v>72</v>
      </c>
      <c r="M284" s="3" t="n">
        <v>15740.96</v>
      </c>
      <c r="N284" s="3" t="s">
        <v>46</v>
      </c>
      <c r="O284" s="3" t="n">
        <f aca="false">IFERROR(LEN(C284&amp;D284&amp;E284&amp;F284&amp;G284&amp;H284&amp;I284&amp;J284&amp;K284&amp;L284&amp;M284&amp;N284)/5,0)</f>
        <v>29.8</v>
      </c>
      <c r="P284" s="3" t="str">
        <f aca="false">IF(OR(D284="",C284=""),"",IF((IFERROR(IF(AND(TRIM(D284)=D284,LEN(D284)&gt;0),0,1),1)+IFERROR(IF(AND(LEN(E284)=10,ISNUMBER(VALUE(E284))),0,1),1)+IFERROR(IF(AND(ISNUMBER(SEARCH("@",F284)),ISNUMBER(SEARCH(".",F284))),0,1),1)+IFERROR(IF(AND(LEN(J284)=6,ISNUMBER(VALUE(J284))),0,1),1)+IFERROR(IF(ISNUMBER(MATCH(TRIM(I284),Lists!$A$2:$A$20,0)),0,1),1)+IFERROR(IF(AND(LEN(K284)=10,VALUE(LEFT(K284,FIND("/",K284)-1))&gt;=1,VALUE(LEFT(K284,FIND("/",K284)-1))&lt;=31,VALUE(LEFT(MID(K284,FIND("/",K284)+1,10),FIND("/",MID(K284,FIND("/",K284)+1,10))-1))&gt;=1,VALUE(LEFT(MID(K284,FIND("/",K284)+1,10),FIND("/",MID(K284,FIND("/",K284)+1,10))-1))&lt;=12,VALUE(LEFT(K284,FIND("/",K284)-1))&lt;=DAY(EOMONTH(DATE(VALUE(MID(MID(K284,FIND("/",K284)+1,10),FIND("/",MID(K284,FIND("/",K284)+1,10))+1,4)),VALUE(LEFT(MID(K284,FIND("/",K284)+1,10),FIND("/",MID(K284,FIND("/",K284)+1,10))-1)),1),0))),0,1),1)+IFERROR(IF(M284&gt;=0,0,1),1)+IFERROR(IF(ISNUMBER(MATCH(N284,Lists!$B$2:$B$7,0)),0,1),1))=0,"OK","ERROR"))</f>
        <v>OK</v>
      </c>
      <c r="Q284" s="3" t="str">
        <f aca="false">IF(D284="","",TRIM(IF(IFERROR(IF(AND(TRIM(D284)=D284,LEN(D284)&gt;0),0,1),1)=1,"Name; ","")&amp;IF(IFERROR(IF(AND(LEN(E284)=10,ISNUMBER(VALUE(E284))),0,1),1)=1,"Phone; ","")&amp;IF(IFERROR(IF(AND(ISNUMBER(SEARCH("@",F284)),ISNUMBER(SEARCH(".",F284))),0,1),1)=1,"Email; ","")&amp;IF(IFERROR(IF(AND(LEN(J284)=6,ISNUMBER(VALUE(J284))),0,1),1)=1,"Pincode; ","")&amp;IF(IFERROR(IF(ISNUMBER(MATCH(TRIM(I284),Lists!$A$2:$A$20,0)),0,1),1)=1,"State; ","")&amp;IF(IFERROR(IF(AND(LEN(K284)=10,VALUE(LEFT(K284,FIND("/",K284)-1))&gt;=1,VALUE(LEFT(K284,FIND("/",K284)-1))&lt;=31,VALUE(LEFT(MID(K284,FIND("/",K284)+1,10),FIND("/",MID(K284,FIND("/",K284)+1,10))-1))&gt;=1,VALUE(LEFT(MID(K284,FIND("/",K284)+1,10),FIND("/",MID(K284,FIND("/",K284)+1,10))-1))&lt;=12,VALUE(LEFT(K284,FIND("/",K284)-1))&lt;=DAY(EOMONTH(DATE(VALUE(MID(MID(K284,FIND("/",K284)+1,10),FIND("/",MID(K284,FIND("/",K284)+1,10))+1,4)),VALUE(LEFT(MID(K284,FIND("/",K284)+1,10),FIND("/",MID(K284,FIND("/",K284)+1,10))-1)),1),0))),0,1),1)=1,"Date; ","")&amp;IF(IFERROR(IF(M284&gt;=0,0,1),1)=1,"Amount; ","")&amp;IF(IFERROR(IF(ISNUMBER(MATCH(N284,Lists!$B$2:$B$7,0)),0,1),1)=1,"Payment; ","")))</f>
        <v/>
      </c>
      <c r="R284" s="3" t="str">
        <f aca="false">IF(D284="","",IF(COUNTIFS($D$2:$D$701,D284,$E$2:$E$701,E284)&gt;1,"DUPLICATE","Unique"))</f>
        <v>Unique</v>
      </c>
    </row>
    <row r="285" customFormat="false" ht="15" hidden="false" customHeight="false" outlineLevel="0" collapsed="false">
      <c r="A285" s="3" t="n">
        <v>284</v>
      </c>
      <c r="B285" s="3" t="n">
        <v>6</v>
      </c>
      <c r="C285" s="3" t="s">
        <v>2099</v>
      </c>
      <c r="D285" s="3" t="s">
        <v>2100</v>
      </c>
      <c r="E285" s="3" t="s">
        <v>2101</v>
      </c>
      <c r="F285" s="3" t="s">
        <v>2102</v>
      </c>
      <c r="G285" s="3" t="s">
        <v>2103</v>
      </c>
      <c r="H285" s="3" t="s">
        <v>1738</v>
      </c>
      <c r="I285" s="3" t="s">
        <v>73</v>
      </c>
      <c r="J285" s="3" t="s">
        <v>2104</v>
      </c>
      <c r="K285" s="3" t="s">
        <v>2105</v>
      </c>
      <c r="L285" s="3" t="s">
        <v>68</v>
      </c>
      <c r="M285" s="3" t="n">
        <v>5436.92</v>
      </c>
      <c r="N285" s="3" t="s">
        <v>46</v>
      </c>
      <c r="O285" s="3" t="n">
        <f aca="false">IFERROR(LEN(C285&amp;D285&amp;E285&amp;F285&amp;G285&amp;H285&amp;I285&amp;J285&amp;K285&amp;L285&amp;M285&amp;N285)/5,0)</f>
        <v>27</v>
      </c>
      <c r="P285" s="3" t="str">
        <f aca="false">IF(OR(D285="",C285=""),"",IF((IFERROR(IF(AND(TRIM(D285)=D285,LEN(D285)&gt;0),0,1),1)+IFERROR(IF(AND(LEN(E285)=10,ISNUMBER(VALUE(E285))),0,1),1)+IFERROR(IF(AND(ISNUMBER(SEARCH("@",F285)),ISNUMBER(SEARCH(".",F285))),0,1),1)+IFERROR(IF(AND(LEN(J285)=6,ISNUMBER(VALUE(J285))),0,1),1)+IFERROR(IF(ISNUMBER(MATCH(TRIM(I285),Lists!$A$2:$A$20,0)),0,1),1)+IFERROR(IF(AND(LEN(K285)=10,VALUE(LEFT(K285,FIND("/",K285)-1))&gt;=1,VALUE(LEFT(K285,FIND("/",K285)-1))&lt;=31,VALUE(LEFT(MID(K285,FIND("/",K285)+1,10),FIND("/",MID(K285,FIND("/",K285)+1,10))-1))&gt;=1,VALUE(LEFT(MID(K285,FIND("/",K285)+1,10),FIND("/",MID(K285,FIND("/",K285)+1,10))-1))&lt;=12,VALUE(LEFT(K285,FIND("/",K285)-1))&lt;=DAY(EOMONTH(DATE(VALUE(MID(MID(K285,FIND("/",K285)+1,10),FIND("/",MID(K285,FIND("/",K285)+1,10))+1,4)),VALUE(LEFT(MID(K285,FIND("/",K285)+1,10),FIND("/",MID(K285,FIND("/",K285)+1,10))-1)),1),0))),0,1),1)+IFERROR(IF(M285&gt;=0,0,1),1)+IFERROR(IF(ISNUMBER(MATCH(N285,Lists!$B$2:$B$7,0)),0,1),1))=0,"OK","ERROR"))</f>
        <v>OK</v>
      </c>
      <c r="Q285" s="3" t="str">
        <f aca="false">IF(D285="","",TRIM(IF(IFERROR(IF(AND(TRIM(D285)=D285,LEN(D285)&gt;0),0,1),1)=1,"Name; ","")&amp;IF(IFERROR(IF(AND(LEN(E285)=10,ISNUMBER(VALUE(E285))),0,1),1)=1,"Phone; ","")&amp;IF(IFERROR(IF(AND(ISNUMBER(SEARCH("@",F285)),ISNUMBER(SEARCH(".",F285))),0,1),1)=1,"Email; ","")&amp;IF(IFERROR(IF(AND(LEN(J285)=6,ISNUMBER(VALUE(J285))),0,1),1)=1,"Pincode; ","")&amp;IF(IFERROR(IF(ISNUMBER(MATCH(TRIM(I285),Lists!$A$2:$A$20,0)),0,1),1)=1,"State; ","")&amp;IF(IFERROR(IF(AND(LEN(K285)=10,VALUE(LEFT(K285,FIND("/",K285)-1))&gt;=1,VALUE(LEFT(K285,FIND("/",K285)-1))&lt;=31,VALUE(LEFT(MID(K285,FIND("/",K285)+1,10),FIND("/",MID(K285,FIND("/",K285)+1,10))-1))&gt;=1,VALUE(LEFT(MID(K285,FIND("/",K285)+1,10),FIND("/",MID(K285,FIND("/",K285)+1,10))-1))&lt;=12,VALUE(LEFT(K285,FIND("/",K285)-1))&lt;=DAY(EOMONTH(DATE(VALUE(MID(MID(K285,FIND("/",K285)+1,10),FIND("/",MID(K285,FIND("/",K285)+1,10))+1,4)),VALUE(LEFT(MID(K285,FIND("/",K285)+1,10),FIND("/",MID(K285,FIND("/",K285)+1,10))-1)),1),0))),0,1),1)=1,"Date; ","")&amp;IF(IFERROR(IF(M285&gt;=0,0,1),1)=1,"Amount; ","")&amp;IF(IFERROR(IF(ISNUMBER(MATCH(N285,Lists!$B$2:$B$7,0)),0,1),1)=1,"Payment; ","")))</f>
        <v/>
      </c>
      <c r="R285" s="3" t="str">
        <f aca="false">IF(D285="","",IF(COUNTIFS($D$2:$D$701,D285,$E$2:$E$701,E285)&gt;1,"DUPLICATE","Unique"))</f>
        <v>Unique</v>
      </c>
    </row>
    <row r="286" customFormat="false" ht="15" hidden="false" customHeight="false" outlineLevel="0" collapsed="false">
      <c r="A286" s="3" t="n">
        <v>285</v>
      </c>
      <c r="B286" s="3" t="n">
        <v>6</v>
      </c>
      <c r="C286" s="3" t="s">
        <v>2106</v>
      </c>
      <c r="D286" s="3" t="s">
        <v>2107</v>
      </c>
      <c r="E286" s="3" t="s">
        <v>2108</v>
      </c>
      <c r="F286" s="3" t="s">
        <v>2109</v>
      </c>
      <c r="G286" s="3" t="s">
        <v>2110</v>
      </c>
      <c r="H286" s="3" t="s">
        <v>165</v>
      </c>
      <c r="I286" s="3" t="s">
        <v>63</v>
      </c>
      <c r="J286" s="3" t="s">
        <v>2111</v>
      </c>
      <c r="K286" s="3" t="s">
        <v>2112</v>
      </c>
      <c r="L286" s="3" t="s">
        <v>62</v>
      </c>
      <c r="M286" s="3" t="n">
        <v>1413.42</v>
      </c>
      <c r="N286" s="3" t="s">
        <v>46</v>
      </c>
      <c r="O286" s="3" t="n">
        <f aca="false">IFERROR(LEN(C286&amp;D286&amp;E286&amp;F286&amp;G286&amp;H286&amp;I286&amp;J286&amp;K286&amp;L286&amp;M286&amp;N286)/5,0)</f>
        <v>25.8</v>
      </c>
      <c r="P286" s="3" t="str">
        <f aca="false">IF(OR(D286="",C286=""),"",IF((IFERROR(IF(AND(TRIM(D286)=D286,LEN(D286)&gt;0),0,1),1)+IFERROR(IF(AND(LEN(E286)=10,ISNUMBER(VALUE(E286))),0,1),1)+IFERROR(IF(AND(ISNUMBER(SEARCH("@",F286)),ISNUMBER(SEARCH(".",F286))),0,1),1)+IFERROR(IF(AND(LEN(J286)=6,ISNUMBER(VALUE(J286))),0,1),1)+IFERROR(IF(ISNUMBER(MATCH(TRIM(I286),Lists!$A$2:$A$20,0)),0,1),1)+IFERROR(IF(AND(LEN(K286)=10,VALUE(LEFT(K286,FIND("/",K286)-1))&gt;=1,VALUE(LEFT(K286,FIND("/",K286)-1))&lt;=31,VALUE(LEFT(MID(K286,FIND("/",K286)+1,10),FIND("/",MID(K286,FIND("/",K286)+1,10))-1))&gt;=1,VALUE(LEFT(MID(K286,FIND("/",K286)+1,10),FIND("/",MID(K286,FIND("/",K286)+1,10))-1))&lt;=12,VALUE(LEFT(K286,FIND("/",K286)-1))&lt;=DAY(EOMONTH(DATE(VALUE(MID(MID(K286,FIND("/",K286)+1,10),FIND("/",MID(K286,FIND("/",K286)+1,10))+1,4)),VALUE(LEFT(MID(K286,FIND("/",K286)+1,10),FIND("/",MID(K286,FIND("/",K286)+1,10))-1)),1),0))),0,1),1)+IFERROR(IF(M286&gt;=0,0,1),1)+IFERROR(IF(ISNUMBER(MATCH(N286,Lists!$B$2:$B$7,0)),0,1),1))=0,"OK","ERROR"))</f>
        <v>OK</v>
      </c>
      <c r="Q286" s="3" t="str">
        <f aca="false">IF(D286="","",TRIM(IF(IFERROR(IF(AND(TRIM(D286)=D286,LEN(D286)&gt;0),0,1),1)=1,"Name; ","")&amp;IF(IFERROR(IF(AND(LEN(E286)=10,ISNUMBER(VALUE(E286))),0,1),1)=1,"Phone; ","")&amp;IF(IFERROR(IF(AND(ISNUMBER(SEARCH("@",F286)),ISNUMBER(SEARCH(".",F286))),0,1),1)=1,"Email; ","")&amp;IF(IFERROR(IF(AND(LEN(J286)=6,ISNUMBER(VALUE(J286))),0,1),1)=1,"Pincode; ","")&amp;IF(IFERROR(IF(ISNUMBER(MATCH(TRIM(I286),Lists!$A$2:$A$20,0)),0,1),1)=1,"State; ","")&amp;IF(IFERROR(IF(AND(LEN(K286)=10,VALUE(LEFT(K286,FIND("/",K286)-1))&gt;=1,VALUE(LEFT(K286,FIND("/",K286)-1))&lt;=31,VALUE(LEFT(MID(K286,FIND("/",K286)+1,10),FIND("/",MID(K286,FIND("/",K286)+1,10))-1))&gt;=1,VALUE(LEFT(MID(K286,FIND("/",K286)+1,10),FIND("/",MID(K286,FIND("/",K286)+1,10))-1))&lt;=12,VALUE(LEFT(K286,FIND("/",K286)-1))&lt;=DAY(EOMONTH(DATE(VALUE(MID(MID(K286,FIND("/",K286)+1,10),FIND("/",MID(K286,FIND("/",K286)+1,10))+1,4)),VALUE(LEFT(MID(K286,FIND("/",K286)+1,10),FIND("/",MID(K286,FIND("/",K286)+1,10))-1)),1),0))),0,1),1)=1,"Date; ","")&amp;IF(IFERROR(IF(M286&gt;=0,0,1),1)=1,"Amount; ","")&amp;IF(IFERROR(IF(ISNUMBER(MATCH(N286,Lists!$B$2:$B$7,0)),0,1),1)=1,"Payment; ","")))</f>
        <v/>
      </c>
      <c r="R286" s="3" t="str">
        <f aca="false">IF(D286="","",IF(COUNTIFS($D$2:$D$701,D286,$E$2:$E$701,E286)&gt;1,"DUPLICATE","Unique"))</f>
        <v>Unique</v>
      </c>
    </row>
    <row r="287" customFormat="false" ht="15" hidden="false" customHeight="false" outlineLevel="0" collapsed="false">
      <c r="A287" s="3" t="n">
        <v>286</v>
      </c>
      <c r="B287" s="3" t="n">
        <v>6</v>
      </c>
      <c r="C287" s="3" t="s">
        <v>2113</v>
      </c>
      <c r="D287" s="3" t="s">
        <v>2114</v>
      </c>
      <c r="E287" s="3" t="s">
        <v>2115</v>
      </c>
      <c r="F287" s="3" t="s">
        <v>2116</v>
      </c>
      <c r="G287" s="3" t="s">
        <v>2117</v>
      </c>
      <c r="H287" s="3" t="s">
        <v>878</v>
      </c>
      <c r="I287" s="3" t="s">
        <v>61</v>
      </c>
      <c r="J287" s="3" t="s">
        <v>2118</v>
      </c>
      <c r="K287" s="3" t="s">
        <v>2119</v>
      </c>
      <c r="L287" s="3" t="s">
        <v>44</v>
      </c>
      <c r="M287" s="3" t="n">
        <v>15483.06</v>
      </c>
      <c r="N287" s="3" t="s">
        <v>52</v>
      </c>
      <c r="O287" s="3" t="n">
        <f aca="false">IFERROR(LEN(C287&amp;D287&amp;E287&amp;F287&amp;G287&amp;H287&amp;I287&amp;J287&amp;K287&amp;L287&amp;M287&amp;N287)/5,0)</f>
        <v>29.2</v>
      </c>
      <c r="P287" s="3" t="str">
        <f aca="false">IF(OR(D287="",C287=""),"",IF((IFERROR(IF(AND(TRIM(D287)=D287,LEN(D287)&gt;0),0,1),1)+IFERROR(IF(AND(LEN(E287)=10,ISNUMBER(VALUE(E287))),0,1),1)+IFERROR(IF(AND(ISNUMBER(SEARCH("@",F287)),ISNUMBER(SEARCH(".",F287))),0,1),1)+IFERROR(IF(AND(LEN(J287)=6,ISNUMBER(VALUE(J287))),0,1),1)+IFERROR(IF(ISNUMBER(MATCH(TRIM(I287),Lists!$A$2:$A$20,0)),0,1),1)+IFERROR(IF(AND(LEN(K287)=10,VALUE(LEFT(K287,FIND("/",K287)-1))&gt;=1,VALUE(LEFT(K287,FIND("/",K287)-1))&lt;=31,VALUE(LEFT(MID(K287,FIND("/",K287)+1,10),FIND("/",MID(K287,FIND("/",K287)+1,10))-1))&gt;=1,VALUE(LEFT(MID(K287,FIND("/",K287)+1,10),FIND("/",MID(K287,FIND("/",K287)+1,10))-1))&lt;=12,VALUE(LEFT(K287,FIND("/",K287)-1))&lt;=DAY(EOMONTH(DATE(VALUE(MID(MID(K287,FIND("/",K287)+1,10),FIND("/",MID(K287,FIND("/",K287)+1,10))+1,4)),VALUE(LEFT(MID(K287,FIND("/",K287)+1,10),FIND("/",MID(K287,FIND("/",K287)+1,10))-1)),1),0))),0,1),1)+IFERROR(IF(M287&gt;=0,0,1),1)+IFERROR(IF(ISNUMBER(MATCH(N287,Lists!$B$2:$B$7,0)),0,1),1))=0,"OK","ERROR"))</f>
        <v>OK</v>
      </c>
      <c r="Q287" s="3" t="str">
        <f aca="false">IF(D287="","",TRIM(IF(IFERROR(IF(AND(TRIM(D287)=D287,LEN(D287)&gt;0),0,1),1)=1,"Name; ","")&amp;IF(IFERROR(IF(AND(LEN(E287)=10,ISNUMBER(VALUE(E287))),0,1),1)=1,"Phone; ","")&amp;IF(IFERROR(IF(AND(ISNUMBER(SEARCH("@",F287)),ISNUMBER(SEARCH(".",F287))),0,1),1)=1,"Email; ","")&amp;IF(IFERROR(IF(AND(LEN(J287)=6,ISNUMBER(VALUE(J287))),0,1),1)=1,"Pincode; ","")&amp;IF(IFERROR(IF(ISNUMBER(MATCH(TRIM(I287),Lists!$A$2:$A$20,0)),0,1),1)=1,"State; ","")&amp;IF(IFERROR(IF(AND(LEN(K287)=10,VALUE(LEFT(K287,FIND("/",K287)-1))&gt;=1,VALUE(LEFT(K287,FIND("/",K287)-1))&lt;=31,VALUE(LEFT(MID(K287,FIND("/",K287)+1,10),FIND("/",MID(K287,FIND("/",K287)+1,10))-1))&gt;=1,VALUE(LEFT(MID(K287,FIND("/",K287)+1,10),FIND("/",MID(K287,FIND("/",K287)+1,10))-1))&lt;=12,VALUE(LEFT(K287,FIND("/",K287)-1))&lt;=DAY(EOMONTH(DATE(VALUE(MID(MID(K287,FIND("/",K287)+1,10),FIND("/",MID(K287,FIND("/",K287)+1,10))+1,4)),VALUE(LEFT(MID(K287,FIND("/",K287)+1,10),FIND("/",MID(K287,FIND("/",K287)+1,10))-1)),1),0))),0,1),1)=1,"Date; ","")&amp;IF(IFERROR(IF(M287&gt;=0,0,1),1)=1,"Amount; ","")&amp;IF(IFERROR(IF(ISNUMBER(MATCH(N287,Lists!$B$2:$B$7,0)),0,1),1)=1,"Payment; ","")))</f>
        <v/>
      </c>
      <c r="R287" s="3" t="str">
        <f aca="false">IF(D287="","",IF(COUNTIFS($D$2:$D$701,D287,$E$2:$E$701,E287)&gt;1,"DUPLICATE","Unique"))</f>
        <v>Unique</v>
      </c>
    </row>
    <row r="288" customFormat="false" ht="15" hidden="false" customHeight="false" outlineLevel="0" collapsed="false">
      <c r="A288" s="3" t="n">
        <v>287</v>
      </c>
      <c r="B288" s="3" t="n">
        <v>6</v>
      </c>
      <c r="C288" s="3" t="s">
        <v>2120</v>
      </c>
      <c r="D288" s="3" t="s">
        <v>2121</v>
      </c>
      <c r="E288" s="3" t="s">
        <v>2122</v>
      </c>
      <c r="F288" s="3" t="s">
        <v>2123</v>
      </c>
      <c r="G288" s="3" t="s">
        <v>2124</v>
      </c>
      <c r="H288" s="3" t="s">
        <v>281</v>
      </c>
      <c r="I288" s="3" t="s">
        <v>51</v>
      </c>
      <c r="J288" s="3" t="s">
        <v>2125</v>
      </c>
      <c r="K288" s="3" t="s">
        <v>2126</v>
      </c>
      <c r="L288" s="3" t="s">
        <v>60</v>
      </c>
      <c r="M288" s="3" t="n">
        <v>11988.18</v>
      </c>
      <c r="N288" s="3" t="s">
        <v>52</v>
      </c>
      <c r="O288" s="3" t="n">
        <f aca="false">IFERROR(LEN(C288&amp;D288&amp;E288&amp;F288&amp;G288&amp;H288&amp;I288&amp;J288&amp;K288&amp;L288&amp;M288&amp;N288)/5,0)</f>
        <v>28.4</v>
      </c>
      <c r="P288" s="3" t="str">
        <f aca="false">IF(OR(D288="",C288=""),"",IF((IFERROR(IF(AND(TRIM(D288)=D288,LEN(D288)&gt;0),0,1),1)+IFERROR(IF(AND(LEN(E288)=10,ISNUMBER(VALUE(E288))),0,1),1)+IFERROR(IF(AND(ISNUMBER(SEARCH("@",F288)),ISNUMBER(SEARCH(".",F288))),0,1),1)+IFERROR(IF(AND(LEN(J288)=6,ISNUMBER(VALUE(J288))),0,1),1)+IFERROR(IF(ISNUMBER(MATCH(TRIM(I288),Lists!$A$2:$A$20,0)),0,1),1)+IFERROR(IF(AND(LEN(K288)=10,VALUE(LEFT(K288,FIND("/",K288)-1))&gt;=1,VALUE(LEFT(K288,FIND("/",K288)-1))&lt;=31,VALUE(LEFT(MID(K288,FIND("/",K288)+1,10),FIND("/",MID(K288,FIND("/",K288)+1,10))-1))&gt;=1,VALUE(LEFT(MID(K288,FIND("/",K288)+1,10),FIND("/",MID(K288,FIND("/",K288)+1,10))-1))&lt;=12,VALUE(LEFT(K288,FIND("/",K288)-1))&lt;=DAY(EOMONTH(DATE(VALUE(MID(MID(K288,FIND("/",K288)+1,10),FIND("/",MID(K288,FIND("/",K288)+1,10))+1,4)),VALUE(LEFT(MID(K288,FIND("/",K288)+1,10),FIND("/",MID(K288,FIND("/",K288)+1,10))-1)),1),0))),0,1),1)+IFERROR(IF(M288&gt;=0,0,1),1)+IFERROR(IF(ISNUMBER(MATCH(N288,Lists!$B$2:$B$7,0)),0,1),1))=0,"OK","ERROR"))</f>
        <v>OK</v>
      </c>
      <c r="Q288" s="3" t="str">
        <f aca="false">IF(D288="","",TRIM(IF(IFERROR(IF(AND(TRIM(D288)=D288,LEN(D288)&gt;0),0,1),1)=1,"Name; ","")&amp;IF(IFERROR(IF(AND(LEN(E288)=10,ISNUMBER(VALUE(E288))),0,1),1)=1,"Phone; ","")&amp;IF(IFERROR(IF(AND(ISNUMBER(SEARCH("@",F288)),ISNUMBER(SEARCH(".",F288))),0,1),1)=1,"Email; ","")&amp;IF(IFERROR(IF(AND(LEN(J288)=6,ISNUMBER(VALUE(J288))),0,1),1)=1,"Pincode; ","")&amp;IF(IFERROR(IF(ISNUMBER(MATCH(TRIM(I288),Lists!$A$2:$A$20,0)),0,1),1)=1,"State; ","")&amp;IF(IFERROR(IF(AND(LEN(K288)=10,VALUE(LEFT(K288,FIND("/",K288)-1))&gt;=1,VALUE(LEFT(K288,FIND("/",K288)-1))&lt;=31,VALUE(LEFT(MID(K288,FIND("/",K288)+1,10),FIND("/",MID(K288,FIND("/",K288)+1,10))-1))&gt;=1,VALUE(LEFT(MID(K288,FIND("/",K288)+1,10),FIND("/",MID(K288,FIND("/",K288)+1,10))-1))&lt;=12,VALUE(LEFT(K288,FIND("/",K288)-1))&lt;=DAY(EOMONTH(DATE(VALUE(MID(MID(K288,FIND("/",K288)+1,10),FIND("/",MID(K288,FIND("/",K288)+1,10))+1,4)),VALUE(LEFT(MID(K288,FIND("/",K288)+1,10),FIND("/",MID(K288,FIND("/",K288)+1,10))-1)),1),0))),0,1),1)=1,"Date; ","")&amp;IF(IFERROR(IF(M288&gt;=0,0,1),1)=1,"Amount; ","")&amp;IF(IFERROR(IF(ISNUMBER(MATCH(N288,Lists!$B$2:$B$7,0)),0,1),1)=1,"Payment; ","")))</f>
        <v/>
      </c>
      <c r="R288" s="3" t="str">
        <f aca="false">IF(D288="","",IF(COUNTIFS($D$2:$D$701,D288,$E$2:$E$701,E288)&gt;1,"DUPLICATE","Unique"))</f>
        <v>Unique</v>
      </c>
    </row>
    <row r="289" customFormat="false" ht="15" hidden="false" customHeight="false" outlineLevel="0" collapsed="false">
      <c r="A289" s="3" t="n">
        <v>288</v>
      </c>
      <c r="B289" s="3" t="n">
        <v>6</v>
      </c>
      <c r="C289" s="3" t="s">
        <v>2127</v>
      </c>
      <c r="D289" s="3" t="s">
        <v>2128</v>
      </c>
      <c r="E289" s="3" t="s">
        <v>2129</v>
      </c>
      <c r="F289" s="3" t="s">
        <v>2130</v>
      </c>
      <c r="G289" s="3" t="s">
        <v>2131</v>
      </c>
      <c r="H289" s="3" t="s">
        <v>436</v>
      </c>
      <c r="I289" s="3" t="s">
        <v>59</v>
      </c>
      <c r="J289" s="3" t="s">
        <v>2132</v>
      </c>
      <c r="K289" s="3" t="s">
        <v>2133</v>
      </c>
      <c r="L289" s="3" t="s">
        <v>64</v>
      </c>
      <c r="M289" s="3" t="n">
        <v>14704.06</v>
      </c>
      <c r="N289" s="3" t="s">
        <v>46</v>
      </c>
      <c r="O289" s="3" t="n">
        <f aca="false">IFERROR(LEN(C289&amp;D289&amp;E289&amp;F289&amp;G289&amp;H289&amp;I289&amp;J289&amp;K289&amp;L289&amp;M289&amp;N289)/5,0)</f>
        <v>25.2</v>
      </c>
      <c r="P289" s="3" t="str">
        <f aca="false">IF(OR(D289="",C289=""),"",IF((IFERROR(IF(AND(TRIM(D289)=D289,LEN(D289)&gt;0),0,1),1)+IFERROR(IF(AND(LEN(E289)=10,ISNUMBER(VALUE(E289))),0,1),1)+IFERROR(IF(AND(ISNUMBER(SEARCH("@",F289)),ISNUMBER(SEARCH(".",F289))),0,1),1)+IFERROR(IF(AND(LEN(J289)=6,ISNUMBER(VALUE(J289))),0,1),1)+IFERROR(IF(ISNUMBER(MATCH(TRIM(I289),Lists!$A$2:$A$20,0)),0,1),1)+IFERROR(IF(AND(LEN(K289)=10,VALUE(LEFT(K289,FIND("/",K289)-1))&gt;=1,VALUE(LEFT(K289,FIND("/",K289)-1))&lt;=31,VALUE(LEFT(MID(K289,FIND("/",K289)+1,10),FIND("/",MID(K289,FIND("/",K289)+1,10))-1))&gt;=1,VALUE(LEFT(MID(K289,FIND("/",K289)+1,10),FIND("/",MID(K289,FIND("/",K289)+1,10))-1))&lt;=12,VALUE(LEFT(K289,FIND("/",K289)-1))&lt;=DAY(EOMONTH(DATE(VALUE(MID(MID(K289,FIND("/",K289)+1,10),FIND("/",MID(K289,FIND("/",K289)+1,10))+1,4)),VALUE(LEFT(MID(K289,FIND("/",K289)+1,10),FIND("/",MID(K289,FIND("/",K289)+1,10))-1)),1),0))),0,1),1)+IFERROR(IF(M289&gt;=0,0,1),1)+IFERROR(IF(ISNUMBER(MATCH(N289,Lists!$B$2:$B$7,0)),0,1),1))=0,"OK","ERROR"))</f>
        <v>OK</v>
      </c>
      <c r="Q289" s="3" t="str">
        <f aca="false">IF(D289="","",TRIM(IF(IFERROR(IF(AND(TRIM(D289)=D289,LEN(D289)&gt;0),0,1),1)=1,"Name; ","")&amp;IF(IFERROR(IF(AND(LEN(E289)=10,ISNUMBER(VALUE(E289))),0,1),1)=1,"Phone; ","")&amp;IF(IFERROR(IF(AND(ISNUMBER(SEARCH("@",F289)),ISNUMBER(SEARCH(".",F289))),0,1),1)=1,"Email; ","")&amp;IF(IFERROR(IF(AND(LEN(J289)=6,ISNUMBER(VALUE(J289))),0,1),1)=1,"Pincode; ","")&amp;IF(IFERROR(IF(ISNUMBER(MATCH(TRIM(I289),Lists!$A$2:$A$20,0)),0,1),1)=1,"State; ","")&amp;IF(IFERROR(IF(AND(LEN(K289)=10,VALUE(LEFT(K289,FIND("/",K289)-1))&gt;=1,VALUE(LEFT(K289,FIND("/",K289)-1))&lt;=31,VALUE(LEFT(MID(K289,FIND("/",K289)+1,10),FIND("/",MID(K289,FIND("/",K289)+1,10))-1))&gt;=1,VALUE(LEFT(MID(K289,FIND("/",K289)+1,10),FIND("/",MID(K289,FIND("/",K289)+1,10))-1))&lt;=12,VALUE(LEFT(K289,FIND("/",K289)-1))&lt;=DAY(EOMONTH(DATE(VALUE(MID(MID(K289,FIND("/",K289)+1,10),FIND("/",MID(K289,FIND("/",K289)+1,10))+1,4)),VALUE(LEFT(MID(K289,FIND("/",K289)+1,10),FIND("/",MID(K289,FIND("/",K289)+1,10))-1)),1),0))),0,1),1)=1,"Date; ","")&amp;IF(IFERROR(IF(M289&gt;=0,0,1),1)=1,"Amount; ","")&amp;IF(IFERROR(IF(ISNUMBER(MATCH(N289,Lists!$B$2:$B$7,0)),0,1),1)=1,"Payment; ","")))</f>
        <v/>
      </c>
      <c r="R289" s="3" t="str">
        <f aca="false">IF(D289="","",IF(COUNTIFS($D$2:$D$701,D289,$E$2:$E$701,E289)&gt;1,"DUPLICATE","Unique"))</f>
        <v>Unique</v>
      </c>
    </row>
    <row r="290" customFormat="false" ht="15" hidden="false" customHeight="false" outlineLevel="0" collapsed="false">
      <c r="A290" s="3" t="n">
        <v>289</v>
      </c>
      <c r="B290" s="3" t="n">
        <v>6</v>
      </c>
      <c r="C290" s="3" t="s">
        <v>2134</v>
      </c>
      <c r="D290" s="3" t="s">
        <v>2135</v>
      </c>
      <c r="E290" s="3" t="s">
        <v>2136</v>
      </c>
      <c r="F290" s="3" t="s">
        <v>2137</v>
      </c>
      <c r="G290" s="3" t="s">
        <v>2138</v>
      </c>
      <c r="H290" s="3" t="s">
        <v>250</v>
      </c>
      <c r="I290" s="3" t="s">
        <v>65</v>
      </c>
      <c r="J290" s="3" t="s">
        <v>2139</v>
      </c>
      <c r="K290" s="3" t="s">
        <v>2140</v>
      </c>
      <c r="L290" s="3" t="s">
        <v>58</v>
      </c>
      <c r="M290" s="3" t="n">
        <v>1742.64</v>
      </c>
      <c r="N290" s="3" t="s">
        <v>40</v>
      </c>
      <c r="O290" s="3" t="n">
        <f aca="false">IFERROR(LEN(C290&amp;D290&amp;E290&amp;F290&amp;G290&amp;H290&amp;I290&amp;J290&amp;K290&amp;L290&amp;M290&amp;N290)/5,0)</f>
        <v>28</v>
      </c>
      <c r="P290" s="3" t="str">
        <f aca="false">IF(OR(D290="",C290=""),"",IF((IFERROR(IF(AND(TRIM(D290)=D290,LEN(D290)&gt;0),0,1),1)+IFERROR(IF(AND(LEN(E290)=10,ISNUMBER(VALUE(E290))),0,1),1)+IFERROR(IF(AND(ISNUMBER(SEARCH("@",F290)),ISNUMBER(SEARCH(".",F290))),0,1),1)+IFERROR(IF(AND(LEN(J290)=6,ISNUMBER(VALUE(J290))),0,1),1)+IFERROR(IF(ISNUMBER(MATCH(TRIM(I290),Lists!$A$2:$A$20,0)),0,1),1)+IFERROR(IF(AND(LEN(K290)=10,VALUE(LEFT(K290,FIND("/",K290)-1))&gt;=1,VALUE(LEFT(K290,FIND("/",K290)-1))&lt;=31,VALUE(LEFT(MID(K290,FIND("/",K290)+1,10),FIND("/",MID(K290,FIND("/",K290)+1,10))-1))&gt;=1,VALUE(LEFT(MID(K290,FIND("/",K290)+1,10),FIND("/",MID(K290,FIND("/",K290)+1,10))-1))&lt;=12,VALUE(LEFT(K290,FIND("/",K290)-1))&lt;=DAY(EOMONTH(DATE(VALUE(MID(MID(K290,FIND("/",K290)+1,10),FIND("/",MID(K290,FIND("/",K290)+1,10))+1,4)),VALUE(LEFT(MID(K290,FIND("/",K290)+1,10),FIND("/",MID(K290,FIND("/",K290)+1,10))-1)),1),0))),0,1),1)+IFERROR(IF(M290&gt;=0,0,1),1)+IFERROR(IF(ISNUMBER(MATCH(N290,Lists!$B$2:$B$7,0)),0,1),1))=0,"OK","ERROR"))</f>
        <v>OK</v>
      </c>
      <c r="Q290" s="3" t="str">
        <f aca="false">IF(D290="","",TRIM(IF(IFERROR(IF(AND(TRIM(D290)=D290,LEN(D290)&gt;0),0,1),1)=1,"Name; ","")&amp;IF(IFERROR(IF(AND(LEN(E290)=10,ISNUMBER(VALUE(E290))),0,1),1)=1,"Phone; ","")&amp;IF(IFERROR(IF(AND(ISNUMBER(SEARCH("@",F290)),ISNUMBER(SEARCH(".",F290))),0,1),1)=1,"Email; ","")&amp;IF(IFERROR(IF(AND(LEN(J290)=6,ISNUMBER(VALUE(J290))),0,1),1)=1,"Pincode; ","")&amp;IF(IFERROR(IF(ISNUMBER(MATCH(TRIM(I290),Lists!$A$2:$A$20,0)),0,1),1)=1,"State; ","")&amp;IF(IFERROR(IF(AND(LEN(K290)=10,VALUE(LEFT(K290,FIND("/",K290)-1))&gt;=1,VALUE(LEFT(K290,FIND("/",K290)-1))&lt;=31,VALUE(LEFT(MID(K290,FIND("/",K290)+1,10),FIND("/",MID(K290,FIND("/",K290)+1,10))-1))&gt;=1,VALUE(LEFT(MID(K290,FIND("/",K290)+1,10),FIND("/",MID(K290,FIND("/",K290)+1,10))-1))&lt;=12,VALUE(LEFT(K290,FIND("/",K290)-1))&lt;=DAY(EOMONTH(DATE(VALUE(MID(MID(K290,FIND("/",K290)+1,10),FIND("/",MID(K290,FIND("/",K290)+1,10))+1,4)),VALUE(LEFT(MID(K290,FIND("/",K290)+1,10),FIND("/",MID(K290,FIND("/",K290)+1,10))-1)),1),0))),0,1),1)=1,"Date; ","")&amp;IF(IFERROR(IF(M290&gt;=0,0,1),1)=1,"Amount; ","")&amp;IF(IFERROR(IF(ISNUMBER(MATCH(N290,Lists!$B$2:$B$7,0)),0,1),1)=1,"Payment; ","")))</f>
        <v/>
      </c>
      <c r="R290" s="3" t="str">
        <f aca="false">IF(D290="","",IF(COUNTIFS($D$2:$D$701,D290,$E$2:$E$701,E290)&gt;1,"DUPLICATE","Unique"))</f>
        <v>Unique</v>
      </c>
    </row>
    <row r="291" customFormat="false" ht="15" hidden="false" customHeight="false" outlineLevel="0" collapsed="false">
      <c r="A291" s="3" t="n">
        <v>290</v>
      </c>
      <c r="B291" s="3" t="n">
        <v>6</v>
      </c>
      <c r="C291" s="3" t="s">
        <v>2141</v>
      </c>
      <c r="D291" s="3" t="s">
        <v>2142</v>
      </c>
      <c r="E291" s="3" t="s">
        <v>2143</v>
      </c>
      <c r="F291" s="3" t="s">
        <v>2144</v>
      </c>
      <c r="G291" s="3" t="s">
        <v>2145</v>
      </c>
      <c r="H291" s="3" t="s">
        <v>502</v>
      </c>
      <c r="I291" s="3" t="s">
        <v>73</v>
      </c>
      <c r="J291" s="3" t="s">
        <v>2146</v>
      </c>
      <c r="K291" s="3" t="s">
        <v>865</v>
      </c>
      <c r="L291" s="3" t="s">
        <v>66</v>
      </c>
      <c r="M291" s="3" t="n">
        <v>12267.95</v>
      </c>
      <c r="N291" s="3" t="s">
        <v>55</v>
      </c>
      <c r="O291" s="3" t="n">
        <f aca="false">IFERROR(LEN(C291&amp;D291&amp;E291&amp;F291&amp;G291&amp;H291&amp;I291&amp;J291&amp;K291&amp;L291&amp;M291&amp;N291)/5,0)</f>
        <v>29.2</v>
      </c>
      <c r="P291" s="3" t="str">
        <f aca="false">IF(OR(D291="",C291=""),"",IF((IFERROR(IF(AND(TRIM(D291)=D291,LEN(D291)&gt;0),0,1),1)+IFERROR(IF(AND(LEN(E291)=10,ISNUMBER(VALUE(E291))),0,1),1)+IFERROR(IF(AND(ISNUMBER(SEARCH("@",F291)),ISNUMBER(SEARCH(".",F291))),0,1),1)+IFERROR(IF(AND(LEN(J291)=6,ISNUMBER(VALUE(J291))),0,1),1)+IFERROR(IF(ISNUMBER(MATCH(TRIM(I291),Lists!$A$2:$A$20,0)),0,1),1)+IFERROR(IF(AND(LEN(K291)=10,VALUE(LEFT(K291,FIND("/",K291)-1))&gt;=1,VALUE(LEFT(K291,FIND("/",K291)-1))&lt;=31,VALUE(LEFT(MID(K291,FIND("/",K291)+1,10),FIND("/",MID(K291,FIND("/",K291)+1,10))-1))&gt;=1,VALUE(LEFT(MID(K291,FIND("/",K291)+1,10),FIND("/",MID(K291,FIND("/",K291)+1,10))-1))&lt;=12,VALUE(LEFT(K291,FIND("/",K291)-1))&lt;=DAY(EOMONTH(DATE(VALUE(MID(MID(K291,FIND("/",K291)+1,10),FIND("/",MID(K291,FIND("/",K291)+1,10))+1,4)),VALUE(LEFT(MID(K291,FIND("/",K291)+1,10),FIND("/",MID(K291,FIND("/",K291)+1,10))-1)),1),0))),0,1),1)+IFERROR(IF(M291&gt;=0,0,1),1)+IFERROR(IF(ISNUMBER(MATCH(N291,Lists!$B$2:$B$7,0)),0,1),1))=0,"OK","ERROR"))</f>
        <v>OK</v>
      </c>
      <c r="Q291" s="3" t="str">
        <f aca="false">IF(D291="","",TRIM(IF(IFERROR(IF(AND(TRIM(D291)=D291,LEN(D291)&gt;0),0,1),1)=1,"Name; ","")&amp;IF(IFERROR(IF(AND(LEN(E291)=10,ISNUMBER(VALUE(E291))),0,1),1)=1,"Phone; ","")&amp;IF(IFERROR(IF(AND(ISNUMBER(SEARCH("@",F291)),ISNUMBER(SEARCH(".",F291))),0,1),1)=1,"Email; ","")&amp;IF(IFERROR(IF(AND(LEN(J291)=6,ISNUMBER(VALUE(J291))),0,1),1)=1,"Pincode; ","")&amp;IF(IFERROR(IF(ISNUMBER(MATCH(TRIM(I291),Lists!$A$2:$A$20,0)),0,1),1)=1,"State; ","")&amp;IF(IFERROR(IF(AND(LEN(K291)=10,VALUE(LEFT(K291,FIND("/",K291)-1))&gt;=1,VALUE(LEFT(K291,FIND("/",K291)-1))&lt;=31,VALUE(LEFT(MID(K291,FIND("/",K291)+1,10),FIND("/",MID(K291,FIND("/",K291)+1,10))-1))&gt;=1,VALUE(LEFT(MID(K291,FIND("/",K291)+1,10),FIND("/",MID(K291,FIND("/",K291)+1,10))-1))&lt;=12,VALUE(LEFT(K291,FIND("/",K291)-1))&lt;=DAY(EOMONTH(DATE(VALUE(MID(MID(K291,FIND("/",K291)+1,10),FIND("/",MID(K291,FIND("/",K291)+1,10))+1,4)),VALUE(LEFT(MID(K291,FIND("/",K291)+1,10),FIND("/",MID(K291,FIND("/",K291)+1,10))-1)),1),0))),0,1),1)=1,"Date; ","")&amp;IF(IFERROR(IF(M291&gt;=0,0,1),1)=1,"Amount; ","")&amp;IF(IFERROR(IF(ISNUMBER(MATCH(N291,Lists!$B$2:$B$7,0)),0,1),1)=1,"Payment; ","")))</f>
        <v/>
      </c>
      <c r="R291" s="3" t="str">
        <f aca="false">IF(D291="","",IF(COUNTIFS($D$2:$D$701,D291,$E$2:$E$701,E291)&gt;1,"DUPLICATE","Unique"))</f>
        <v>Unique</v>
      </c>
    </row>
    <row r="292" customFormat="false" ht="15" hidden="false" customHeight="false" outlineLevel="0" collapsed="false">
      <c r="A292" s="3" t="n">
        <v>291</v>
      </c>
      <c r="B292" s="3" t="n">
        <v>6</v>
      </c>
      <c r="C292" s="3" t="s">
        <v>2147</v>
      </c>
      <c r="D292" s="3" t="s">
        <v>2148</v>
      </c>
      <c r="E292" s="3" t="s">
        <v>2149</v>
      </c>
      <c r="F292" s="3" t="s">
        <v>2150</v>
      </c>
      <c r="G292" s="3" t="s">
        <v>2151</v>
      </c>
      <c r="H292" s="3" t="s">
        <v>826</v>
      </c>
      <c r="I292" s="3" t="s">
        <v>78</v>
      </c>
      <c r="J292" s="3" t="s">
        <v>2152</v>
      </c>
      <c r="K292" s="3" t="s">
        <v>2153</v>
      </c>
      <c r="L292" s="3" t="s">
        <v>53</v>
      </c>
      <c r="M292" s="3" t="n">
        <v>15297.57</v>
      </c>
      <c r="N292" s="3" t="s">
        <v>46</v>
      </c>
      <c r="O292" s="3" t="n">
        <f aca="false">IFERROR(LEN(C292&amp;D292&amp;E292&amp;F292&amp;G292&amp;H292&amp;I292&amp;J292&amp;K292&amp;L292&amp;M292&amp;N292)/5,0)</f>
        <v>29</v>
      </c>
      <c r="P292" s="3" t="str">
        <f aca="false">IF(OR(D292="",C292=""),"",IF((IFERROR(IF(AND(TRIM(D292)=D292,LEN(D292)&gt;0),0,1),1)+IFERROR(IF(AND(LEN(E292)=10,ISNUMBER(VALUE(E292))),0,1),1)+IFERROR(IF(AND(ISNUMBER(SEARCH("@",F292)),ISNUMBER(SEARCH(".",F292))),0,1),1)+IFERROR(IF(AND(LEN(J292)=6,ISNUMBER(VALUE(J292))),0,1),1)+IFERROR(IF(ISNUMBER(MATCH(TRIM(I292),Lists!$A$2:$A$20,0)),0,1),1)+IFERROR(IF(AND(LEN(K292)=10,VALUE(LEFT(K292,FIND("/",K292)-1))&gt;=1,VALUE(LEFT(K292,FIND("/",K292)-1))&lt;=31,VALUE(LEFT(MID(K292,FIND("/",K292)+1,10),FIND("/",MID(K292,FIND("/",K292)+1,10))-1))&gt;=1,VALUE(LEFT(MID(K292,FIND("/",K292)+1,10),FIND("/",MID(K292,FIND("/",K292)+1,10))-1))&lt;=12,VALUE(LEFT(K292,FIND("/",K292)-1))&lt;=DAY(EOMONTH(DATE(VALUE(MID(MID(K292,FIND("/",K292)+1,10),FIND("/",MID(K292,FIND("/",K292)+1,10))+1,4)),VALUE(LEFT(MID(K292,FIND("/",K292)+1,10),FIND("/",MID(K292,FIND("/",K292)+1,10))-1)),1),0))),0,1),1)+IFERROR(IF(M292&gt;=0,0,1),1)+IFERROR(IF(ISNUMBER(MATCH(N292,Lists!$B$2:$B$7,0)),0,1),1))=0,"OK","ERROR"))</f>
        <v>OK</v>
      </c>
      <c r="Q292" s="3" t="str">
        <f aca="false">IF(D292="","",TRIM(IF(IFERROR(IF(AND(TRIM(D292)=D292,LEN(D292)&gt;0),0,1),1)=1,"Name; ","")&amp;IF(IFERROR(IF(AND(LEN(E292)=10,ISNUMBER(VALUE(E292))),0,1),1)=1,"Phone; ","")&amp;IF(IFERROR(IF(AND(ISNUMBER(SEARCH("@",F292)),ISNUMBER(SEARCH(".",F292))),0,1),1)=1,"Email; ","")&amp;IF(IFERROR(IF(AND(LEN(J292)=6,ISNUMBER(VALUE(J292))),0,1),1)=1,"Pincode; ","")&amp;IF(IFERROR(IF(ISNUMBER(MATCH(TRIM(I292),Lists!$A$2:$A$20,0)),0,1),1)=1,"State; ","")&amp;IF(IFERROR(IF(AND(LEN(K292)=10,VALUE(LEFT(K292,FIND("/",K292)-1))&gt;=1,VALUE(LEFT(K292,FIND("/",K292)-1))&lt;=31,VALUE(LEFT(MID(K292,FIND("/",K292)+1,10),FIND("/",MID(K292,FIND("/",K292)+1,10))-1))&gt;=1,VALUE(LEFT(MID(K292,FIND("/",K292)+1,10),FIND("/",MID(K292,FIND("/",K292)+1,10))-1))&lt;=12,VALUE(LEFT(K292,FIND("/",K292)-1))&lt;=DAY(EOMONTH(DATE(VALUE(MID(MID(K292,FIND("/",K292)+1,10),FIND("/",MID(K292,FIND("/",K292)+1,10))+1,4)),VALUE(LEFT(MID(K292,FIND("/",K292)+1,10),FIND("/",MID(K292,FIND("/",K292)+1,10))-1)),1),0))),0,1),1)=1,"Date; ","")&amp;IF(IFERROR(IF(M292&gt;=0,0,1),1)=1,"Amount; ","")&amp;IF(IFERROR(IF(ISNUMBER(MATCH(N292,Lists!$B$2:$B$7,0)),0,1),1)=1,"Payment; ","")))</f>
        <v/>
      </c>
      <c r="R292" s="3" t="str">
        <f aca="false">IF(D292="","",IF(COUNTIFS($D$2:$D$701,D292,$E$2:$E$701,E292)&gt;1,"DUPLICATE","Unique"))</f>
        <v>Unique</v>
      </c>
    </row>
    <row r="293" customFormat="false" ht="15" hidden="false" customHeight="false" outlineLevel="0" collapsed="false">
      <c r="A293" s="3" t="n">
        <v>292</v>
      </c>
      <c r="B293" s="3" t="n">
        <v>6</v>
      </c>
      <c r="C293" s="3" t="s">
        <v>2154</v>
      </c>
      <c r="D293" s="3" t="s">
        <v>2155</v>
      </c>
      <c r="E293" s="3" t="s">
        <v>2156</v>
      </c>
      <c r="F293" s="3" t="s">
        <v>2157</v>
      </c>
      <c r="G293" s="3" t="s">
        <v>2158</v>
      </c>
      <c r="H293" s="3" t="s">
        <v>720</v>
      </c>
      <c r="I293" s="3" t="s">
        <v>54</v>
      </c>
      <c r="J293" s="3" t="s">
        <v>2159</v>
      </c>
      <c r="K293" s="3" t="s">
        <v>2160</v>
      </c>
      <c r="L293" s="3" t="s">
        <v>64</v>
      </c>
      <c r="M293" s="3" t="n">
        <v>11694.21</v>
      </c>
      <c r="N293" s="3" t="s">
        <v>49</v>
      </c>
      <c r="O293" s="3" t="n">
        <f aca="false">IFERROR(LEN(C293&amp;D293&amp;E293&amp;F293&amp;G293&amp;H293&amp;I293&amp;J293&amp;K293&amp;L293&amp;M293&amp;N293)/5,0)</f>
        <v>27.6</v>
      </c>
      <c r="P293" s="3" t="str">
        <f aca="false">IF(OR(D293="",C293=""),"",IF((IFERROR(IF(AND(TRIM(D293)=D293,LEN(D293)&gt;0),0,1),1)+IFERROR(IF(AND(LEN(E293)=10,ISNUMBER(VALUE(E293))),0,1),1)+IFERROR(IF(AND(ISNUMBER(SEARCH("@",F293)),ISNUMBER(SEARCH(".",F293))),0,1),1)+IFERROR(IF(AND(LEN(J293)=6,ISNUMBER(VALUE(J293))),0,1),1)+IFERROR(IF(ISNUMBER(MATCH(TRIM(I293),Lists!$A$2:$A$20,0)),0,1),1)+IFERROR(IF(AND(LEN(K293)=10,VALUE(LEFT(K293,FIND("/",K293)-1))&gt;=1,VALUE(LEFT(K293,FIND("/",K293)-1))&lt;=31,VALUE(LEFT(MID(K293,FIND("/",K293)+1,10),FIND("/",MID(K293,FIND("/",K293)+1,10))-1))&gt;=1,VALUE(LEFT(MID(K293,FIND("/",K293)+1,10),FIND("/",MID(K293,FIND("/",K293)+1,10))-1))&lt;=12,VALUE(LEFT(K293,FIND("/",K293)-1))&lt;=DAY(EOMONTH(DATE(VALUE(MID(MID(K293,FIND("/",K293)+1,10),FIND("/",MID(K293,FIND("/",K293)+1,10))+1,4)),VALUE(LEFT(MID(K293,FIND("/",K293)+1,10),FIND("/",MID(K293,FIND("/",K293)+1,10))-1)),1),0))),0,1),1)+IFERROR(IF(M293&gt;=0,0,1),1)+IFERROR(IF(ISNUMBER(MATCH(N293,Lists!$B$2:$B$7,0)),0,1),1))=0,"OK","ERROR"))</f>
        <v>OK</v>
      </c>
      <c r="Q293" s="3" t="str">
        <f aca="false">IF(D293="","",TRIM(IF(IFERROR(IF(AND(TRIM(D293)=D293,LEN(D293)&gt;0),0,1),1)=1,"Name; ","")&amp;IF(IFERROR(IF(AND(LEN(E293)=10,ISNUMBER(VALUE(E293))),0,1),1)=1,"Phone; ","")&amp;IF(IFERROR(IF(AND(ISNUMBER(SEARCH("@",F293)),ISNUMBER(SEARCH(".",F293))),0,1),1)=1,"Email; ","")&amp;IF(IFERROR(IF(AND(LEN(J293)=6,ISNUMBER(VALUE(J293))),0,1),1)=1,"Pincode; ","")&amp;IF(IFERROR(IF(ISNUMBER(MATCH(TRIM(I293),Lists!$A$2:$A$20,0)),0,1),1)=1,"State; ","")&amp;IF(IFERROR(IF(AND(LEN(K293)=10,VALUE(LEFT(K293,FIND("/",K293)-1))&gt;=1,VALUE(LEFT(K293,FIND("/",K293)-1))&lt;=31,VALUE(LEFT(MID(K293,FIND("/",K293)+1,10),FIND("/",MID(K293,FIND("/",K293)+1,10))-1))&gt;=1,VALUE(LEFT(MID(K293,FIND("/",K293)+1,10),FIND("/",MID(K293,FIND("/",K293)+1,10))-1))&lt;=12,VALUE(LEFT(K293,FIND("/",K293)-1))&lt;=DAY(EOMONTH(DATE(VALUE(MID(MID(K293,FIND("/",K293)+1,10),FIND("/",MID(K293,FIND("/",K293)+1,10))+1,4)),VALUE(LEFT(MID(K293,FIND("/",K293)+1,10),FIND("/",MID(K293,FIND("/",K293)+1,10))-1)),1),0))),0,1),1)=1,"Date; ","")&amp;IF(IFERROR(IF(M293&gt;=0,0,1),1)=1,"Amount; ","")&amp;IF(IFERROR(IF(ISNUMBER(MATCH(N293,Lists!$B$2:$B$7,0)),0,1),1)=1,"Payment; ","")))</f>
        <v/>
      </c>
      <c r="R293" s="3" t="str">
        <f aca="false">IF(D293="","",IF(COUNTIFS($D$2:$D$701,D293,$E$2:$E$701,E293)&gt;1,"DUPLICATE","Unique"))</f>
        <v>Unique</v>
      </c>
    </row>
    <row r="294" customFormat="false" ht="15" hidden="false" customHeight="false" outlineLevel="0" collapsed="false">
      <c r="A294" s="3" t="n">
        <v>293</v>
      </c>
      <c r="B294" s="3" t="n">
        <v>6</v>
      </c>
      <c r="C294" s="3" t="s">
        <v>2161</v>
      </c>
      <c r="D294" s="3" t="s">
        <v>2162</v>
      </c>
      <c r="E294" s="3" t="s">
        <v>2163</v>
      </c>
      <c r="F294" s="3" t="s">
        <v>2164</v>
      </c>
      <c r="G294" s="3" t="s">
        <v>2165</v>
      </c>
      <c r="H294" s="3" t="s">
        <v>1539</v>
      </c>
      <c r="I294" s="3" t="s">
        <v>39</v>
      </c>
      <c r="J294" s="3" t="s">
        <v>2166</v>
      </c>
      <c r="K294" s="3" t="s">
        <v>2091</v>
      </c>
      <c r="L294" s="3" t="s">
        <v>41</v>
      </c>
      <c r="M294" s="3" t="n">
        <v>6272.9</v>
      </c>
      <c r="N294" s="3" t="s">
        <v>55</v>
      </c>
      <c r="O294" s="3" t="n">
        <f aca="false">IFERROR(LEN(C294&amp;D294&amp;E294&amp;F294&amp;G294&amp;H294&amp;I294&amp;J294&amp;K294&amp;L294&amp;M294&amp;N294)/5,0)</f>
        <v>27.2</v>
      </c>
      <c r="P294" s="3" t="str">
        <f aca="false">IF(OR(D294="",C294=""),"",IF((IFERROR(IF(AND(TRIM(D294)=D294,LEN(D294)&gt;0),0,1),1)+IFERROR(IF(AND(LEN(E294)=10,ISNUMBER(VALUE(E294))),0,1),1)+IFERROR(IF(AND(ISNUMBER(SEARCH("@",F294)),ISNUMBER(SEARCH(".",F294))),0,1),1)+IFERROR(IF(AND(LEN(J294)=6,ISNUMBER(VALUE(J294))),0,1),1)+IFERROR(IF(ISNUMBER(MATCH(TRIM(I294),Lists!$A$2:$A$20,0)),0,1),1)+IFERROR(IF(AND(LEN(K294)=10,VALUE(LEFT(K294,FIND("/",K294)-1))&gt;=1,VALUE(LEFT(K294,FIND("/",K294)-1))&lt;=31,VALUE(LEFT(MID(K294,FIND("/",K294)+1,10),FIND("/",MID(K294,FIND("/",K294)+1,10))-1))&gt;=1,VALUE(LEFT(MID(K294,FIND("/",K294)+1,10),FIND("/",MID(K294,FIND("/",K294)+1,10))-1))&lt;=12,VALUE(LEFT(K294,FIND("/",K294)-1))&lt;=DAY(EOMONTH(DATE(VALUE(MID(MID(K294,FIND("/",K294)+1,10),FIND("/",MID(K294,FIND("/",K294)+1,10))+1,4)),VALUE(LEFT(MID(K294,FIND("/",K294)+1,10),FIND("/",MID(K294,FIND("/",K294)+1,10))-1)),1),0))),0,1),1)+IFERROR(IF(M294&gt;=0,0,1),1)+IFERROR(IF(ISNUMBER(MATCH(N294,Lists!$B$2:$B$7,0)),0,1),1))=0,"OK","ERROR"))</f>
        <v>OK</v>
      </c>
      <c r="Q294" s="3" t="str">
        <f aca="false">IF(D294="","",TRIM(IF(IFERROR(IF(AND(TRIM(D294)=D294,LEN(D294)&gt;0),0,1),1)=1,"Name; ","")&amp;IF(IFERROR(IF(AND(LEN(E294)=10,ISNUMBER(VALUE(E294))),0,1),1)=1,"Phone; ","")&amp;IF(IFERROR(IF(AND(ISNUMBER(SEARCH("@",F294)),ISNUMBER(SEARCH(".",F294))),0,1),1)=1,"Email; ","")&amp;IF(IFERROR(IF(AND(LEN(J294)=6,ISNUMBER(VALUE(J294))),0,1),1)=1,"Pincode; ","")&amp;IF(IFERROR(IF(ISNUMBER(MATCH(TRIM(I294),Lists!$A$2:$A$20,0)),0,1),1)=1,"State; ","")&amp;IF(IFERROR(IF(AND(LEN(K294)=10,VALUE(LEFT(K294,FIND("/",K294)-1))&gt;=1,VALUE(LEFT(K294,FIND("/",K294)-1))&lt;=31,VALUE(LEFT(MID(K294,FIND("/",K294)+1,10),FIND("/",MID(K294,FIND("/",K294)+1,10))-1))&gt;=1,VALUE(LEFT(MID(K294,FIND("/",K294)+1,10),FIND("/",MID(K294,FIND("/",K294)+1,10))-1))&lt;=12,VALUE(LEFT(K294,FIND("/",K294)-1))&lt;=DAY(EOMONTH(DATE(VALUE(MID(MID(K294,FIND("/",K294)+1,10),FIND("/",MID(K294,FIND("/",K294)+1,10))+1,4)),VALUE(LEFT(MID(K294,FIND("/",K294)+1,10),FIND("/",MID(K294,FIND("/",K294)+1,10))-1)),1),0))),0,1),1)=1,"Date; ","")&amp;IF(IFERROR(IF(M294&gt;=0,0,1),1)=1,"Amount; ","")&amp;IF(IFERROR(IF(ISNUMBER(MATCH(N294,Lists!$B$2:$B$7,0)),0,1),1)=1,"Payment; ","")))</f>
        <v/>
      </c>
      <c r="R294" s="3" t="str">
        <f aca="false">IF(D294="","",IF(COUNTIFS($D$2:$D$701,D294,$E$2:$E$701,E294)&gt;1,"DUPLICATE","Unique"))</f>
        <v>Unique</v>
      </c>
    </row>
    <row r="295" customFormat="false" ht="15" hidden="false" customHeight="false" outlineLevel="0" collapsed="false">
      <c r="A295" s="3" t="n">
        <v>294</v>
      </c>
      <c r="B295" s="3" t="n">
        <v>6</v>
      </c>
      <c r="C295" s="3" t="s">
        <v>2167</v>
      </c>
      <c r="D295" s="3" t="s">
        <v>2168</v>
      </c>
      <c r="E295" s="3" t="s">
        <v>2169</v>
      </c>
      <c r="F295" s="3" t="s">
        <v>2170</v>
      </c>
      <c r="G295" s="3" t="s">
        <v>2171</v>
      </c>
      <c r="H295" s="3" t="s">
        <v>819</v>
      </c>
      <c r="I295" s="3" t="s">
        <v>75</v>
      </c>
      <c r="J295" s="3" t="s">
        <v>2172</v>
      </c>
      <c r="K295" s="3" t="s">
        <v>2173</v>
      </c>
      <c r="L295" s="3" t="s">
        <v>53</v>
      </c>
      <c r="M295" s="3" t="n">
        <v>11193.94</v>
      </c>
      <c r="N295" s="3" t="s">
        <v>40</v>
      </c>
      <c r="O295" s="3" t="n">
        <f aca="false">IFERROR(LEN(C295&amp;D295&amp;E295&amp;F295&amp;G295&amp;H295&amp;I295&amp;J295&amp;K295&amp;L295&amp;M295&amp;N295)/5,0)</f>
        <v>24.6</v>
      </c>
      <c r="P295" s="3" t="str">
        <f aca="false">IF(OR(D295="",C295=""),"",IF((IFERROR(IF(AND(TRIM(D295)=D295,LEN(D295)&gt;0),0,1),1)+IFERROR(IF(AND(LEN(E295)=10,ISNUMBER(VALUE(E295))),0,1),1)+IFERROR(IF(AND(ISNUMBER(SEARCH("@",F295)),ISNUMBER(SEARCH(".",F295))),0,1),1)+IFERROR(IF(AND(LEN(J295)=6,ISNUMBER(VALUE(J295))),0,1),1)+IFERROR(IF(ISNUMBER(MATCH(TRIM(I295),Lists!$A$2:$A$20,0)),0,1),1)+IFERROR(IF(AND(LEN(K295)=10,VALUE(LEFT(K295,FIND("/",K295)-1))&gt;=1,VALUE(LEFT(K295,FIND("/",K295)-1))&lt;=31,VALUE(LEFT(MID(K295,FIND("/",K295)+1,10),FIND("/",MID(K295,FIND("/",K295)+1,10))-1))&gt;=1,VALUE(LEFT(MID(K295,FIND("/",K295)+1,10),FIND("/",MID(K295,FIND("/",K295)+1,10))-1))&lt;=12,VALUE(LEFT(K295,FIND("/",K295)-1))&lt;=DAY(EOMONTH(DATE(VALUE(MID(MID(K295,FIND("/",K295)+1,10),FIND("/",MID(K295,FIND("/",K295)+1,10))+1,4)),VALUE(LEFT(MID(K295,FIND("/",K295)+1,10),FIND("/",MID(K295,FIND("/",K295)+1,10))-1)),1),0))),0,1),1)+IFERROR(IF(M295&gt;=0,0,1),1)+IFERROR(IF(ISNUMBER(MATCH(N295,Lists!$B$2:$B$7,0)),0,1),1))=0,"OK","ERROR"))</f>
        <v>ERROR</v>
      </c>
      <c r="Q295" s="3" t="str">
        <f aca="false">IF(D295="","",TRIM(IF(IFERROR(IF(AND(TRIM(D295)=D295,LEN(D295)&gt;0),0,1),1)=1,"Name; ","")&amp;IF(IFERROR(IF(AND(LEN(E295)=10,ISNUMBER(VALUE(E295))),0,1),1)=1,"Phone; ","")&amp;IF(IFERROR(IF(AND(ISNUMBER(SEARCH("@",F295)),ISNUMBER(SEARCH(".",F295))),0,1),1)=1,"Email; ","")&amp;IF(IFERROR(IF(AND(LEN(J295)=6,ISNUMBER(VALUE(J295))),0,1),1)=1,"Pincode; ","")&amp;IF(IFERROR(IF(ISNUMBER(MATCH(TRIM(I295),Lists!$A$2:$A$20,0)),0,1),1)=1,"State; ","")&amp;IF(IFERROR(IF(AND(LEN(K295)=10,VALUE(LEFT(K295,FIND("/",K295)-1))&gt;=1,VALUE(LEFT(K295,FIND("/",K295)-1))&lt;=31,VALUE(LEFT(MID(K295,FIND("/",K295)+1,10),FIND("/",MID(K295,FIND("/",K295)+1,10))-1))&gt;=1,VALUE(LEFT(MID(K295,FIND("/",K295)+1,10),FIND("/",MID(K295,FIND("/",K295)+1,10))-1))&lt;=12,VALUE(LEFT(K295,FIND("/",K295)-1))&lt;=DAY(EOMONTH(DATE(VALUE(MID(MID(K295,FIND("/",K295)+1,10),FIND("/",MID(K295,FIND("/",K295)+1,10))+1,4)),VALUE(LEFT(MID(K295,FIND("/",K295)+1,10),FIND("/",MID(K295,FIND("/",K295)+1,10))-1)),1),0))),0,1),1)=1,"Date; ","")&amp;IF(IFERROR(IF(M295&gt;=0,0,1),1)=1,"Amount; ","")&amp;IF(IFERROR(IF(ISNUMBER(MATCH(N295,Lists!$B$2:$B$7,0)),0,1),1)=1,"Payment; ","")))</f>
        <v>Email;</v>
      </c>
      <c r="R295" s="3" t="str">
        <f aca="false">IF(D295="","",IF(COUNTIFS($D$2:$D$701,D295,$E$2:$E$701,E295)&gt;1,"DUPLICATE","Unique"))</f>
        <v>Unique</v>
      </c>
    </row>
    <row r="296" customFormat="false" ht="15" hidden="false" customHeight="false" outlineLevel="0" collapsed="false">
      <c r="A296" s="3" t="n">
        <v>295</v>
      </c>
      <c r="B296" s="3" t="n">
        <v>6</v>
      </c>
      <c r="C296" s="3" t="s">
        <v>2174</v>
      </c>
      <c r="D296" s="3" t="s">
        <v>2175</v>
      </c>
      <c r="E296" s="3" t="s">
        <v>2176</v>
      </c>
      <c r="F296" s="3" t="s">
        <v>2177</v>
      </c>
      <c r="G296" s="3" t="s">
        <v>2178</v>
      </c>
      <c r="H296" s="3" t="s">
        <v>548</v>
      </c>
      <c r="I296" s="3" t="s">
        <v>67</v>
      </c>
      <c r="J296" s="3" t="s">
        <v>2179</v>
      </c>
      <c r="K296" s="3" t="s">
        <v>997</v>
      </c>
      <c r="L296" s="3" t="s">
        <v>56</v>
      </c>
      <c r="M296" s="3" t="n">
        <v>1084.66</v>
      </c>
      <c r="N296" s="3" t="s">
        <v>55</v>
      </c>
      <c r="O296" s="3" t="n">
        <f aca="false">IFERROR(LEN(C296&amp;D296&amp;E296&amp;F296&amp;G296&amp;H296&amp;I296&amp;J296&amp;K296&amp;L296&amp;M296&amp;N296)/5,0)</f>
        <v>25.4</v>
      </c>
      <c r="P296" s="3" t="str">
        <f aca="false">IF(OR(D296="",C296=""),"",IF((IFERROR(IF(AND(TRIM(D296)=D296,LEN(D296)&gt;0),0,1),1)+IFERROR(IF(AND(LEN(E296)=10,ISNUMBER(VALUE(E296))),0,1),1)+IFERROR(IF(AND(ISNUMBER(SEARCH("@",F296)),ISNUMBER(SEARCH(".",F296))),0,1),1)+IFERROR(IF(AND(LEN(J296)=6,ISNUMBER(VALUE(J296))),0,1),1)+IFERROR(IF(ISNUMBER(MATCH(TRIM(I296),Lists!$A$2:$A$20,0)),0,1),1)+IFERROR(IF(AND(LEN(K296)=10,VALUE(LEFT(K296,FIND("/",K296)-1))&gt;=1,VALUE(LEFT(K296,FIND("/",K296)-1))&lt;=31,VALUE(LEFT(MID(K296,FIND("/",K296)+1,10),FIND("/",MID(K296,FIND("/",K296)+1,10))-1))&gt;=1,VALUE(LEFT(MID(K296,FIND("/",K296)+1,10),FIND("/",MID(K296,FIND("/",K296)+1,10))-1))&lt;=12,VALUE(LEFT(K296,FIND("/",K296)-1))&lt;=DAY(EOMONTH(DATE(VALUE(MID(MID(K296,FIND("/",K296)+1,10),FIND("/",MID(K296,FIND("/",K296)+1,10))+1,4)),VALUE(LEFT(MID(K296,FIND("/",K296)+1,10),FIND("/",MID(K296,FIND("/",K296)+1,10))-1)),1),0))),0,1),1)+IFERROR(IF(M296&gt;=0,0,1),1)+IFERROR(IF(ISNUMBER(MATCH(N296,Lists!$B$2:$B$7,0)),0,1),1))=0,"OK","ERROR"))</f>
        <v>OK</v>
      </c>
      <c r="Q296" s="3" t="str">
        <f aca="false">IF(D296="","",TRIM(IF(IFERROR(IF(AND(TRIM(D296)=D296,LEN(D296)&gt;0),0,1),1)=1,"Name; ","")&amp;IF(IFERROR(IF(AND(LEN(E296)=10,ISNUMBER(VALUE(E296))),0,1),1)=1,"Phone; ","")&amp;IF(IFERROR(IF(AND(ISNUMBER(SEARCH("@",F296)),ISNUMBER(SEARCH(".",F296))),0,1),1)=1,"Email; ","")&amp;IF(IFERROR(IF(AND(LEN(J296)=6,ISNUMBER(VALUE(J296))),0,1),1)=1,"Pincode; ","")&amp;IF(IFERROR(IF(ISNUMBER(MATCH(TRIM(I296),Lists!$A$2:$A$20,0)),0,1),1)=1,"State; ","")&amp;IF(IFERROR(IF(AND(LEN(K296)=10,VALUE(LEFT(K296,FIND("/",K296)-1))&gt;=1,VALUE(LEFT(K296,FIND("/",K296)-1))&lt;=31,VALUE(LEFT(MID(K296,FIND("/",K296)+1,10),FIND("/",MID(K296,FIND("/",K296)+1,10))-1))&gt;=1,VALUE(LEFT(MID(K296,FIND("/",K296)+1,10),FIND("/",MID(K296,FIND("/",K296)+1,10))-1))&lt;=12,VALUE(LEFT(K296,FIND("/",K296)-1))&lt;=DAY(EOMONTH(DATE(VALUE(MID(MID(K296,FIND("/",K296)+1,10),FIND("/",MID(K296,FIND("/",K296)+1,10))+1,4)),VALUE(LEFT(MID(K296,FIND("/",K296)+1,10),FIND("/",MID(K296,FIND("/",K296)+1,10))-1)),1),0))),0,1),1)=1,"Date; ","")&amp;IF(IFERROR(IF(M296&gt;=0,0,1),1)=1,"Amount; ","")&amp;IF(IFERROR(IF(ISNUMBER(MATCH(N296,Lists!$B$2:$B$7,0)),0,1),1)=1,"Payment; ","")))</f>
        <v/>
      </c>
      <c r="R296" s="3" t="str">
        <f aca="false">IF(D296="","",IF(COUNTIFS($D$2:$D$701,D296,$E$2:$E$701,E296)&gt;1,"DUPLICATE","Unique"))</f>
        <v>Unique</v>
      </c>
    </row>
    <row r="297" customFormat="false" ht="15" hidden="false" customHeight="false" outlineLevel="0" collapsed="false">
      <c r="A297" s="3" t="n">
        <v>296</v>
      </c>
      <c r="B297" s="3" t="n">
        <v>6</v>
      </c>
      <c r="C297" s="3" t="s">
        <v>2180</v>
      </c>
      <c r="D297" s="3" t="s">
        <v>2181</v>
      </c>
      <c r="E297" s="3" t="s">
        <v>2182</v>
      </c>
      <c r="F297" s="3" t="s">
        <v>2183</v>
      </c>
      <c r="G297" s="3" t="s">
        <v>2184</v>
      </c>
      <c r="H297" s="3" t="s">
        <v>1220</v>
      </c>
      <c r="I297" s="3" t="s">
        <v>42</v>
      </c>
      <c r="J297" s="3" t="s">
        <v>2185</v>
      </c>
      <c r="K297" s="3" t="s">
        <v>2186</v>
      </c>
      <c r="L297" s="3" t="s">
        <v>47</v>
      </c>
      <c r="M297" s="3" t="n">
        <v>10195.05</v>
      </c>
      <c r="N297" s="3" t="s">
        <v>46</v>
      </c>
      <c r="O297" s="3" t="n">
        <f aca="false">IFERROR(LEN(C297&amp;D297&amp;E297&amp;F297&amp;G297&amp;H297&amp;I297&amp;J297&amp;K297&amp;L297&amp;M297&amp;N297)/5,0)</f>
        <v>28.6</v>
      </c>
      <c r="P297" s="3" t="str">
        <f aca="false">IF(OR(D297="",C297=""),"",IF((IFERROR(IF(AND(TRIM(D297)=D297,LEN(D297)&gt;0),0,1),1)+IFERROR(IF(AND(LEN(E297)=10,ISNUMBER(VALUE(E297))),0,1),1)+IFERROR(IF(AND(ISNUMBER(SEARCH("@",F297)),ISNUMBER(SEARCH(".",F297))),0,1),1)+IFERROR(IF(AND(LEN(J297)=6,ISNUMBER(VALUE(J297))),0,1),1)+IFERROR(IF(ISNUMBER(MATCH(TRIM(I297),Lists!$A$2:$A$20,0)),0,1),1)+IFERROR(IF(AND(LEN(K297)=10,VALUE(LEFT(K297,FIND("/",K297)-1))&gt;=1,VALUE(LEFT(K297,FIND("/",K297)-1))&lt;=31,VALUE(LEFT(MID(K297,FIND("/",K297)+1,10),FIND("/",MID(K297,FIND("/",K297)+1,10))-1))&gt;=1,VALUE(LEFT(MID(K297,FIND("/",K297)+1,10),FIND("/",MID(K297,FIND("/",K297)+1,10))-1))&lt;=12,VALUE(LEFT(K297,FIND("/",K297)-1))&lt;=DAY(EOMONTH(DATE(VALUE(MID(MID(K297,FIND("/",K297)+1,10),FIND("/",MID(K297,FIND("/",K297)+1,10))+1,4)),VALUE(LEFT(MID(K297,FIND("/",K297)+1,10),FIND("/",MID(K297,FIND("/",K297)+1,10))-1)),1),0))),0,1),1)+IFERROR(IF(M297&gt;=0,0,1),1)+IFERROR(IF(ISNUMBER(MATCH(N297,Lists!$B$2:$B$7,0)),0,1),1))=0,"OK","ERROR"))</f>
        <v>OK</v>
      </c>
      <c r="Q297" s="3" t="str">
        <f aca="false">IF(D297="","",TRIM(IF(IFERROR(IF(AND(TRIM(D297)=D297,LEN(D297)&gt;0),0,1),1)=1,"Name; ","")&amp;IF(IFERROR(IF(AND(LEN(E297)=10,ISNUMBER(VALUE(E297))),0,1),1)=1,"Phone; ","")&amp;IF(IFERROR(IF(AND(ISNUMBER(SEARCH("@",F297)),ISNUMBER(SEARCH(".",F297))),0,1),1)=1,"Email; ","")&amp;IF(IFERROR(IF(AND(LEN(J297)=6,ISNUMBER(VALUE(J297))),0,1),1)=1,"Pincode; ","")&amp;IF(IFERROR(IF(ISNUMBER(MATCH(TRIM(I297),Lists!$A$2:$A$20,0)),0,1),1)=1,"State; ","")&amp;IF(IFERROR(IF(AND(LEN(K297)=10,VALUE(LEFT(K297,FIND("/",K297)-1))&gt;=1,VALUE(LEFT(K297,FIND("/",K297)-1))&lt;=31,VALUE(LEFT(MID(K297,FIND("/",K297)+1,10),FIND("/",MID(K297,FIND("/",K297)+1,10))-1))&gt;=1,VALUE(LEFT(MID(K297,FIND("/",K297)+1,10),FIND("/",MID(K297,FIND("/",K297)+1,10))-1))&lt;=12,VALUE(LEFT(K297,FIND("/",K297)-1))&lt;=DAY(EOMONTH(DATE(VALUE(MID(MID(K297,FIND("/",K297)+1,10),FIND("/",MID(K297,FIND("/",K297)+1,10))+1,4)),VALUE(LEFT(MID(K297,FIND("/",K297)+1,10),FIND("/",MID(K297,FIND("/",K297)+1,10))-1)),1),0))),0,1),1)=1,"Date; ","")&amp;IF(IFERROR(IF(M297&gt;=0,0,1),1)=1,"Amount; ","")&amp;IF(IFERROR(IF(ISNUMBER(MATCH(N297,Lists!$B$2:$B$7,0)),0,1),1)=1,"Payment; ","")))</f>
        <v/>
      </c>
      <c r="R297" s="3" t="str">
        <f aca="false">IF(D297="","",IF(COUNTIFS($D$2:$D$701,D297,$E$2:$E$701,E297)&gt;1,"DUPLICATE","Unique"))</f>
        <v>Unique</v>
      </c>
    </row>
    <row r="298" customFormat="false" ht="15" hidden="false" customHeight="false" outlineLevel="0" collapsed="false">
      <c r="A298" s="3" t="n">
        <v>297</v>
      </c>
      <c r="B298" s="3" t="n">
        <v>6</v>
      </c>
      <c r="C298" s="3" t="s">
        <v>2187</v>
      </c>
      <c r="D298" s="3" t="s">
        <v>2188</v>
      </c>
      <c r="E298" s="3" t="s">
        <v>2189</v>
      </c>
      <c r="F298" s="3" t="s">
        <v>2190</v>
      </c>
      <c r="G298" s="3" t="s">
        <v>2191</v>
      </c>
      <c r="H298" s="3" t="s">
        <v>663</v>
      </c>
      <c r="I298" s="3" t="s">
        <v>48</v>
      </c>
      <c r="J298" s="3" t="s">
        <v>2192</v>
      </c>
      <c r="K298" s="3" t="s">
        <v>2193</v>
      </c>
      <c r="L298" s="3" t="s">
        <v>47</v>
      </c>
      <c r="M298" s="3" t="n">
        <v>5280.12</v>
      </c>
      <c r="N298" s="3" t="s">
        <v>43</v>
      </c>
      <c r="O298" s="3" t="n">
        <f aca="false">IFERROR(LEN(C298&amp;D298&amp;E298&amp;F298&amp;G298&amp;H298&amp;I298&amp;J298&amp;K298&amp;L298&amp;M298&amp;N298)/5,0)</f>
        <v>26.4</v>
      </c>
      <c r="P298" s="3" t="str">
        <f aca="false">IF(OR(D298="",C298=""),"",IF((IFERROR(IF(AND(TRIM(D298)=D298,LEN(D298)&gt;0),0,1),1)+IFERROR(IF(AND(LEN(E298)=10,ISNUMBER(VALUE(E298))),0,1),1)+IFERROR(IF(AND(ISNUMBER(SEARCH("@",F298)),ISNUMBER(SEARCH(".",F298))),0,1),1)+IFERROR(IF(AND(LEN(J298)=6,ISNUMBER(VALUE(J298))),0,1),1)+IFERROR(IF(ISNUMBER(MATCH(TRIM(I298),Lists!$A$2:$A$20,0)),0,1),1)+IFERROR(IF(AND(LEN(K298)=10,VALUE(LEFT(K298,FIND("/",K298)-1))&gt;=1,VALUE(LEFT(K298,FIND("/",K298)-1))&lt;=31,VALUE(LEFT(MID(K298,FIND("/",K298)+1,10),FIND("/",MID(K298,FIND("/",K298)+1,10))-1))&gt;=1,VALUE(LEFT(MID(K298,FIND("/",K298)+1,10),FIND("/",MID(K298,FIND("/",K298)+1,10))-1))&lt;=12,VALUE(LEFT(K298,FIND("/",K298)-1))&lt;=DAY(EOMONTH(DATE(VALUE(MID(MID(K298,FIND("/",K298)+1,10),FIND("/",MID(K298,FIND("/",K298)+1,10))+1,4)),VALUE(LEFT(MID(K298,FIND("/",K298)+1,10),FIND("/",MID(K298,FIND("/",K298)+1,10))-1)),1),0))),0,1),1)+IFERROR(IF(M298&gt;=0,0,1),1)+IFERROR(IF(ISNUMBER(MATCH(N298,Lists!$B$2:$B$7,0)),0,1),1))=0,"OK","ERROR"))</f>
        <v>OK</v>
      </c>
      <c r="Q298" s="3" t="str">
        <f aca="false">IF(D298="","",TRIM(IF(IFERROR(IF(AND(TRIM(D298)=D298,LEN(D298)&gt;0),0,1),1)=1,"Name; ","")&amp;IF(IFERROR(IF(AND(LEN(E298)=10,ISNUMBER(VALUE(E298))),0,1),1)=1,"Phone; ","")&amp;IF(IFERROR(IF(AND(ISNUMBER(SEARCH("@",F298)),ISNUMBER(SEARCH(".",F298))),0,1),1)=1,"Email; ","")&amp;IF(IFERROR(IF(AND(LEN(J298)=6,ISNUMBER(VALUE(J298))),0,1),1)=1,"Pincode; ","")&amp;IF(IFERROR(IF(ISNUMBER(MATCH(TRIM(I298),Lists!$A$2:$A$20,0)),0,1),1)=1,"State; ","")&amp;IF(IFERROR(IF(AND(LEN(K298)=10,VALUE(LEFT(K298,FIND("/",K298)-1))&gt;=1,VALUE(LEFT(K298,FIND("/",K298)-1))&lt;=31,VALUE(LEFT(MID(K298,FIND("/",K298)+1,10),FIND("/",MID(K298,FIND("/",K298)+1,10))-1))&gt;=1,VALUE(LEFT(MID(K298,FIND("/",K298)+1,10),FIND("/",MID(K298,FIND("/",K298)+1,10))-1))&lt;=12,VALUE(LEFT(K298,FIND("/",K298)-1))&lt;=DAY(EOMONTH(DATE(VALUE(MID(MID(K298,FIND("/",K298)+1,10),FIND("/",MID(K298,FIND("/",K298)+1,10))+1,4)),VALUE(LEFT(MID(K298,FIND("/",K298)+1,10),FIND("/",MID(K298,FIND("/",K298)+1,10))-1)),1),0))),0,1),1)=1,"Date; ","")&amp;IF(IFERROR(IF(M298&gt;=0,0,1),1)=1,"Amount; ","")&amp;IF(IFERROR(IF(ISNUMBER(MATCH(N298,Lists!$B$2:$B$7,0)),0,1),1)=1,"Payment; ","")))</f>
        <v/>
      </c>
      <c r="R298" s="3" t="str">
        <f aca="false">IF(D298="","",IF(COUNTIFS($D$2:$D$701,D298,$E$2:$E$701,E298)&gt;1,"DUPLICATE","Unique"))</f>
        <v>Unique</v>
      </c>
    </row>
    <row r="299" customFormat="false" ht="15" hidden="false" customHeight="false" outlineLevel="0" collapsed="false">
      <c r="A299" s="3" t="n">
        <v>298</v>
      </c>
      <c r="B299" s="3" t="n">
        <v>6</v>
      </c>
      <c r="C299" s="3" t="s">
        <v>2194</v>
      </c>
      <c r="D299" s="3" t="s">
        <v>2195</v>
      </c>
      <c r="E299" s="3" t="s">
        <v>2196</v>
      </c>
      <c r="F299" s="3" t="s">
        <v>2197</v>
      </c>
      <c r="G299" s="3" t="s">
        <v>2198</v>
      </c>
      <c r="H299" s="3" t="s">
        <v>370</v>
      </c>
      <c r="I299" s="3" t="s">
        <v>42</v>
      </c>
      <c r="J299" s="3" t="s">
        <v>2199</v>
      </c>
      <c r="K299" s="3" t="s">
        <v>928</v>
      </c>
      <c r="L299" s="3" t="s">
        <v>74</v>
      </c>
      <c r="M299" s="3" t="n">
        <v>7893.09</v>
      </c>
      <c r="N299" s="3" t="s">
        <v>40</v>
      </c>
      <c r="O299" s="3" t="n">
        <f aca="false">IFERROR(LEN(C299&amp;D299&amp;E299&amp;F299&amp;G299&amp;H299&amp;I299&amp;J299&amp;K299&amp;L299&amp;M299&amp;N299)/5,0)</f>
        <v>26.6</v>
      </c>
      <c r="P299" s="3" t="str">
        <f aca="false">IF(OR(D299="",C299=""),"",IF((IFERROR(IF(AND(TRIM(D299)=D299,LEN(D299)&gt;0),0,1),1)+IFERROR(IF(AND(LEN(E299)=10,ISNUMBER(VALUE(E299))),0,1),1)+IFERROR(IF(AND(ISNUMBER(SEARCH("@",F299)),ISNUMBER(SEARCH(".",F299))),0,1),1)+IFERROR(IF(AND(LEN(J299)=6,ISNUMBER(VALUE(J299))),0,1),1)+IFERROR(IF(ISNUMBER(MATCH(TRIM(I299),Lists!$A$2:$A$20,0)),0,1),1)+IFERROR(IF(AND(LEN(K299)=10,VALUE(LEFT(K299,FIND("/",K299)-1))&gt;=1,VALUE(LEFT(K299,FIND("/",K299)-1))&lt;=31,VALUE(LEFT(MID(K299,FIND("/",K299)+1,10),FIND("/",MID(K299,FIND("/",K299)+1,10))-1))&gt;=1,VALUE(LEFT(MID(K299,FIND("/",K299)+1,10),FIND("/",MID(K299,FIND("/",K299)+1,10))-1))&lt;=12,VALUE(LEFT(K299,FIND("/",K299)-1))&lt;=DAY(EOMONTH(DATE(VALUE(MID(MID(K299,FIND("/",K299)+1,10),FIND("/",MID(K299,FIND("/",K299)+1,10))+1,4)),VALUE(LEFT(MID(K299,FIND("/",K299)+1,10),FIND("/",MID(K299,FIND("/",K299)+1,10))-1)),1),0))),0,1),1)+IFERROR(IF(M299&gt;=0,0,1),1)+IFERROR(IF(ISNUMBER(MATCH(N299,Lists!$B$2:$B$7,0)),0,1),1))=0,"OK","ERROR"))</f>
        <v>OK</v>
      </c>
      <c r="Q299" s="3" t="str">
        <f aca="false">IF(D299="","",TRIM(IF(IFERROR(IF(AND(TRIM(D299)=D299,LEN(D299)&gt;0),0,1),1)=1,"Name; ","")&amp;IF(IFERROR(IF(AND(LEN(E299)=10,ISNUMBER(VALUE(E299))),0,1),1)=1,"Phone; ","")&amp;IF(IFERROR(IF(AND(ISNUMBER(SEARCH("@",F299)),ISNUMBER(SEARCH(".",F299))),0,1),1)=1,"Email; ","")&amp;IF(IFERROR(IF(AND(LEN(J299)=6,ISNUMBER(VALUE(J299))),0,1),1)=1,"Pincode; ","")&amp;IF(IFERROR(IF(ISNUMBER(MATCH(TRIM(I299),Lists!$A$2:$A$20,0)),0,1),1)=1,"State; ","")&amp;IF(IFERROR(IF(AND(LEN(K299)=10,VALUE(LEFT(K299,FIND("/",K299)-1))&gt;=1,VALUE(LEFT(K299,FIND("/",K299)-1))&lt;=31,VALUE(LEFT(MID(K299,FIND("/",K299)+1,10),FIND("/",MID(K299,FIND("/",K299)+1,10))-1))&gt;=1,VALUE(LEFT(MID(K299,FIND("/",K299)+1,10),FIND("/",MID(K299,FIND("/",K299)+1,10))-1))&lt;=12,VALUE(LEFT(K299,FIND("/",K299)-1))&lt;=DAY(EOMONTH(DATE(VALUE(MID(MID(K299,FIND("/",K299)+1,10),FIND("/",MID(K299,FIND("/",K299)+1,10))+1,4)),VALUE(LEFT(MID(K299,FIND("/",K299)+1,10),FIND("/",MID(K299,FIND("/",K299)+1,10))-1)),1),0))),0,1),1)=1,"Date; ","")&amp;IF(IFERROR(IF(M299&gt;=0,0,1),1)=1,"Amount; ","")&amp;IF(IFERROR(IF(ISNUMBER(MATCH(N299,Lists!$B$2:$B$7,0)),0,1),1)=1,"Payment; ","")))</f>
        <v/>
      </c>
      <c r="R299" s="3" t="str">
        <f aca="false">IF(D299="","",IF(COUNTIFS($D$2:$D$701,D299,$E$2:$E$701,E299)&gt;1,"DUPLICATE","Unique"))</f>
        <v>Unique</v>
      </c>
    </row>
    <row r="300" customFormat="false" ht="15" hidden="false" customHeight="false" outlineLevel="0" collapsed="false">
      <c r="A300" s="3" t="n">
        <v>299</v>
      </c>
      <c r="B300" s="3" t="n">
        <v>6</v>
      </c>
      <c r="C300" s="3" t="s">
        <v>2200</v>
      </c>
      <c r="D300" s="3" t="s">
        <v>2201</v>
      </c>
      <c r="E300" s="3" t="s">
        <v>2202</v>
      </c>
      <c r="F300" s="3" t="s">
        <v>2203</v>
      </c>
      <c r="G300" s="3" t="s">
        <v>2204</v>
      </c>
      <c r="H300" s="3" t="s">
        <v>1193</v>
      </c>
      <c r="I300" s="3" t="s">
        <v>39</v>
      </c>
      <c r="J300" s="3" t="s">
        <v>2205</v>
      </c>
      <c r="K300" s="3" t="s">
        <v>1145</v>
      </c>
      <c r="L300" s="3" t="s">
        <v>64</v>
      </c>
      <c r="M300" s="3" t="n">
        <v>15213.71</v>
      </c>
      <c r="N300" s="3" t="s">
        <v>55</v>
      </c>
      <c r="O300" s="3" t="n">
        <f aca="false">IFERROR(LEN(C300&amp;D300&amp;E300&amp;F300&amp;G300&amp;H300&amp;I300&amp;J300&amp;K300&amp;L300&amp;M300&amp;N300)/5,0)</f>
        <v>24</v>
      </c>
      <c r="P300" s="3" t="str">
        <f aca="false">IF(OR(D300="",C300=""),"",IF((IFERROR(IF(AND(TRIM(D300)=D300,LEN(D300)&gt;0),0,1),1)+IFERROR(IF(AND(LEN(E300)=10,ISNUMBER(VALUE(E300))),0,1),1)+IFERROR(IF(AND(ISNUMBER(SEARCH("@",F300)),ISNUMBER(SEARCH(".",F300))),0,1),1)+IFERROR(IF(AND(LEN(J300)=6,ISNUMBER(VALUE(J300))),0,1),1)+IFERROR(IF(ISNUMBER(MATCH(TRIM(I300),Lists!$A$2:$A$20,0)),0,1),1)+IFERROR(IF(AND(LEN(K300)=10,VALUE(LEFT(K300,FIND("/",K300)-1))&gt;=1,VALUE(LEFT(K300,FIND("/",K300)-1))&lt;=31,VALUE(LEFT(MID(K300,FIND("/",K300)+1,10),FIND("/",MID(K300,FIND("/",K300)+1,10))-1))&gt;=1,VALUE(LEFT(MID(K300,FIND("/",K300)+1,10),FIND("/",MID(K300,FIND("/",K300)+1,10))-1))&lt;=12,VALUE(LEFT(K300,FIND("/",K300)-1))&lt;=DAY(EOMONTH(DATE(VALUE(MID(MID(K300,FIND("/",K300)+1,10),FIND("/",MID(K300,FIND("/",K300)+1,10))+1,4)),VALUE(LEFT(MID(K300,FIND("/",K300)+1,10),FIND("/",MID(K300,FIND("/",K300)+1,10))-1)),1),0))),0,1),1)+IFERROR(IF(M300&gt;=0,0,1),1)+IFERROR(IF(ISNUMBER(MATCH(N300,Lists!$B$2:$B$7,0)),0,1),1))=0,"OK","ERROR"))</f>
        <v>OK</v>
      </c>
      <c r="Q300" s="3" t="str">
        <f aca="false">IF(D300="","",TRIM(IF(IFERROR(IF(AND(TRIM(D300)=D300,LEN(D300)&gt;0),0,1),1)=1,"Name; ","")&amp;IF(IFERROR(IF(AND(LEN(E300)=10,ISNUMBER(VALUE(E300))),0,1),1)=1,"Phone; ","")&amp;IF(IFERROR(IF(AND(ISNUMBER(SEARCH("@",F300)),ISNUMBER(SEARCH(".",F300))),0,1),1)=1,"Email; ","")&amp;IF(IFERROR(IF(AND(LEN(J300)=6,ISNUMBER(VALUE(J300))),0,1),1)=1,"Pincode; ","")&amp;IF(IFERROR(IF(ISNUMBER(MATCH(TRIM(I300),Lists!$A$2:$A$20,0)),0,1),1)=1,"State; ","")&amp;IF(IFERROR(IF(AND(LEN(K300)=10,VALUE(LEFT(K300,FIND("/",K300)-1))&gt;=1,VALUE(LEFT(K300,FIND("/",K300)-1))&lt;=31,VALUE(LEFT(MID(K300,FIND("/",K300)+1,10),FIND("/",MID(K300,FIND("/",K300)+1,10))-1))&gt;=1,VALUE(LEFT(MID(K300,FIND("/",K300)+1,10),FIND("/",MID(K300,FIND("/",K300)+1,10))-1))&lt;=12,VALUE(LEFT(K300,FIND("/",K300)-1))&lt;=DAY(EOMONTH(DATE(VALUE(MID(MID(K300,FIND("/",K300)+1,10),FIND("/",MID(K300,FIND("/",K300)+1,10))+1,4)),VALUE(LEFT(MID(K300,FIND("/",K300)+1,10),FIND("/",MID(K300,FIND("/",K300)+1,10))-1)),1),0))),0,1),1)=1,"Date; ","")&amp;IF(IFERROR(IF(M300&gt;=0,0,1),1)=1,"Amount; ","")&amp;IF(IFERROR(IF(ISNUMBER(MATCH(N300,Lists!$B$2:$B$7,0)),0,1),1)=1,"Payment; ","")))</f>
        <v/>
      </c>
      <c r="R300" s="3" t="str">
        <f aca="false">IF(D300="","",IF(COUNTIFS($D$2:$D$701,D300,$E$2:$E$701,E300)&gt;1,"DUPLICATE","Unique"))</f>
        <v>Unique</v>
      </c>
    </row>
    <row r="301" customFormat="false" ht="15" hidden="false" customHeight="false" outlineLevel="0" collapsed="false">
      <c r="A301" s="3" t="n">
        <v>300</v>
      </c>
      <c r="B301" s="3" t="n">
        <v>6</v>
      </c>
      <c r="C301" s="3" t="s">
        <v>2206</v>
      </c>
      <c r="D301" s="3" t="s">
        <v>2207</v>
      </c>
      <c r="E301" s="3" t="s">
        <v>2208</v>
      </c>
      <c r="F301" s="3" t="s">
        <v>2209</v>
      </c>
      <c r="G301" s="3" t="s">
        <v>2210</v>
      </c>
      <c r="H301" s="3" t="s">
        <v>165</v>
      </c>
      <c r="I301" s="3" t="s">
        <v>63</v>
      </c>
      <c r="J301" s="3" t="s">
        <v>2211</v>
      </c>
      <c r="K301" s="3" t="s">
        <v>2212</v>
      </c>
      <c r="L301" s="3" t="s">
        <v>66</v>
      </c>
      <c r="M301" s="3" t="n">
        <v>13530.75</v>
      </c>
      <c r="N301" s="3" t="s">
        <v>49</v>
      </c>
      <c r="O301" s="3" t="n">
        <f aca="false">IFERROR(LEN(C301&amp;D301&amp;E301&amp;F301&amp;G301&amp;H301&amp;I301&amp;J301&amp;K301&amp;L301&amp;M301&amp;N301)/5,0)</f>
        <v>30.8</v>
      </c>
      <c r="P301" s="3" t="str">
        <f aca="false">IF(OR(D301="",C301=""),"",IF((IFERROR(IF(AND(TRIM(D301)=D301,LEN(D301)&gt;0),0,1),1)+IFERROR(IF(AND(LEN(E301)=10,ISNUMBER(VALUE(E301))),0,1),1)+IFERROR(IF(AND(ISNUMBER(SEARCH("@",F301)),ISNUMBER(SEARCH(".",F301))),0,1),1)+IFERROR(IF(AND(LEN(J301)=6,ISNUMBER(VALUE(J301))),0,1),1)+IFERROR(IF(ISNUMBER(MATCH(TRIM(I301),Lists!$A$2:$A$20,0)),0,1),1)+IFERROR(IF(AND(LEN(K301)=10,VALUE(LEFT(K301,FIND("/",K301)-1))&gt;=1,VALUE(LEFT(K301,FIND("/",K301)-1))&lt;=31,VALUE(LEFT(MID(K301,FIND("/",K301)+1,10),FIND("/",MID(K301,FIND("/",K301)+1,10))-1))&gt;=1,VALUE(LEFT(MID(K301,FIND("/",K301)+1,10),FIND("/",MID(K301,FIND("/",K301)+1,10))-1))&lt;=12,VALUE(LEFT(K301,FIND("/",K301)-1))&lt;=DAY(EOMONTH(DATE(VALUE(MID(MID(K301,FIND("/",K301)+1,10),FIND("/",MID(K301,FIND("/",K301)+1,10))+1,4)),VALUE(LEFT(MID(K301,FIND("/",K301)+1,10),FIND("/",MID(K301,FIND("/",K301)+1,10))-1)),1),0))),0,1),1)+IFERROR(IF(M301&gt;=0,0,1),1)+IFERROR(IF(ISNUMBER(MATCH(N301,Lists!$B$2:$B$7,0)),0,1),1))=0,"OK","ERROR"))</f>
        <v>OK</v>
      </c>
      <c r="Q301" s="3" t="str">
        <f aca="false">IF(D301="","",TRIM(IF(IFERROR(IF(AND(TRIM(D301)=D301,LEN(D301)&gt;0),0,1),1)=1,"Name; ","")&amp;IF(IFERROR(IF(AND(LEN(E301)=10,ISNUMBER(VALUE(E301))),0,1),1)=1,"Phone; ","")&amp;IF(IFERROR(IF(AND(ISNUMBER(SEARCH("@",F301)),ISNUMBER(SEARCH(".",F301))),0,1),1)=1,"Email; ","")&amp;IF(IFERROR(IF(AND(LEN(J301)=6,ISNUMBER(VALUE(J301))),0,1),1)=1,"Pincode; ","")&amp;IF(IFERROR(IF(ISNUMBER(MATCH(TRIM(I301),Lists!$A$2:$A$20,0)),0,1),1)=1,"State; ","")&amp;IF(IFERROR(IF(AND(LEN(K301)=10,VALUE(LEFT(K301,FIND("/",K301)-1))&gt;=1,VALUE(LEFT(K301,FIND("/",K301)-1))&lt;=31,VALUE(LEFT(MID(K301,FIND("/",K301)+1,10),FIND("/",MID(K301,FIND("/",K301)+1,10))-1))&gt;=1,VALUE(LEFT(MID(K301,FIND("/",K301)+1,10),FIND("/",MID(K301,FIND("/",K301)+1,10))-1))&lt;=12,VALUE(LEFT(K301,FIND("/",K301)-1))&lt;=DAY(EOMONTH(DATE(VALUE(MID(MID(K301,FIND("/",K301)+1,10),FIND("/",MID(K301,FIND("/",K301)+1,10))+1,4)),VALUE(LEFT(MID(K301,FIND("/",K301)+1,10),FIND("/",MID(K301,FIND("/",K301)+1,10))-1)),1),0))),0,1),1)=1,"Date; ","")&amp;IF(IFERROR(IF(M301&gt;=0,0,1),1)=1,"Amount; ","")&amp;IF(IFERROR(IF(ISNUMBER(MATCH(N301,Lists!$B$2:$B$7,0)),0,1),1)=1,"Payment; ","")))</f>
        <v/>
      </c>
      <c r="R301" s="3" t="str">
        <f aca="false">IF(D301="","",IF(COUNTIFS($D$2:$D$701,D301,$E$2:$E$701,E301)&gt;1,"DUPLICATE","Unique"))</f>
        <v>Unique</v>
      </c>
    </row>
    <row r="302" customFormat="false" ht="15" hidden="false" customHeight="false" outlineLevel="0" collapsed="false">
      <c r="A302" s="3" t="n">
        <v>301</v>
      </c>
      <c r="B302" s="3" t="n">
        <v>7</v>
      </c>
      <c r="C302" s="3" t="s">
        <v>2213</v>
      </c>
      <c r="D302" s="3" t="s">
        <v>2214</v>
      </c>
      <c r="E302" s="3" t="s">
        <v>2215</v>
      </c>
      <c r="F302" s="3" t="s">
        <v>2216</v>
      </c>
      <c r="G302" s="3" t="s">
        <v>2217</v>
      </c>
      <c r="H302" s="3" t="s">
        <v>819</v>
      </c>
      <c r="I302" s="3" t="s">
        <v>75</v>
      </c>
      <c r="J302" s="3" t="s">
        <v>2218</v>
      </c>
      <c r="K302" s="3" t="s">
        <v>2219</v>
      </c>
      <c r="L302" s="3" t="s">
        <v>60</v>
      </c>
      <c r="M302" s="3" t="n">
        <v>8334.48</v>
      </c>
      <c r="N302" s="3" t="s">
        <v>40</v>
      </c>
      <c r="O302" s="3" t="n">
        <f aca="false">IFERROR(LEN(C302&amp;D302&amp;E302&amp;F302&amp;G302&amp;H302&amp;I302&amp;J302&amp;K302&amp;L302&amp;M302&amp;N302)/5,0)</f>
        <v>27.8</v>
      </c>
      <c r="P302" s="3" t="str">
        <f aca="false">IF(OR(D302="",C302=""),"",IF((IFERROR(IF(AND(TRIM(D302)=D302,LEN(D302)&gt;0),0,1),1)+IFERROR(IF(AND(LEN(E302)=10,ISNUMBER(VALUE(E302))),0,1),1)+IFERROR(IF(AND(ISNUMBER(SEARCH("@",F302)),ISNUMBER(SEARCH(".",F302))),0,1),1)+IFERROR(IF(AND(LEN(J302)=6,ISNUMBER(VALUE(J302))),0,1),1)+IFERROR(IF(ISNUMBER(MATCH(TRIM(I302),Lists!$A$2:$A$20,0)),0,1),1)+IFERROR(IF(AND(LEN(K302)=10,VALUE(LEFT(K302,FIND("/",K302)-1))&gt;=1,VALUE(LEFT(K302,FIND("/",K302)-1))&lt;=31,VALUE(LEFT(MID(K302,FIND("/",K302)+1,10),FIND("/",MID(K302,FIND("/",K302)+1,10))-1))&gt;=1,VALUE(LEFT(MID(K302,FIND("/",K302)+1,10),FIND("/",MID(K302,FIND("/",K302)+1,10))-1))&lt;=12,VALUE(LEFT(K302,FIND("/",K302)-1))&lt;=DAY(EOMONTH(DATE(VALUE(MID(MID(K302,FIND("/",K302)+1,10),FIND("/",MID(K302,FIND("/",K302)+1,10))+1,4)),VALUE(LEFT(MID(K302,FIND("/",K302)+1,10),FIND("/",MID(K302,FIND("/",K302)+1,10))-1)),1),0))),0,1),1)+IFERROR(IF(M302&gt;=0,0,1),1)+IFERROR(IF(ISNUMBER(MATCH(N302,Lists!$B$2:$B$7,0)),0,1),1))=0,"OK","ERROR"))</f>
        <v>OK</v>
      </c>
      <c r="Q302" s="3" t="str">
        <f aca="false">IF(D302="","",TRIM(IF(IFERROR(IF(AND(TRIM(D302)=D302,LEN(D302)&gt;0),0,1),1)=1,"Name; ","")&amp;IF(IFERROR(IF(AND(LEN(E302)=10,ISNUMBER(VALUE(E302))),0,1),1)=1,"Phone; ","")&amp;IF(IFERROR(IF(AND(ISNUMBER(SEARCH("@",F302)),ISNUMBER(SEARCH(".",F302))),0,1),1)=1,"Email; ","")&amp;IF(IFERROR(IF(AND(LEN(J302)=6,ISNUMBER(VALUE(J302))),0,1),1)=1,"Pincode; ","")&amp;IF(IFERROR(IF(ISNUMBER(MATCH(TRIM(I302),Lists!$A$2:$A$20,0)),0,1),1)=1,"State; ","")&amp;IF(IFERROR(IF(AND(LEN(K302)=10,VALUE(LEFT(K302,FIND("/",K302)-1))&gt;=1,VALUE(LEFT(K302,FIND("/",K302)-1))&lt;=31,VALUE(LEFT(MID(K302,FIND("/",K302)+1,10),FIND("/",MID(K302,FIND("/",K302)+1,10))-1))&gt;=1,VALUE(LEFT(MID(K302,FIND("/",K302)+1,10),FIND("/",MID(K302,FIND("/",K302)+1,10))-1))&lt;=12,VALUE(LEFT(K302,FIND("/",K302)-1))&lt;=DAY(EOMONTH(DATE(VALUE(MID(MID(K302,FIND("/",K302)+1,10),FIND("/",MID(K302,FIND("/",K302)+1,10))+1,4)),VALUE(LEFT(MID(K302,FIND("/",K302)+1,10),FIND("/",MID(K302,FIND("/",K302)+1,10))-1)),1),0))),0,1),1)=1,"Date; ","")&amp;IF(IFERROR(IF(M302&gt;=0,0,1),1)=1,"Amount; ","")&amp;IF(IFERROR(IF(ISNUMBER(MATCH(N302,Lists!$B$2:$B$7,0)),0,1),1)=1,"Payment; ","")))</f>
        <v/>
      </c>
      <c r="R302" s="3" t="str">
        <f aca="false">IF(D302="","",IF(COUNTIFS($D$2:$D$701,D302,$E$2:$E$701,E302)&gt;1,"DUPLICATE","Unique"))</f>
        <v>Unique</v>
      </c>
    </row>
    <row r="303" customFormat="false" ht="15" hidden="false" customHeight="false" outlineLevel="0" collapsed="false">
      <c r="A303" s="3" t="n">
        <v>302</v>
      </c>
      <c r="B303" s="3" t="n">
        <v>7</v>
      </c>
      <c r="C303" s="3" t="s">
        <v>2220</v>
      </c>
      <c r="D303" s="3" t="s">
        <v>2221</v>
      </c>
      <c r="E303" s="3" t="s">
        <v>2222</v>
      </c>
      <c r="F303" s="3" t="s">
        <v>2223</v>
      </c>
      <c r="G303" s="3" t="s">
        <v>2224</v>
      </c>
      <c r="H303" s="3" t="s">
        <v>641</v>
      </c>
      <c r="I303" s="3" t="s">
        <v>59</v>
      </c>
      <c r="J303" s="3" t="s">
        <v>2225</v>
      </c>
      <c r="K303" s="3" t="s">
        <v>2226</v>
      </c>
      <c r="L303" s="3" t="s">
        <v>60</v>
      </c>
      <c r="M303" s="3" t="n">
        <v>1057.56</v>
      </c>
      <c r="N303" s="3" t="s">
        <v>49</v>
      </c>
      <c r="O303" s="3" t="n">
        <f aca="false">IFERROR(LEN(C303&amp;D303&amp;E303&amp;F303&amp;G303&amp;H303&amp;I303&amp;J303&amp;K303&amp;L303&amp;M303&amp;N303)/5,0)</f>
        <v>28.6</v>
      </c>
      <c r="P303" s="3" t="str">
        <f aca="false">IF(OR(D303="",C303=""),"",IF((IFERROR(IF(AND(TRIM(D303)=D303,LEN(D303)&gt;0),0,1),1)+IFERROR(IF(AND(LEN(E303)=10,ISNUMBER(VALUE(E303))),0,1),1)+IFERROR(IF(AND(ISNUMBER(SEARCH("@",F303)),ISNUMBER(SEARCH(".",F303))),0,1),1)+IFERROR(IF(AND(LEN(J303)=6,ISNUMBER(VALUE(J303))),0,1),1)+IFERROR(IF(ISNUMBER(MATCH(TRIM(I303),Lists!$A$2:$A$20,0)),0,1),1)+IFERROR(IF(AND(LEN(K303)=10,VALUE(LEFT(K303,FIND("/",K303)-1))&gt;=1,VALUE(LEFT(K303,FIND("/",K303)-1))&lt;=31,VALUE(LEFT(MID(K303,FIND("/",K303)+1,10),FIND("/",MID(K303,FIND("/",K303)+1,10))-1))&gt;=1,VALUE(LEFT(MID(K303,FIND("/",K303)+1,10),FIND("/",MID(K303,FIND("/",K303)+1,10))-1))&lt;=12,VALUE(LEFT(K303,FIND("/",K303)-1))&lt;=DAY(EOMONTH(DATE(VALUE(MID(MID(K303,FIND("/",K303)+1,10),FIND("/",MID(K303,FIND("/",K303)+1,10))+1,4)),VALUE(LEFT(MID(K303,FIND("/",K303)+1,10),FIND("/",MID(K303,FIND("/",K303)+1,10))-1)),1),0))),0,1),1)+IFERROR(IF(M303&gt;=0,0,1),1)+IFERROR(IF(ISNUMBER(MATCH(N303,Lists!$B$2:$B$7,0)),0,1),1))=0,"OK","ERROR"))</f>
        <v>OK</v>
      </c>
      <c r="Q303" s="3" t="str">
        <f aca="false">IF(D303="","",TRIM(IF(IFERROR(IF(AND(TRIM(D303)=D303,LEN(D303)&gt;0),0,1),1)=1,"Name; ","")&amp;IF(IFERROR(IF(AND(LEN(E303)=10,ISNUMBER(VALUE(E303))),0,1),1)=1,"Phone; ","")&amp;IF(IFERROR(IF(AND(ISNUMBER(SEARCH("@",F303)),ISNUMBER(SEARCH(".",F303))),0,1),1)=1,"Email; ","")&amp;IF(IFERROR(IF(AND(LEN(J303)=6,ISNUMBER(VALUE(J303))),0,1),1)=1,"Pincode; ","")&amp;IF(IFERROR(IF(ISNUMBER(MATCH(TRIM(I303),Lists!$A$2:$A$20,0)),0,1),1)=1,"State; ","")&amp;IF(IFERROR(IF(AND(LEN(K303)=10,VALUE(LEFT(K303,FIND("/",K303)-1))&gt;=1,VALUE(LEFT(K303,FIND("/",K303)-1))&lt;=31,VALUE(LEFT(MID(K303,FIND("/",K303)+1,10),FIND("/",MID(K303,FIND("/",K303)+1,10))-1))&gt;=1,VALUE(LEFT(MID(K303,FIND("/",K303)+1,10),FIND("/",MID(K303,FIND("/",K303)+1,10))-1))&lt;=12,VALUE(LEFT(K303,FIND("/",K303)-1))&lt;=DAY(EOMONTH(DATE(VALUE(MID(MID(K303,FIND("/",K303)+1,10),FIND("/",MID(K303,FIND("/",K303)+1,10))+1,4)),VALUE(LEFT(MID(K303,FIND("/",K303)+1,10),FIND("/",MID(K303,FIND("/",K303)+1,10))-1)),1),0))),0,1),1)=1,"Date; ","")&amp;IF(IFERROR(IF(M303&gt;=0,0,1),1)=1,"Amount; ","")&amp;IF(IFERROR(IF(ISNUMBER(MATCH(N303,Lists!$B$2:$B$7,0)),0,1),1)=1,"Payment; ","")))</f>
        <v/>
      </c>
      <c r="R303" s="3" t="str">
        <f aca="false">IF(D303="","",IF(COUNTIFS($D$2:$D$701,D303,$E$2:$E$701,E303)&gt;1,"DUPLICATE","Unique"))</f>
        <v>Unique</v>
      </c>
    </row>
    <row r="304" customFormat="false" ht="15" hidden="false" customHeight="false" outlineLevel="0" collapsed="false">
      <c r="A304" s="3" t="n">
        <v>303</v>
      </c>
      <c r="B304" s="3" t="n">
        <v>7</v>
      </c>
      <c r="C304" s="3" t="s">
        <v>2227</v>
      </c>
      <c r="D304" s="3" t="s">
        <v>2228</v>
      </c>
      <c r="E304" s="3" t="s">
        <v>2229</v>
      </c>
      <c r="F304" s="3" t="s">
        <v>2230</v>
      </c>
      <c r="G304" s="3" t="s">
        <v>2231</v>
      </c>
      <c r="H304" s="3" t="s">
        <v>1690</v>
      </c>
      <c r="I304" s="3" t="s">
        <v>51</v>
      </c>
      <c r="J304" s="3" t="s">
        <v>2232</v>
      </c>
      <c r="K304" s="3" t="s">
        <v>2233</v>
      </c>
      <c r="L304" s="3" t="s">
        <v>72</v>
      </c>
      <c r="M304" s="3" t="n">
        <v>7554.44</v>
      </c>
      <c r="N304" s="3" t="s">
        <v>49</v>
      </c>
      <c r="O304" s="3" t="n">
        <f aca="false">IFERROR(LEN(C304&amp;D304&amp;E304&amp;F304&amp;G304&amp;H304&amp;I304&amp;J304&amp;K304&amp;L304&amp;M304&amp;N304)/5,0)</f>
        <v>27.8</v>
      </c>
      <c r="P304" s="3" t="str">
        <f aca="false">IF(OR(D304="",C304=""),"",IF((IFERROR(IF(AND(TRIM(D304)=D304,LEN(D304)&gt;0),0,1),1)+IFERROR(IF(AND(LEN(E304)=10,ISNUMBER(VALUE(E304))),0,1),1)+IFERROR(IF(AND(ISNUMBER(SEARCH("@",F304)),ISNUMBER(SEARCH(".",F304))),0,1),1)+IFERROR(IF(AND(LEN(J304)=6,ISNUMBER(VALUE(J304))),0,1),1)+IFERROR(IF(ISNUMBER(MATCH(TRIM(I304),Lists!$A$2:$A$20,0)),0,1),1)+IFERROR(IF(AND(LEN(K304)=10,VALUE(LEFT(K304,FIND("/",K304)-1))&gt;=1,VALUE(LEFT(K304,FIND("/",K304)-1))&lt;=31,VALUE(LEFT(MID(K304,FIND("/",K304)+1,10),FIND("/",MID(K304,FIND("/",K304)+1,10))-1))&gt;=1,VALUE(LEFT(MID(K304,FIND("/",K304)+1,10),FIND("/",MID(K304,FIND("/",K304)+1,10))-1))&lt;=12,VALUE(LEFT(K304,FIND("/",K304)-1))&lt;=DAY(EOMONTH(DATE(VALUE(MID(MID(K304,FIND("/",K304)+1,10),FIND("/",MID(K304,FIND("/",K304)+1,10))+1,4)),VALUE(LEFT(MID(K304,FIND("/",K304)+1,10),FIND("/",MID(K304,FIND("/",K304)+1,10))-1)),1),0))),0,1),1)+IFERROR(IF(M304&gt;=0,0,1),1)+IFERROR(IF(ISNUMBER(MATCH(N304,Lists!$B$2:$B$7,0)),0,1),1))=0,"OK","ERROR"))</f>
        <v>OK</v>
      </c>
      <c r="Q304" s="3" t="str">
        <f aca="false">IF(D304="","",TRIM(IF(IFERROR(IF(AND(TRIM(D304)=D304,LEN(D304)&gt;0),0,1),1)=1,"Name; ","")&amp;IF(IFERROR(IF(AND(LEN(E304)=10,ISNUMBER(VALUE(E304))),0,1),1)=1,"Phone; ","")&amp;IF(IFERROR(IF(AND(ISNUMBER(SEARCH("@",F304)),ISNUMBER(SEARCH(".",F304))),0,1),1)=1,"Email; ","")&amp;IF(IFERROR(IF(AND(LEN(J304)=6,ISNUMBER(VALUE(J304))),0,1),1)=1,"Pincode; ","")&amp;IF(IFERROR(IF(ISNUMBER(MATCH(TRIM(I304),Lists!$A$2:$A$20,0)),0,1),1)=1,"State; ","")&amp;IF(IFERROR(IF(AND(LEN(K304)=10,VALUE(LEFT(K304,FIND("/",K304)-1))&gt;=1,VALUE(LEFT(K304,FIND("/",K304)-1))&lt;=31,VALUE(LEFT(MID(K304,FIND("/",K304)+1,10),FIND("/",MID(K304,FIND("/",K304)+1,10))-1))&gt;=1,VALUE(LEFT(MID(K304,FIND("/",K304)+1,10),FIND("/",MID(K304,FIND("/",K304)+1,10))-1))&lt;=12,VALUE(LEFT(K304,FIND("/",K304)-1))&lt;=DAY(EOMONTH(DATE(VALUE(MID(MID(K304,FIND("/",K304)+1,10),FIND("/",MID(K304,FIND("/",K304)+1,10))+1,4)),VALUE(LEFT(MID(K304,FIND("/",K304)+1,10),FIND("/",MID(K304,FIND("/",K304)+1,10))-1)),1),0))),0,1),1)=1,"Date; ","")&amp;IF(IFERROR(IF(M304&gt;=0,0,1),1)=1,"Amount; ","")&amp;IF(IFERROR(IF(ISNUMBER(MATCH(N304,Lists!$B$2:$B$7,0)),0,1),1)=1,"Payment; ","")))</f>
        <v/>
      </c>
      <c r="R304" s="3" t="str">
        <f aca="false">IF(D304="","",IF(COUNTIFS($D$2:$D$701,D304,$E$2:$E$701,E304)&gt;1,"DUPLICATE","Unique"))</f>
        <v>Unique</v>
      </c>
    </row>
    <row r="305" customFormat="false" ht="15" hidden="false" customHeight="false" outlineLevel="0" collapsed="false">
      <c r="A305" s="3" t="n">
        <v>304</v>
      </c>
      <c r="B305" s="3" t="n">
        <v>7</v>
      </c>
      <c r="C305" s="3" t="s">
        <v>2234</v>
      </c>
      <c r="D305" s="3" t="s">
        <v>2235</v>
      </c>
      <c r="E305" s="3" t="s">
        <v>2236</v>
      </c>
      <c r="F305" s="3" t="s">
        <v>2237</v>
      </c>
      <c r="G305" s="3" t="s">
        <v>2238</v>
      </c>
      <c r="H305" s="3" t="s">
        <v>720</v>
      </c>
      <c r="I305" s="3" t="s">
        <v>54</v>
      </c>
      <c r="J305" s="3" t="s">
        <v>2239</v>
      </c>
      <c r="K305" s="3" t="s">
        <v>2186</v>
      </c>
      <c r="L305" s="3" t="s">
        <v>68</v>
      </c>
      <c r="M305" s="3" t="n">
        <v>6963.14</v>
      </c>
      <c r="N305" s="3" t="s">
        <v>43</v>
      </c>
      <c r="O305" s="3" t="n">
        <f aca="false">IFERROR(LEN(C305&amp;D305&amp;E305&amp;F305&amp;G305&amp;H305&amp;I305&amp;J305&amp;K305&amp;L305&amp;M305&amp;N305)/5,0)</f>
        <v>24.2</v>
      </c>
      <c r="P305" s="3" t="str">
        <f aca="false">IF(OR(D305="",C305=""),"",IF((IFERROR(IF(AND(TRIM(D305)=D305,LEN(D305)&gt;0),0,1),1)+IFERROR(IF(AND(LEN(E305)=10,ISNUMBER(VALUE(E305))),0,1),1)+IFERROR(IF(AND(ISNUMBER(SEARCH("@",F305)),ISNUMBER(SEARCH(".",F305))),0,1),1)+IFERROR(IF(AND(LEN(J305)=6,ISNUMBER(VALUE(J305))),0,1),1)+IFERROR(IF(ISNUMBER(MATCH(TRIM(I305),Lists!$A$2:$A$20,0)),0,1),1)+IFERROR(IF(AND(LEN(K305)=10,VALUE(LEFT(K305,FIND("/",K305)-1))&gt;=1,VALUE(LEFT(K305,FIND("/",K305)-1))&lt;=31,VALUE(LEFT(MID(K305,FIND("/",K305)+1,10),FIND("/",MID(K305,FIND("/",K305)+1,10))-1))&gt;=1,VALUE(LEFT(MID(K305,FIND("/",K305)+1,10),FIND("/",MID(K305,FIND("/",K305)+1,10))-1))&lt;=12,VALUE(LEFT(K305,FIND("/",K305)-1))&lt;=DAY(EOMONTH(DATE(VALUE(MID(MID(K305,FIND("/",K305)+1,10),FIND("/",MID(K305,FIND("/",K305)+1,10))+1,4)),VALUE(LEFT(MID(K305,FIND("/",K305)+1,10),FIND("/",MID(K305,FIND("/",K305)+1,10))-1)),1),0))),0,1),1)+IFERROR(IF(M305&gt;=0,0,1),1)+IFERROR(IF(ISNUMBER(MATCH(N305,Lists!$B$2:$B$7,0)),0,1),1))=0,"OK","ERROR"))</f>
        <v>OK</v>
      </c>
      <c r="Q305" s="3" t="str">
        <f aca="false">IF(D305="","",TRIM(IF(IFERROR(IF(AND(TRIM(D305)=D305,LEN(D305)&gt;0),0,1),1)=1,"Name; ","")&amp;IF(IFERROR(IF(AND(LEN(E305)=10,ISNUMBER(VALUE(E305))),0,1),1)=1,"Phone; ","")&amp;IF(IFERROR(IF(AND(ISNUMBER(SEARCH("@",F305)),ISNUMBER(SEARCH(".",F305))),0,1),1)=1,"Email; ","")&amp;IF(IFERROR(IF(AND(LEN(J305)=6,ISNUMBER(VALUE(J305))),0,1),1)=1,"Pincode; ","")&amp;IF(IFERROR(IF(ISNUMBER(MATCH(TRIM(I305),Lists!$A$2:$A$20,0)),0,1),1)=1,"State; ","")&amp;IF(IFERROR(IF(AND(LEN(K305)=10,VALUE(LEFT(K305,FIND("/",K305)-1))&gt;=1,VALUE(LEFT(K305,FIND("/",K305)-1))&lt;=31,VALUE(LEFT(MID(K305,FIND("/",K305)+1,10),FIND("/",MID(K305,FIND("/",K305)+1,10))-1))&gt;=1,VALUE(LEFT(MID(K305,FIND("/",K305)+1,10),FIND("/",MID(K305,FIND("/",K305)+1,10))-1))&lt;=12,VALUE(LEFT(K305,FIND("/",K305)-1))&lt;=DAY(EOMONTH(DATE(VALUE(MID(MID(K305,FIND("/",K305)+1,10),FIND("/",MID(K305,FIND("/",K305)+1,10))+1,4)),VALUE(LEFT(MID(K305,FIND("/",K305)+1,10),FIND("/",MID(K305,FIND("/",K305)+1,10))-1)),1),0))),0,1),1)=1,"Date; ","")&amp;IF(IFERROR(IF(M305&gt;=0,0,1),1)=1,"Amount; ","")&amp;IF(IFERROR(IF(ISNUMBER(MATCH(N305,Lists!$B$2:$B$7,0)),0,1),1)=1,"Payment; ","")))</f>
        <v/>
      </c>
      <c r="R305" s="3" t="str">
        <f aca="false">IF(D305="","",IF(COUNTIFS($D$2:$D$701,D305,$E$2:$E$701,E305)&gt;1,"DUPLICATE","Unique"))</f>
        <v>Unique</v>
      </c>
    </row>
    <row r="306" customFormat="false" ht="15" hidden="false" customHeight="false" outlineLevel="0" collapsed="false">
      <c r="A306" s="3" t="n">
        <v>305</v>
      </c>
      <c r="B306" s="3" t="n">
        <v>7</v>
      </c>
      <c r="C306" s="3" t="s">
        <v>2240</v>
      </c>
      <c r="D306" s="3" t="s">
        <v>2241</v>
      </c>
      <c r="E306" s="3" t="s">
        <v>2242</v>
      </c>
      <c r="F306" s="3" t="s">
        <v>2243</v>
      </c>
      <c r="G306" s="3" t="s">
        <v>2244</v>
      </c>
      <c r="H306" s="3" t="s">
        <v>436</v>
      </c>
      <c r="I306" s="3" t="s">
        <v>59</v>
      </c>
      <c r="J306" s="3" t="s">
        <v>2245</v>
      </c>
      <c r="K306" s="3" t="s">
        <v>2246</v>
      </c>
      <c r="L306" s="3" t="s">
        <v>60</v>
      </c>
      <c r="M306" s="3" t="n">
        <v>3999.08</v>
      </c>
      <c r="N306" s="3" t="s">
        <v>52</v>
      </c>
      <c r="O306" s="3" t="n">
        <f aca="false">IFERROR(LEN(C306&amp;D306&amp;E306&amp;F306&amp;G306&amp;H306&amp;I306&amp;J306&amp;K306&amp;L306&amp;M306&amp;N306)/5,0)</f>
        <v>29.6</v>
      </c>
      <c r="P306" s="3" t="str">
        <f aca="false">IF(OR(D306="",C306=""),"",IF((IFERROR(IF(AND(TRIM(D306)=D306,LEN(D306)&gt;0),0,1),1)+IFERROR(IF(AND(LEN(E306)=10,ISNUMBER(VALUE(E306))),0,1),1)+IFERROR(IF(AND(ISNUMBER(SEARCH("@",F306)),ISNUMBER(SEARCH(".",F306))),0,1),1)+IFERROR(IF(AND(LEN(J306)=6,ISNUMBER(VALUE(J306))),0,1),1)+IFERROR(IF(ISNUMBER(MATCH(TRIM(I306),Lists!$A$2:$A$20,0)),0,1),1)+IFERROR(IF(AND(LEN(K306)=10,VALUE(LEFT(K306,FIND("/",K306)-1))&gt;=1,VALUE(LEFT(K306,FIND("/",K306)-1))&lt;=31,VALUE(LEFT(MID(K306,FIND("/",K306)+1,10),FIND("/",MID(K306,FIND("/",K306)+1,10))-1))&gt;=1,VALUE(LEFT(MID(K306,FIND("/",K306)+1,10),FIND("/",MID(K306,FIND("/",K306)+1,10))-1))&lt;=12,VALUE(LEFT(K306,FIND("/",K306)-1))&lt;=DAY(EOMONTH(DATE(VALUE(MID(MID(K306,FIND("/",K306)+1,10),FIND("/",MID(K306,FIND("/",K306)+1,10))+1,4)),VALUE(LEFT(MID(K306,FIND("/",K306)+1,10),FIND("/",MID(K306,FIND("/",K306)+1,10))-1)),1),0))),0,1),1)+IFERROR(IF(M306&gt;=0,0,1),1)+IFERROR(IF(ISNUMBER(MATCH(N306,Lists!$B$2:$B$7,0)),0,1),1))=0,"OK","ERROR"))</f>
        <v>OK</v>
      </c>
      <c r="Q306" s="3" t="str">
        <f aca="false">IF(D306="","",TRIM(IF(IFERROR(IF(AND(TRIM(D306)=D306,LEN(D306)&gt;0),0,1),1)=1,"Name; ","")&amp;IF(IFERROR(IF(AND(LEN(E306)=10,ISNUMBER(VALUE(E306))),0,1),1)=1,"Phone; ","")&amp;IF(IFERROR(IF(AND(ISNUMBER(SEARCH("@",F306)),ISNUMBER(SEARCH(".",F306))),0,1),1)=1,"Email; ","")&amp;IF(IFERROR(IF(AND(LEN(J306)=6,ISNUMBER(VALUE(J306))),0,1),1)=1,"Pincode; ","")&amp;IF(IFERROR(IF(ISNUMBER(MATCH(TRIM(I306),Lists!$A$2:$A$20,0)),0,1),1)=1,"State; ","")&amp;IF(IFERROR(IF(AND(LEN(K306)=10,VALUE(LEFT(K306,FIND("/",K306)-1))&gt;=1,VALUE(LEFT(K306,FIND("/",K306)-1))&lt;=31,VALUE(LEFT(MID(K306,FIND("/",K306)+1,10),FIND("/",MID(K306,FIND("/",K306)+1,10))-1))&gt;=1,VALUE(LEFT(MID(K306,FIND("/",K306)+1,10),FIND("/",MID(K306,FIND("/",K306)+1,10))-1))&lt;=12,VALUE(LEFT(K306,FIND("/",K306)-1))&lt;=DAY(EOMONTH(DATE(VALUE(MID(MID(K306,FIND("/",K306)+1,10),FIND("/",MID(K306,FIND("/",K306)+1,10))+1,4)),VALUE(LEFT(MID(K306,FIND("/",K306)+1,10),FIND("/",MID(K306,FIND("/",K306)+1,10))-1)),1),0))),0,1),1)=1,"Date; ","")&amp;IF(IFERROR(IF(M306&gt;=0,0,1),1)=1,"Amount; ","")&amp;IF(IFERROR(IF(ISNUMBER(MATCH(N306,Lists!$B$2:$B$7,0)),0,1),1)=1,"Payment; ","")))</f>
        <v/>
      </c>
      <c r="R306" s="3" t="str">
        <f aca="false">IF(D306="","",IF(COUNTIFS($D$2:$D$701,D306,$E$2:$E$701,E306)&gt;1,"DUPLICATE","Unique"))</f>
        <v>Unique</v>
      </c>
    </row>
    <row r="307" customFormat="false" ht="15" hidden="false" customHeight="false" outlineLevel="0" collapsed="false">
      <c r="A307" s="3" t="n">
        <v>306</v>
      </c>
      <c r="B307" s="3" t="n">
        <v>7</v>
      </c>
      <c r="C307" s="3" t="s">
        <v>2247</v>
      </c>
      <c r="D307" s="3" t="s">
        <v>2248</v>
      </c>
      <c r="E307" s="3" t="s">
        <v>2249</v>
      </c>
      <c r="F307" s="3" t="s">
        <v>2250</v>
      </c>
      <c r="G307" s="3" t="s">
        <v>2251</v>
      </c>
      <c r="H307" s="3" t="s">
        <v>1753</v>
      </c>
      <c r="I307" s="3" t="s">
        <v>39</v>
      </c>
      <c r="J307" s="3" t="s">
        <v>2252</v>
      </c>
      <c r="K307" s="3" t="s">
        <v>2253</v>
      </c>
      <c r="L307" s="3" t="s">
        <v>72</v>
      </c>
      <c r="M307" s="3" t="n">
        <v>11308.53</v>
      </c>
      <c r="N307" s="3" t="s">
        <v>43</v>
      </c>
      <c r="O307" s="3" t="n">
        <f aca="false">IFERROR(LEN(C307&amp;D307&amp;E307&amp;F307&amp;G307&amp;H307&amp;I307&amp;J307&amp;K307&amp;L307&amp;M307&amp;N307)/5,0)</f>
        <v>23.6</v>
      </c>
      <c r="P307" s="3" t="str">
        <f aca="false">IF(OR(D307="",C307=""),"",IF((IFERROR(IF(AND(TRIM(D307)=D307,LEN(D307)&gt;0),0,1),1)+IFERROR(IF(AND(LEN(E307)=10,ISNUMBER(VALUE(E307))),0,1),1)+IFERROR(IF(AND(ISNUMBER(SEARCH("@",F307)),ISNUMBER(SEARCH(".",F307))),0,1),1)+IFERROR(IF(AND(LEN(J307)=6,ISNUMBER(VALUE(J307))),0,1),1)+IFERROR(IF(ISNUMBER(MATCH(TRIM(I307),Lists!$A$2:$A$20,0)),0,1),1)+IFERROR(IF(AND(LEN(K307)=10,VALUE(LEFT(K307,FIND("/",K307)-1))&gt;=1,VALUE(LEFT(K307,FIND("/",K307)-1))&lt;=31,VALUE(LEFT(MID(K307,FIND("/",K307)+1,10),FIND("/",MID(K307,FIND("/",K307)+1,10))-1))&gt;=1,VALUE(LEFT(MID(K307,FIND("/",K307)+1,10),FIND("/",MID(K307,FIND("/",K307)+1,10))-1))&lt;=12,VALUE(LEFT(K307,FIND("/",K307)-1))&lt;=DAY(EOMONTH(DATE(VALUE(MID(MID(K307,FIND("/",K307)+1,10),FIND("/",MID(K307,FIND("/",K307)+1,10))+1,4)),VALUE(LEFT(MID(K307,FIND("/",K307)+1,10),FIND("/",MID(K307,FIND("/",K307)+1,10))-1)),1),0))),0,1),1)+IFERROR(IF(M307&gt;=0,0,1),1)+IFERROR(IF(ISNUMBER(MATCH(N307,Lists!$B$2:$B$7,0)),0,1),1))=0,"OK","ERROR"))</f>
        <v>OK</v>
      </c>
      <c r="Q307" s="3" t="str">
        <f aca="false">IF(D307="","",TRIM(IF(IFERROR(IF(AND(TRIM(D307)=D307,LEN(D307)&gt;0),0,1),1)=1,"Name; ","")&amp;IF(IFERROR(IF(AND(LEN(E307)=10,ISNUMBER(VALUE(E307))),0,1),1)=1,"Phone; ","")&amp;IF(IFERROR(IF(AND(ISNUMBER(SEARCH("@",F307)),ISNUMBER(SEARCH(".",F307))),0,1),1)=1,"Email; ","")&amp;IF(IFERROR(IF(AND(LEN(J307)=6,ISNUMBER(VALUE(J307))),0,1),1)=1,"Pincode; ","")&amp;IF(IFERROR(IF(ISNUMBER(MATCH(TRIM(I307),Lists!$A$2:$A$20,0)),0,1),1)=1,"State; ","")&amp;IF(IFERROR(IF(AND(LEN(K307)=10,VALUE(LEFT(K307,FIND("/",K307)-1))&gt;=1,VALUE(LEFT(K307,FIND("/",K307)-1))&lt;=31,VALUE(LEFT(MID(K307,FIND("/",K307)+1,10),FIND("/",MID(K307,FIND("/",K307)+1,10))-1))&gt;=1,VALUE(LEFT(MID(K307,FIND("/",K307)+1,10),FIND("/",MID(K307,FIND("/",K307)+1,10))-1))&lt;=12,VALUE(LEFT(K307,FIND("/",K307)-1))&lt;=DAY(EOMONTH(DATE(VALUE(MID(MID(K307,FIND("/",K307)+1,10),FIND("/",MID(K307,FIND("/",K307)+1,10))+1,4)),VALUE(LEFT(MID(K307,FIND("/",K307)+1,10),FIND("/",MID(K307,FIND("/",K307)+1,10))-1)),1),0))),0,1),1)=1,"Date; ","")&amp;IF(IFERROR(IF(M307&gt;=0,0,1),1)=1,"Amount; ","")&amp;IF(IFERROR(IF(ISNUMBER(MATCH(N307,Lists!$B$2:$B$7,0)),0,1),1)=1,"Payment; ","")))</f>
        <v/>
      </c>
      <c r="R307" s="3" t="str">
        <f aca="false">IF(D307="","",IF(COUNTIFS($D$2:$D$701,D307,$E$2:$E$701,E307)&gt;1,"DUPLICATE","Unique"))</f>
        <v>Unique</v>
      </c>
    </row>
    <row r="308" customFormat="false" ht="15" hidden="false" customHeight="false" outlineLevel="0" collapsed="false">
      <c r="A308" s="3" t="n">
        <v>307</v>
      </c>
      <c r="B308" s="3" t="n">
        <v>7</v>
      </c>
      <c r="C308" s="3" t="s">
        <v>2254</v>
      </c>
      <c r="D308" s="3" t="s">
        <v>2255</v>
      </c>
      <c r="E308" s="3" t="s">
        <v>2256</v>
      </c>
      <c r="F308" s="3" t="s">
        <v>2257</v>
      </c>
      <c r="G308" s="3" t="s">
        <v>2258</v>
      </c>
      <c r="H308" s="3" t="s">
        <v>548</v>
      </c>
      <c r="I308" s="3" t="s">
        <v>67</v>
      </c>
      <c r="J308" s="3" t="s">
        <v>2259</v>
      </c>
      <c r="K308" s="3" t="s">
        <v>2260</v>
      </c>
      <c r="L308" s="3" t="s">
        <v>62</v>
      </c>
      <c r="M308" s="3" t="n">
        <v>15135.09</v>
      </c>
      <c r="N308" s="3" t="s">
        <v>55</v>
      </c>
      <c r="O308" s="3" t="n">
        <f aca="false">IFERROR(LEN(C308&amp;D308&amp;E308&amp;F308&amp;G308&amp;H308&amp;I308&amp;J308&amp;K308&amp;L308&amp;M308&amp;N308)/5,0)</f>
        <v>25.8</v>
      </c>
      <c r="P308" s="3" t="str">
        <f aca="false">IF(OR(D308="",C308=""),"",IF((IFERROR(IF(AND(TRIM(D308)=D308,LEN(D308)&gt;0),0,1),1)+IFERROR(IF(AND(LEN(E308)=10,ISNUMBER(VALUE(E308))),0,1),1)+IFERROR(IF(AND(ISNUMBER(SEARCH("@",F308)),ISNUMBER(SEARCH(".",F308))),0,1),1)+IFERROR(IF(AND(LEN(J308)=6,ISNUMBER(VALUE(J308))),0,1),1)+IFERROR(IF(ISNUMBER(MATCH(TRIM(I308),Lists!$A$2:$A$20,0)),0,1),1)+IFERROR(IF(AND(LEN(K308)=10,VALUE(LEFT(K308,FIND("/",K308)-1))&gt;=1,VALUE(LEFT(K308,FIND("/",K308)-1))&lt;=31,VALUE(LEFT(MID(K308,FIND("/",K308)+1,10),FIND("/",MID(K308,FIND("/",K308)+1,10))-1))&gt;=1,VALUE(LEFT(MID(K308,FIND("/",K308)+1,10),FIND("/",MID(K308,FIND("/",K308)+1,10))-1))&lt;=12,VALUE(LEFT(K308,FIND("/",K308)-1))&lt;=DAY(EOMONTH(DATE(VALUE(MID(MID(K308,FIND("/",K308)+1,10),FIND("/",MID(K308,FIND("/",K308)+1,10))+1,4)),VALUE(LEFT(MID(K308,FIND("/",K308)+1,10),FIND("/",MID(K308,FIND("/",K308)+1,10))-1)),1),0))),0,1),1)+IFERROR(IF(M308&gt;=0,0,1),1)+IFERROR(IF(ISNUMBER(MATCH(N308,Lists!$B$2:$B$7,0)),0,1),1))=0,"OK","ERROR"))</f>
        <v>ERROR</v>
      </c>
      <c r="Q308" s="3" t="str">
        <f aca="false">IF(D308="","",TRIM(IF(IFERROR(IF(AND(TRIM(D308)=D308,LEN(D308)&gt;0),0,1),1)=1,"Name; ","")&amp;IF(IFERROR(IF(AND(LEN(E308)=10,ISNUMBER(VALUE(E308))),0,1),1)=1,"Phone; ","")&amp;IF(IFERROR(IF(AND(ISNUMBER(SEARCH("@",F308)),ISNUMBER(SEARCH(".",F308))),0,1),1)=1,"Email; ","")&amp;IF(IFERROR(IF(AND(LEN(J308)=6,ISNUMBER(VALUE(J308))),0,1),1)=1,"Pincode; ","")&amp;IF(IFERROR(IF(ISNUMBER(MATCH(TRIM(I308),Lists!$A$2:$A$20,0)),0,1),1)=1,"State; ","")&amp;IF(IFERROR(IF(AND(LEN(K308)=10,VALUE(LEFT(K308,FIND("/",K308)-1))&gt;=1,VALUE(LEFT(K308,FIND("/",K308)-1))&lt;=31,VALUE(LEFT(MID(K308,FIND("/",K308)+1,10),FIND("/",MID(K308,FIND("/",K308)+1,10))-1))&gt;=1,VALUE(LEFT(MID(K308,FIND("/",K308)+1,10),FIND("/",MID(K308,FIND("/",K308)+1,10))-1))&lt;=12,VALUE(LEFT(K308,FIND("/",K308)-1))&lt;=DAY(EOMONTH(DATE(VALUE(MID(MID(K308,FIND("/",K308)+1,10),FIND("/",MID(K308,FIND("/",K308)+1,10))+1,4)),VALUE(LEFT(MID(K308,FIND("/",K308)+1,10),FIND("/",MID(K308,FIND("/",K308)+1,10))-1)),1),0))),0,1),1)=1,"Date; ","")&amp;IF(IFERROR(IF(M308&gt;=0,0,1),1)=1,"Amount; ","")&amp;IF(IFERROR(IF(ISNUMBER(MATCH(N308,Lists!$B$2:$B$7,0)),0,1),1)=1,"Payment; ","")))</f>
        <v>Name;</v>
      </c>
      <c r="R308" s="3" t="str">
        <f aca="false">IF(D308="","",IF(COUNTIFS($D$2:$D$701,D308,$E$2:$E$701,E308)&gt;1,"DUPLICATE","Unique"))</f>
        <v>Unique</v>
      </c>
    </row>
    <row r="309" customFormat="false" ht="15" hidden="false" customHeight="false" outlineLevel="0" collapsed="false">
      <c r="A309" s="3" t="n">
        <v>308</v>
      </c>
      <c r="B309" s="3" t="n">
        <v>7</v>
      </c>
      <c r="C309" s="3" t="s">
        <v>2261</v>
      </c>
      <c r="D309" s="3" t="s">
        <v>2262</v>
      </c>
      <c r="E309" s="3" t="s">
        <v>2263</v>
      </c>
      <c r="F309" s="3" t="s">
        <v>2264</v>
      </c>
      <c r="G309" s="3" t="s">
        <v>2265</v>
      </c>
      <c r="H309" s="3" t="s">
        <v>1207</v>
      </c>
      <c r="I309" s="3" t="s">
        <v>67</v>
      </c>
      <c r="J309" s="3" t="s">
        <v>2266</v>
      </c>
      <c r="K309" s="3" t="s">
        <v>2267</v>
      </c>
      <c r="L309" s="3" t="s">
        <v>68</v>
      </c>
      <c r="M309" s="3" t="n">
        <v>15037.54</v>
      </c>
      <c r="N309" s="3" t="s">
        <v>52</v>
      </c>
      <c r="O309" s="3" t="n">
        <f aca="false">IFERROR(LEN(C309&amp;D309&amp;E309&amp;F309&amp;G309&amp;H309&amp;I309&amp;J309&amp;K309&amp;L309&amp;M309&amp;N309)/5,0)</f>
        <v>27.4</v>
      </c>
      <c r="P309" s="3" t="str">
        <f aca="false">IF(OR(D309="",C309=""),"",IF((IFERROR(IF(AND(TRIM(D309)=D309,LEN(D309)&gt;0),0,1),1)+IFERROR(IF(AND(LEN(E309)=10,ISNUMBER(VALUE(E309))),0,1),1)+IFERROR(IF(AND(ISNUMBER(SEARCH("@",F309)),ISNUMBER(SEARCH(".",F309))),0,1),1)+IFERROR(IF(AND(LEN(J309)=6,ISNUMBER(VALUE(J309))),0,1),1)+IFERROR(IF(ISNUMBER(MATCH(TRIM(I309),Lists!$A$2:$A$20,0)),0,1),1)+IFERROR(IF(AND(LEN(K309)=10,VALUE(LEFT(K309,FIND("/",K309)-1))&gt;=1,VALUE(LEFT(K309,FIND("/",K309)-1))&lt;=31,VALUE(LEFT(MID(K309,FIND("/",K309)+1,10),FIND("/",MID(K309,FIND("/",K309)+1,10))-1))&gt;=1,VALUE(LEFT(MID(K309,FIND("/",K309)+1,10),FIND("/",MID(K309,FIND("/",K309)+1,10))-1))&lt;=12,VALUE(LEFT(K309,FIND("/",K309)-1))&lt;=DAY(EOMONTH(DATE(VALUE(MID(MID(K309,FIND("/",K309)+1,10),FIND("/",MID(K309,FIND("/",K309)+1,10))+1,4)),VALUE(LEFT(MID(K309,FIND("/",K309)+1,10),FIND("/",MID(K309,FIND("/",K309)+1,10))-1)),1),0))),0,1),1)+IFERROR(IF(M309&gt;=0,0,1),1)+IFERROR(IF(ISNUMBER(MATCH(N309,Lists!$B$2:$B$7,0)),0,1),1))=0,"OK","ERROR"))</f>
        <v>OK</v>
      </c>
      <c r="Q309" s="3" t="str">
        <f aca="false">IF(D309="","",TRIM(IF(IFERROR(IF(AND(TRIM(D309)=D309,LEN(D309)&gt;0),0,1),1)=1,"Name; ","")&amp;IF(IFERROR(IF(AND(LEN(E309)=10,ISNUMBER(VALUE(E309))),0,1),1)=1,"Phone; ","")&amp;IF(IFERROR(IF(AND(ISNUMBER(SEARCH("@",F309)),ISNUMBER(SEARCH(".",F309))),0,1),1)=1,"Email; ","")&amp;IF(IFERROR(IF(AND(LEN(J309)=6,ISNUMBER(VALUE(J309))),0,1),1)=1,"Pincode; ","")&amp;IF(IFERROR(IF(ISNUMBER(MATCH(TRIM(I309),Lists!$A$2:$A$20,0)),0,1),1)=1,"State; ","")&amp;IF(IFERROR(IF(AND(LEN(K309)=10,VALUE(LEFT(K309,FIND("/",K309)-1))&gt;=1,VALUE(LEFT(K309,FIND("/",K309)-1))&lt;=31,VALUE(LEFT(MID(K309,FIND("/",K309)+1,10),FIND("/",MID(K309,FIND("/",K309)+1,10))-1))&gt;=1,VALUE(LEFT(MID(K309,FIND("/",K309)+1,10),FIND("/",MID(K309,FIND("/",K309)+1,10))-1))&lt;=12,VALUE(LEFT(K309,FIND("/",K309)-1))&lt;=DAY(EOMONTH(DATE(VALUE(MID(MID(K309,FIND("/",K309)+1,10),FIND("/",MID(K309,FIND("/",K309)+1,10))+1,4)),VALUE(LEFT(MID(K309,FIND("/",K309)+1,10),FIND("/",MID(K309,FIND("/",K309)+1,10))-1)),1),0))),0,1),1)=1,"Date; ","")&amp;IF(IFERROR(IF(M309&gt;=0,0,1),1)=1,"Amount; ","")&amp;IF(IFERROR(IF(ISNUMBER(MATCH(N309,Lists!$B$2:$B$7,0)),0,1),1)=1,"Payment; ","")))</f>
        <v/>
      </c>
      <c r="R309" s="3" t="str">
        <f aca="false">IF(D309="","",IF(COUNTIFS($D$2:$D$701,D309,$E$2:$E$701,E309)&gt;1,"DUPLICATE","Unique"))</f>
        <v>Unique</v>
      </c>
    </row>
    <row r="310" customFormat="false" ht="15" hidden="false" customHeight="false" outlineLevel="0" collapsed="false">
      <c r="A310" s="3" t="n">
        <v>309</v>
      </c>
      <c r="B310" s="3" t="n">
        <v>7</v>
      </c>
      <c r="C310" s="3" t="s">
        <v>2268</v>
      </c>
      <c r="D310" s="3" t="s">
        <v>2269</v>
      </c>
      <c r="E310" s="3" t="s">
        <v>2270</v>
      </c>
      <c r="F310" s="3" t="s">
        <v>2271</v>
      </c>
      <c r="G310" s="3" t="s">
        <v>2272</v>
      </c>
      <c r="H310" s="3" t="s">
        <v>863</v>
      </c>
      <c r="I310" s="3" t="s">
        <v>57</v>
      </c>
      <c r="J310" s="3" t="s">
        <v>2273</v>
      </c>
      <c r="K310" s="3" t="s">
        <v>2274</v>
      </c>
      <c r="L310" s="3" t="s">
        <v>74</v>
      </c>
      <c r="M310" s="3" t="n">
        <v>4816.78</v>
      </c>
      <c r="N310" s="3" t="s">
        <v>52</v>
      </c>
      <c r="O310" s="3" t="n">
        <f aca="false">IFERROR(LEN(C310&amp;D310&amp;E310&amp;F310&amp;G310&amp;H310&amp;I310&amp;J310&amp;K310&amp;L310&amp;M310&amp;N310)/5,0)</f>
        <v>25.2</v>
      </c>
      <c r="P310" s="3" t="str">
        <f aca="false">IF(OR(D310="",C310=""),"",IF((IFERROR(IF(AND(TRIM(D310)=D310,LEN(D310)&gt;0),0,1),1)+IFERROR(IF(AND(LEN(E310)=10,ISNUMBER(VALUE(E310))),0,1),1)+IFERROR(IF(AND(ISNUMBER(SEARCH("@",F310)),ISNUMBER(SEARCH(".",F310))),0,1),1)+IFERROR(IF(AND(LEN(J310)=6,ISNUMBER(VALUE(J310))),0,1),1)+IFERROR(IF(ISNUMBER(MATCH(TRIM(I310),Lists!$A$2:$A$20,0)),0,1),1)+IFERROR(IF(AND(LEN(K310)=10,VALUE(LEFT(K310,FIND("/",K310)-1))&gt;=1,VALUE(LEFT(K310,FIND("/",K310)-1))&lt;=31,VALUE(LEFT(MID(K310,FIND("/",K310)+1,10),FIND("/",MID(K310,FIND("/",K310)+1,10))-1))&gt;=1,VALUE(LEFT(MID(K310,FIND("/",K310)+1,10),FIND("/",MID(K310,FIND("/",K310)+1,10))-1))&lt;=12,VALUE(LEFT(K310,FIND("/",K310)-1))&lt;=DAY(EOMONTH(DATE(VALUE(MID(MID(K310,FIND("/",K310)+1,10),FIND("/",MID(K310,FIND("/",K310)+1,10))+1,4)),VALUE(LEFT(MID(K310,FIND("/",K310)+1,10),FIND("/",MID(K310,FIND("/",K310)+1,10))-1)),1),0))),0,1),1)+IFERROR(IF(M310&gt;=0,0,1),1)+IFERROR(IF(ISNUMBER(MATCH(N310,Lists!$B$2:$B$7,0)),0,1),1))=0,"OK","ERROR"))</f>
        <v>OK</v>
      </c>
      <c r="Q310" s="3" t="str">
        <f aca="false">IF(D310="","",TRIM(IF(IFERROR(IF(AND(TRIM(D310)=D310,LEN(D310)&gt;0),0,1),1)=1,"Name; ","")&amp;IF(IFERROR(IF(AND(LEN(E310)=10,ISNUMBER(VALUE(E310))),0,1),1)=1,"Phone; ","")&amp;IF(IFERROR(IF(AND(ISNUMBER(SEARCH("@",F310)),ISNUMBER(SEARCH(".",F310))),0,1),1)=1,"Email; ","")&amp;IF(IFERROR(IF(AND(LEN(J310)=6,ISNUMBER(VALUE(J310))),0,1),1)=1,"Pincode; ","")&amp;IF(IFERROR(IF(ISNUMBER(MATCH(TRIM(I310),Lists!$A$2:$A$20,0)),0,1),1)=1,"State; ","")&amp;IF(IFERROR(IF(AND(LEN(K310)=10,VALUE(LEFT(K310,FIND("/",K310)-1))&gt;=1,VALUE(LEFT(K310,FIND("/",K310)-1))&lt;=31,VALUE(LEFT(MID(K310,FIND("/",K310)+1,10),FIND("/",MID(K310,FIND("/",K310)+1,10))-1))&gt;=1,VALUE(LEFT(MID(K310,FIND("/",K310)+1,10),FIND("/",MID(K310,FIND("/",K310)+1,10))-1))&lt;=12,VALUE(LEFT(K310,FIND("/",K310)-1))&lt;=DAY(EOMONTH(DATE(VALUE(MID(MID(K310,FIND("/",K310)+1,10),FIND("/",MID(K310,FIND("/",K310)+1,10))+1,4)),VALUE(LEFT(MID(K310,FIND("/",K310)+1,10),FIND("/",MID(K310,FIND("/",K310)+1,10))-1)),1),0))),0,1),1)=1,"Date; ","")&amp;IF(IFERROR(IF(M310&gt;=0,0,1),1)=1,"Amount; ","")&amp;IF(IFERROR(IF(ISNUMBER(MATCH(N310,Lists!$B$2:$B$7,0)),0,1),1)=1,"Payment; ","")))</f>
        <v/>
      </c>
      <c r="R310" s="3" t="str">
        <f aca="false">IF(D310="","",IF(COUNTIFS($D$2:$D$701,D310,$E$2:$E$701,E310)&gt;1,"DUPLICATE","Unique"))</f>
        <v>Unique</v>
      </c>
    </row>
    <row r="311" customFormat="false" ht="15" hidden="false" customHeight="false" outlineLevel="0" collapsed="false">
      <c r="A311" s="3" t="n">
        <v>310</v>
      </c>
      <c r="B311" s="3" t="n">
        <v>7</v>
      </c>
      <c r="C311" s="3" t="s">
        <v>2275</v>
      </c>
      <c r="D311" s="3" t="s">
        <v>2276</v>
      </c>
      <c r="E311" s="3" t="s">
        <v>2277</v>
      </c>
      <c r="F311" s="3" t="s">
        <v>2278</v>
      </c>
      <c r="G311" s="3" t="s">
        <v>2279</v>
      </c>
      <c r="H311" s="3" t="s">
        <v>1207</v>
      </c>
      <c r="I311" s="3" t="s">
        <v>67</v>
      </c>
      <c r="J311" s="3" t="s">
        <v>2280</v>
      </c>
      <c r="K311" s="3" t="s">
        <v>2281</v>
      </c>
      <c r="L311" s="3" t="s">
        <v>58</v>
      </c>
      <c r="M311" s="3" t="n">
        <v>15518.28</v>
      </c>
      <c r="N311" s="3" t="s">
        <v>52</v>
      </c>
      <c r="O311" s="3" t="n">
        <f aca="false">IFERROR(LEN(C311&amp;D311&amp;E311&amp;F311&amp;G311&amp;H311&amp;I311&amp;J311&amp;K311&amp;L311&amp;M311&amp;N311)/5,0)</f>
        <v>27.8</v>
      </c>
      <c r="P311" s="3" t="str">
        <f aca="false">IF(OR(D311="",C311=""),"",IF((IFERROR(IF(AND(TRIM(D311)=D311,LEN(D311)&gt;0),0,1),1)+IFERROR(IF(AND(LEN(E311)=10,ISNUMBER(VALUE(E311))),0,1),1)+IFERROR(IF(AND(ISNUMBER(SEARCH("@",F311)),ISNUMBER(SEARCH(".",F311))),0,1),1)+IFERROR(IF(AND(LEN(J311)=6,ISNUMBER(VALUE(J311))),0,1),1)+IFERROR(IF(ISNUMBER(MATCH(TRIM(I311),Lists!$A$2:$A$20,0)),0,1),1)+IFERROR(IF(AND(LEN(K311)=10,VALUE(LEFT(K311,FIND("/",K311)-1))&gt;=1,VALUE(LEFT(K311,FIND("/",K311)-1))&lt;=31,VALUE(LEFT(MID(K311,FIND("/",K311)+1,10),FIND("/",MID(K311,FIND("/",K311)+1,10))-1))&gt;=1,VALUE(LEFT(MID(K311,FIND("/",K311)+1,10),FIND("/",MID(K311,FIND("/",K311)+1,10))-1))&lt;=12,VALUE(LEFT(K311,FIND("/",K311)-1))&lt;=DAY(EOMONTH(DATE(VALUE(MID(MID(K311,FIND("/",K311)+1,10),FIND("/",MID(K311,FIND("/",K311)+1,10))+1,4)),VALUE(LEFT(MID(K311,FIND("/",K311)+1,10),FIND("/",MID(K311,FIND("/",K311)+1,10))-1)),1),0))),0,1),1)+IFERROR(IF(M311&gt;=0,0,1),1)+IFERROR(IF(ISNUMBER(MATCH(N311,Lists!$B$2:$B$7,0)),0,1),1))=0,"OK","ERROR"))</f>
        <v>OK</v>
      </c>
      <c r="Q311" s="3" t="str">
        <f aca="false">IF(D311="","",TRIM(IF(IFERROR(IF(AND(TRIM(D311)=D311,LEN(D311)&gt;0),0,1),1)=1,"Name; ","")&amp;IF(IFERROR(IF(AND(LEN(E311)=10,ISNUMBER(VALUE(E311))),0,1),1)=1,"Phone; ","")&amp;IF(IFERROR(IF(AND(ISNUMBER(SEARCH("@",F311)),ISNUMBER(SEARCH(".",F311))),0,1),1)=1,"Email; ","")&amp;IF(IFERROR(IF(AND(LEN(J311)=6,ISNUMBER(VALUE(J311))),0,1),1)=1,"Pincode; ","")&amp;IF(IFERROR(IF(ISNUMBER(MATCH(TRIM(I311),Lists!$A$2:$A$20,0)),0,1),1)=1,"State; ","")&amp;IF(IFERROR(IF(AND(LEN(K311)=10,VALUE(LEFT(K311,FIND("/",K311)-1))&gt;=1,VALUE(LEFT(K311,FIND("/",K311)-1))&lt;=31,VALUE(LEFT(MID(K311,FIND("/",K311)+1,10),FIND("/",MID(K311,FIND("/",K311)+1,10))-1))&gt;=1,VALUE(LEFT(MID(K311,FIND("/",K311)+1,10),FIND("/",MID(K311,FIND("/",K311)+1,10))-1))&lt;=12,VALUE(LEFT(K311,FIND("/",K311)-1))&lt;=DAY(EOMONTH(DATE(VALUE(MID(MID(K311,FIND("/",K311)+1,10),FIND("/",MID(K311,FIND("/",K311)+1,10))+1,4)),VALUE(LEFT(MID(K311,FIND("/",K311)+1,10),FIND("/",MID(K311,FIND("/",K311)+1,10))-1)),1),0))),0,1),1)=1,"Date; ","")&amp;IF(IFERROR(IF(M311&gt;=0,0,1),1)=1,"Amount; ","")&amp;IF(IFERROR(IF(ISNUMBER(MATCH(N311,Lists!$B$2:$B$7,0)),0,1),1)=1,"Payment; ","")))</f>
        <v/>
      </c>
      <c r="R311" s="3" t="str">
        <f aca="false">IF(D311="","",IF(COUNTIFS($D$2:$D$701,D311,$E$2:$E$701,E311)&gt;1,"DUPLICATE","Unique"))</f>
        <v>Unique</v>
      </c>
    </row>
    <row r="312" customFormat="false" ht="15" hidden="false" customHeight="false" outlineLevel="0" collapsed="false">
      <c r="A312" s="3" t="n">
        <v>311</v>
      </c>
      <c r="B312" s="3" t="n">
        <v>7</v>
      </c>
      <c r="C312" s="3" t="s">
        <v>2282</v>
      </c>
      <c r="D312" s="3" t="s">
        <v>2283</v>
      </c>
      <c r="E312" s="3" t="s">
        <v>2284</v>
      </c>
      <c r="F312" s="3" t="s">
        <v>2285</v>
      </c>
      <c r="G312" s="3" t="s">
        <v>2286</v>
      </c>
      <c r="H312" s="3" t="s">
        <v>281</v>
      </c>
      <c r="I312" s="3" t="s">
        <v>51</v>
      </c>
      <c r="J312" s="3" t="s">
        <v>2287</v>
      </c>
      <c r="K312" s="3" t="s">
        <v>2288</v>
      </c>
      <c r="L312" s="3" t="s">
        <v>60</v>
      </c>
      <c r="M312" s="3" t="n">
        <v>5003.5</v>
      </c>
      <c r="N312" s="3" t="s">
        <v>43</v>
      </c>
      <c r="O312" s="3" t="n">
        <f aca="false">IFERROR(LEN(C312&amp;D312&amp;E312&amp;F312&amp;G312&amp;H312&amp;I312&amp;J312&amp;K312&amp;L312&amp;M312&amp;N312)/5,0)</f>
        <v>26.4</v>
      </c>
      <c r="P312" s="3" t="str">
        <f aca="false">IF(OR(D312="",C312=""),"",IF((IFERROR(IF(AND(TRIM(D312)=D312,LEN(D312)&gt;0),0,1),1)+IFERROR(IF(AND(LEN(E312)=10,ISNUMBER(VALUE(E312))),0,1),1)+IFERROR(IF(AND(ISNUMBER(SEARCH("@",F312)),ISNUMBER(SEARCH(".",F312))),0,1),1)+IFERROR(IF(AND(LEN(J312)=6,ISNUMBER(VALUE(J312))),0,1),1)+IFERROR(IF(ISNUMBER(MATCH(TRIM(I312),Lists!$A$2:$A$20,0)),0,1),1)+IFERROR(IF(AND(LEN(K312)=10,VALUE(LEFT(K312,FIND("/",K312)-1))&gt;=1,VALUE(LEFT(K312,FIND("/",K312)-1))&lt;=31,VALUE(LEFT(MID(K312,FIND("/",K312)+1,10),FIND("/",MID(K312,FIND("/",K312)+1,10))-1))&gt;=1,VALUE(LEFT(MID(K312,FIND("/",K312)+1,10),FIND("/",MID(K312,FIND("/",K312)+1,10))-1))&lt;=12,VALUE(LEFT(K312,FIND("/",K312)-1))&lt;=DAY(EOMONTH(DATE(VALUE(MID(MID(K312,FIND("/",K312)+1,10),FIND("/",MID(K312,FIND("/",K312)+1,10))+1,4)),VALUE(LEFT(MID(K312,FIND("/",K312)+1,10),FIND("/",MID(K312,FIND("/",K312)+1,10))-1)),1),0))),0,1),1)+IFERROR(IF(M312&gt;=0,0,1),1)+IFERROR(IF(ISNUMBER(MATCH(N312,Lists!$B$2:$B$7,0)),0,1),1))=0,"OK","ERROR"))</f>
        <v>OK</v>
      </c>
      <c r="Q312" s="3" t="str">
        <f aca="false">IF(D312="","",TRIM(IF(IFERROR(IF(AND(TRIM(D312)=D312,LEN(D312)&gt;0),0,1),1)=1,"Name; ","")&amp;IF(IFERROR(IF(AND(LEN(E312)=10,ISNUMBER(VALUE(E312))),0,1),1)=1,"Phone; ","")&amp;IF(IFERROR(IF(AND(ISNUMBER(SEARCH("@",F312)),ISNUMBER(SEARCH(".",F312))),0,1),1)=1,"Email; ","")&amp;IF(IFERROR(IF(AND(LEN(J312)=6,ISNUMBER(VALUE(J312))),0,1),1)=1,"Pincode; ","")&amp;IF(IFERROR(IF(ISNUMBER(MATCH(TRIM(I312),Lists!$A$2:$A$20,0)),0,1),1)=1,"State; ","")&amp;IF(IFERROR(IF(AND(LEN(K312)=10,VALUE(LEFT(K312,FIND("/",K312)-1))&gt;=1,VALUE(LEFT(K312,FIND("/",K312)-1))&lt;=31,VALUE(LEFT(MID(K312,FIND("/",K312)+1,10),FIND("/",MID(K312,FIND("/",K312)+1,10))-1))&gt;=1,VALUE(LEFT(MID(K312,FIND("/",K312)+1,10),FIND("/",MID(K312,FIND("/",K312)+1,10))-1))&lt;=12,VALUE(LEFT(K312,FIND("/",K312)-1))&lt;=DAY(EOMONTH(DATE(VALUE(MID(MID(K312,FIND("/",K312)+1,10),FIND("/",MID(K312,FIND("/",K312)+1,10))+1,4)),VALUE(LEFT(MID(K312,FIND("/",K312)+1,10),FIND("/",MID(K312,FIND("/",K312)+1,10))-1)),1),0))),0,1),1)=1,"Date; ","")&amp;IF(IFERROR(IF(M312&gt;=0,0,1),1)=1,"Amount; ","")&amp;IF(IFERROR(IF(ISNUMBER(MATCH(N312,Lists!$B$2:$B$7,0)),0,1),1)=1,"Payment; ","")))</f>
        <v/>
      </c>
      <c r="R312" s="3" t="str">
        <f aca="false">IF(D312="","",IF(COUNTIFS($D$2:$D$701,D312,$E$2:$E$701,E312)&gt;1,"DUPLICATE","Unique"))</f>
        <v>Unique</v>
      </c>
    </row>
    <row r="313" customFormat="false" ht="15" hidden="false" customHeight="false" outlineLevel="0" collapsed="false">
      <c r="A313" s="3" t="n">
        <v>312</v>
      </c>
      <c r="B313" s="3" t="n">
        <v>7</v>
      </c>
      <c r="C313" s="3" t="s">
        <v>2289</v>
      </c>
      <c r="D313" s="3" t="s">
        <v>2290</v>
      </c>
      <c r="E313" s="3" t="s">
        <v>2291</v>
      </c>
      <c r="F313" s="3" t="s">
        <v>2292</v>
      </c>
      <c r="G313" s="3" t="s">
        <v>2293</v>
      </c>
      <c r="H313" s="3" t="s">
        <v>472</v>
      </c>
      <c r="I313" s="3" t="s">
        <v>63</v>
      </c>
      <c r="J313" s="3" t="s">
        <v>2294</v>
      </c>
      <c r="K313" s="3" t="s">
        <v>1498</v>
      </c>
      <c r="L313" s="3" t="s">
        <v>47</v>
      </c>
      <c r="M313" s="3" t="n">
        <v>3957.9</v>
      </c>
      <c r="N313" s="3" t="s">
        <v>40</v>
      </c>
      <c r="O313" s="3" t="n">
        <f aca="false">IFERROR(LEN(C313&amp;D313&amp;E313&amp;F313&amp;G313&amp;H313&amp;I313&amp;J313&amp;K313&amp;L313&amp;M313&amp;N313)/5,0)</f>
        <v>26.4</v>
      </c>
      <c r="P313" s="3" t="str">
        <f aca="false">IF(OR(D313="",C313=""),"",IF((IFERROR(IF(AND(TRIM(D313)=D313,LEN(D313)&gt;0),0,1),1)+IFERROR(IF(AND(LEN(E313)=10,ISNUMBER(VALUE(E313))),0,1),1)+IFERROR(IF(AND(ISNUMBER(SEARCH("@",F313)),ISNUMBER(SEARCH(".",F313))),0,1),1)+IFERROR(IF(AND(LEN(J313)=6,ISNUMBER(VALUE(J313))),0,1),1)+IFERROR(IF(ISNUMBER(MATCH(TRIM(I313),Lists!$A$2:$A$20,0)),0,1),1)+IFERROR(IF(AND(LEN(K313)=10,VALUE(LEFT(K313,FIND("/",K313)-1))&gt;=1,VALUE(LEFT(K313,FIND("/",K313)-1))&lt;=31,VALUE(LEFT(MID(K313,FIND("/",K313)+1,10),FIND("/",MID(K313,FIND("/",K313)+1,10))-1))&gt;=1,VALUE(LEFT(MID(K313,FIND("/",K313)+1,10),FIND("/",MID(K313,FIND("/",K313)+1,10))-1))&lt;=12,VALUE(LEFT(K313,FIND("/",K313)-1))&lt;=DAY(EOMONTH(DATE(VALUE(MID(MID(K313,FIND("/",K313)+1,10),FIND("/",MID(K313,FIND("/",K313)+1,10))+1,4)),VALUE(LEFT(MID(K313,FIND("/",K313)+1,10),FIND("/",MID(K313,FIND("/",K313)+1,10))-1)),1),0))),0,1),1)+IFERROR(IF(M313&gt;=0,0,1),1)+IFERROR(IF(ISNUMBER(MATCH(N313,Lists!$B$2:$B$7,0)),0,1),1))=0,"OK","ERROR"))</f>
        <v>OK</v>
      </c>
      <c r="Q313" s="3" t="str">
        <f aca="false">IF(D313="","",TRIM(IF(IFERROR(IF(AND(TRIM(D313)=D313,LEN(D313)&gt;0),0,1),1)=1,"Name; ","")&amp;IF(IFERROR(IF(AND(LEN(E313)=10,ISNUMBER(VALUE(E313))),0,1),1)=1,"Phone; ","")&amp;IF(IFERROR(IF(AND(ISNUMBER(SEARCH("@",F313)),ISNUMBER(SEARCH(".",F313))),0,1),1)=1,"Email; ","")&amp;IF(IFERROR(IF(AND(LEN(J313)=6,ISNUMBER(VALUE(J313))),0,1),1)=1,"Pincode; ","")&amp;IF(IFERROR(IF(ISNUMBER(MATCH(TRIM(I313),Lists!$A$2:$A$20,0)),0,1),1)=1,"State; ","")&amp;IF(IFERROR(IF(AND(LEN(K313)=10,VALUE(LEFT(K313,FIND("/",K313)-1))&gt;=1,VALUE(LEFT(K313,FIND("/",K313)-1))&lt;=31,VALUE(LEFT(MID(K313,FIND("/",K313)+1,10),FIND("/",MID(K313,FIND("/",K313)+1,10))-1))&gt;=1,VALUE(LEFT(MID(K313,FIND("/",K313)+1,10),FIND("/",MID(K313,FIND("/",K313)+1,10))-1))&lt;=12,VALUE(LEFT(K313,FIND("/",K313)-1))&lt;=DAY(EOMONTH(DATE(VALUE(MID(MID(K313,FIND("/",K313)+1,10),FIND("/",MID(K313,FIND("/",K313)+1,10))+1,4)),VALUE(LEFT(MID(K313,FIND("/",K313)+1,10),FIND("/",MID(K313,FIND("/",K313)+1,10))-1)),1),0))),0,1),1)=1,"Date; ","")&amp;IF(IFERROR(IF(M313&gt;=0,0,1),1)=1,"Amount; ","")&amp;IF(IFERROR(IF(ISNUMBER(MATCH(N313,Lists!$B$2:$B$7,0)),0,1),1)=1,"Payment; ","")))</f>
        <v/>
      </c>
      <c r="R313" s="3" t="str">
        <f aca="false">IF(D313="","",IF(COUNTIFS($D$2:$D$701,D313,$E$2:$E$701,E313)&gt;1,"DUPLICATE","Unique"))</f>
        <v>Unique</v>
      </c>
    </row>
    <row r="314" customFormat="false" ht="15" hidden="false" customHeight="false" outlineLevel="0" collapsed="false">
      <c r="A314" s="3" t="n">
        <v>313</v>
      </c>
      <c r="B314" s="3" t="n">
        <v>7</v>
      </c>
      <c r="C314" s="3" t="s">
        <v>2295</v>
      </c>
      <c r="D314" s="3" t="s">
        <v>2296</v>
      </c>
      <c r="E314" s="3" t="s">
        <v>2297</v>
      </c>
      <c r="F314" s="3" t="s">
        <v>2298</v>
      </c>
      <c r="G314" s="3" t="s">
        <v>2299</v>
      </c>
      <c r="H314" s="3" t="s">
        <v>428</v>
      </c>
      <c r="I314" s="3" t="s">
        <v>65</v>
      </c>
      <c r="J314" s="3" t="s">
        <v>2300</v>
      </c>
      <c r="K314" s="3" t="s">
        <v>2301</v>
      </c>
      <c r="L314" s="3" t="s">
        <v>74</v>
      </c>
      <c r="M314" s="3" t="n">
        <v>8089.79</v>
      </c>
      <c r="N314" s="3" t="s">
        <v>43</v>
      </c>
      <c r="O314" s="3" t="n">
        <f aca="false">IFERROR(LEN(C314&amp;D314&amp;E314&amp;F314&amp;G314&amp;H314&amp;I314&amp;J314&amp;K314&amp;L314&amp;M314&amp;N314)/5,0)</f>
        <v>26.4</v>
      </c>
      <c r="P314" s="3" t="str">
        <f aca="false">IF(OR(D314="",C314=""),"",IF((IFERROR(IF(AND(TRIM(D314)=D314,LEN(D314)&gt;0),0,1),1)+IFERROR(IF(AND(LEN(E314)=10,ISNUMBER(VALUE(E314))),0,1),1)+IFERROR(IF(AND(ISNUMBER(SEARCH("@",F314)),ISNUMBER(SEARCH(".",F314))),0,1),1)+IFERROR(IF(AND(LEN(J314)=6,ISNUMBER(VALUE(J314))),0,1),1)+IFERROR(IF(ISNUMBER(MATCH(TRIM(I314),Lists!$A$2:$A$20,0)),0,1),1)+IFERROR(IF(AND(LEN(K314)=10,VALUE(LEFT(K314,FIND("/",K314)-1))&gt;=1,VALUE(LEFT(K314,FIND("/",K314)-1))&lt;=31,VALUE(LEFT(MID(K314,FIND("/",K314)+1,10),FIND("/",MID(K314,FIND("/",K314)+1,10))-1))&gt;=1,VALUE(LEFT(MID(K314,FIND("/",K314)+1,10),FIND("/",MID(K314,FIND("/",K314)+1,10))-1))&lt;=12,VALUE(LEFT(K314,FIND("/",K314)-1))&lt;=DAY(EOMONTH(DATE(VALUE(MID(MID(K314,FIND("/",K314)+1,10),FIND("/",MID(K314,FIND("/",K314)+1,10))+1,4)),VALUE(LEFT(MID(K314,FIND("/",K314)+1,10),FIND("/",MID(K314,FIND("/",K314)+1,10))-1)),1),0))),0,1),1)+IFERROR(IF(M314&gt;=0,0,1),1)+IFERROR(IF(ISNUMBER(MATCH(N314,Lists!$B$2:$B$7,0)),0,1),1))=0,"OK","ERROR"))</f>
        <v>OK</v>
      </c>
      <c r="Q314" s="3" t="str">
        <f aca="false">IF(D314="","",TRIM(IF(IFERROR(IF(AND(TRIM(D314)=D314,LEN(D314)&gt;0),0,1),1)=1,"Name; ","")&amp;IF(IFERROR(IF(AND(LEN(E314)=10,ISNUMBER(VALUE(E314))),0,1),1)=1,"Phone; ","")&amp;IF(IFERROR(IF(AND(ISNUMBER(SEARCH("@",F314)),ISNUMBER(SEARCH(".",F314))),0,1),1)=1,"Email; ","")&amp;IF(IFERROR(IF(AND(LEN(J314)=6,ISNUMBER(VALUE(J314))),0,1),1)=1,"Pincode; ","")&amp;IF(IFERROR(IF(ISNUMBER(MATCH(TRIM(I314),Lists!$A$2:$A$20,0)),0,1),1)=1,"State; ","")&amp;IF(IFERROR(IF(AND(LEN(K314)=10,VALUE(LEFT(K314,FIND("/",K314)-1))&gt;=1,VALUE(LEFT(K314,FIND("/",K314)-1))&lt;=31,VALUE(LEFT(MID(K314,FIND("/",K314)+1,10),FIND("/",MID(K314,FIND("/",K314)+1,10))-1))&gt;=1,VALUE(LEFT(MID(K314,FIND("/",K314)+1,10),FIND("/",MID(K314,FIND("/",K314)+1,10))-1))&lt;=12,VALUE(LEFT(K314,FIND("/",K314)-1))&lt;=DAY(EOMONTH(DATE(VALUE(MID(MID(K314,FIND("/",K314)+1,10),FIND("/",MID(K314,FIND("/",K314)+1,10))+1,4)),VALUE(LEFT(MID(K314,FIND("/",K314)+1,10),FIND("/",MID(K314,FIND("/",K314)+1,10))-1)),1),0))),0,1),1)=1,"Date; ","")&amp;IF(IFERROR(IF(M314&gt;=0,0,1),1)=1,"Amount; ","")&amp;IF(IFERROR(IF(ISNUMBER(MATCH(N314,Lists!$B$2:$B$7,0)),0,1),1)=1,"Payment; ","")))</f>
        <v/>
      </c>
      <c r="R314" s="3" t="str">
        <f aca="false">IF(D314="","",IF(COUNTIFS($D$2:$D$701,D314,$E$2:$E$701,E314)&gt;1,"DUPLICATE","Unique"))</f>
        <v>Unique</v>
      </c>
    </row>
    <row r="315" customFormat="false" ht="15" hidden="false" customHeight="false" outlineLevel="0" collapsed="false">
      <c r="A315" s="3" t="n">
        <v>314</v>
      </c>
      <c r="B315" s="3" t="n">
        <v>7</v>
      </c>
      <c r="C315" s="3" t="s">
        <v>2302</v>
      </c>
      <c r="D315" s="3" t="s">
        <v>2303</v>
      </c>
      <c r="E315" s="3" t="s">
        <v>2304</v>
      </c>
      <c r="F315" s="3" t="s">
        <v>2305</v>
      </c>
      <c r="G315" s="3" t="s">
        <v>2306</v>
      </c>
      <c r="H315" s="3" t="s">
        <v>502</v>
      </c>
      <c r="I315" s="3" t="s">
        <v>73</v>
      </c>
      <c r="J315" s="3" t="s">
        <v>2307</v>
      </c>
      <c r="K315" s="3" t="s">
        <v>2308</v>
      </c>
      <c r="L315" s="3" t="s">
        <v>53</v>
      </c>
      <c r="M315" s="3" t="n">
        <v>590.77</v>
      </c>
      <c r="N315" s="3" t="s">
        <v>52</v>
      </c>
      <c r="O315" s="3" t="n">
        <f aca="false">IFERROR(LEN(C315&amp;D315&amp;E315&amp;F315&amp;G315&amp;H315&amp;I315&amp;J315&amp;K315&amp;L315&amp;M315&amp;N315)/5,0)</f>
        <v>29.4</v>
      </c>
      <c r="P315" s="3" t="str">
        <f aca="false">IF(OR(D315="",C315=""),"",IF((IFERROR(IF(AND(TRIM(D315)=D315,LEN(D315)&gt;0),0,1),1)+IFERROR(IF(AND(LEN(E315)=10,ISNUMBER(VALUE(E315))),0,1),1)+IFERROR(IF(AND(ISNUMBER(SEARCH("@",F315)),ISNUMBER(SEARCH(".",F315))),0,1),1)+IFERROR(IF(AND(LEN(J315)=6,ISNUMBER(VALUE(J315))),0,1),1)+IFERROR(IF(ISNUMBER(MATCH(TRIM(I315),Lists!$A$2:$A$20,0)),0,1),1)+IFERROR(IF(AND(LEN(K315)=10,VALUE(LEFT(K315,FIND("/",K315)-1))&gt;=1,VALUE(LEFT(K315,FIND("/",K315)-1))&lt;=31,VALUE(LEFT(MID(K315,FIND("/",K315)+1,10),FIND("/",MID(K315,FIND("/",K315)+1,10))-1))&gt;=1,VALUE(LEFT(MID(K315,FIND("/",K315)+1,10),FIND("/",MID(K315,FIND("/",K315)+1,10))-1))&lt;=12,VALUE(LEFT(K315,FIND("/",K315)-1))&lt;=DAY(EOMONTH(DATE(VALUE(MID(MID(K315,FIND("/",K315)+1,10),FIND("/",MID(K315,FIND("/",K315)+1,10))+1,4)),VALUE(LEFT(MID(K315,FIND("/",K315)+1,10),FIND("/",MID(K315,FIND("/",K315)+1,10))-1)),1),0))),0,1),1)+IFERROR(IF(M315&gt;=0,0,1),1)+IFERROR(IF(ISNUMBER(MATCH(N315,Lists!$B$2:$B$7,0)),0,1),1))=0,"OK","ERROR"))</f>
        <v>OK</v>
      </c>
      <c r="Q315" s="3" t="str">
        <f aca="false">IF(D315="","",TRIM(IF(IFERROR(IF(AND(TRIM(D315)=D315,LEN(D315)&gt;0),0,1),1)=1,"Name; ","")&amp;IF(IFERROR(IF(AND(LEN(E315)=10,ISNUMBER(VALUE(E315))),0,1),1)=1,"Phone; ","")&amp;IF(IFERROR(IF(AND(ISNUMBER(SEARCH("@",F315)),ISNUMBER(SEARCH(".",F315))),0,1),1)=1,"Email; ","")&amp;IF(IFERROR(IF(AND(LEN(J315)=6,ISNUMBER(VALUE(J315))),0,1),1)=1,"Pincode; ","")&amp;IF(IFERROR(IF(ISNUMBER(MATCH(TRIM(I315),Lists!$A$2:$A$20,0)),0,1),1)=1,"State; ","")&amp;IF(IFERROR(IF(AND(LEN(K315)=10,VALUE(LEFT(K315,FIND("/",K315)-1))&gt;=1,VALUE(LEFT(K315,FIND("/",K315)-1))&lt;=31,VALUE(LEFT(MID(K315,FIND("/",K315)+1,10),FIND("/",MID(K315,FIND("/",K315)+1,10))-1))&gt;=1,VALUE(LEFT(MID(K315,FIND("/",K315)+1,10),FIND("/",MID(K315,FIND("/",K315)+1,10))-1))&lt;=12,VALUE(LEFT(K315,FIND("/",K315)-1))&lt;=DAY(EOMONTH(DATE(VALUE(MID(MID(K315,FIND("/",K315)+1,10),FIND("/",MID(K315,FIND("/",K315)+1,10))+1,4)),VALUE(LEFT(MID(K315,FIND("/",K315)+1,10),FIND("/",MID(K315,FIND("/",K315)+1,10))-1)),1),0))),0,1),1)=1,"Date; ","")&amp;IF(IFERROR(IF(M315&gt;=0,0,1),1)=1,"Amount; ","")&amp;IF(IFERROR(IF(ISNUMBER(MATCH(N315,Lists!$B$2:$B$7,0)),0,1),1)=1,"Payment; ","")))</f>
        <v/>
      </c>
      <c r="R315" s="3" t="str">
        <f aca="false">IF(D315="","",IF(COUNTIFS($D$2:$D$701,D315,$E$2:$E$701,E315)&gt;1,"DUPLICATE","Unique"))</f>
        <v>Unique</v>
      </c>
    </row>
    <row r="316" customFormat="false" ht="15" hidden="false" customHeight="false" outlineLevel="0" collapsed="false">
      <c r="A316" s="3" t="n">
        <v>315</v>
      </c>
      <c r="B316" s="3" t="n">
        <v>7</v>
      </c>
      <c r="C316" s="3" t="s">
        <v>2309</v>
      </c>
      <c r="D316" s="3" t="s">
        <v>2310</v>
      </c>
      <c r="E316" s="3" t="s">
        <v>2311</v>
      </c>
      <c r="F316" s="3" t="s">
        <v>2312</v>
      </c>
      <c r="G316" s="3" t="s">
        <v>2313</v>
      </c>
      <c r="H316" s="3" t="s">
        <v>436</v>
      </c>
      <c r="I316" s="3" t="s">
        <v>59</v>
      </c>
      <c r="J316" s="3" t="s">
        <v>2314</v>
      </c>
      <c r="K316" s="3" t="s">
        <v>2315</v>
      </c>
      <c r="L316" s="3" t="s">
        <v>56</v>
      </c>
      <c r="M316" s="3" t="n">
        <v>9729.12</v>
      </c>
      <c r="N316" s="3" t="s">
        <v>52</v>
      </c>
      <c r="O316" s="3" t="n">
        <f aca="false">IFERROR(LEN(C316&amp;D316&amp;E316&amp;F316&amp;G316&amp;H316&amp;I316&amp;J316&amp;K316&amp;L316&amp;M316&amp;N316)/5,0)</f>
        <v>28</v>
      </c>
      <c r="P316" s="3" t="str">
        <f aca="false">IF(OR(D316="",C316=""),"",IF((IFERROR(IF(AND(TRIM(D316)=D316,LEN(D316)&gt;0),0,1),1)+IFERROR(IF(AND(LEN(E316)=10,ISNUMBER(VALUE(E316))),0,1),1)+IFERROR(IF(AND(ISNUMBER(SEARCH("@",F316)),ISNUMBER(SEARCH(".",F316))),0,1),1)+IFERROR(IF(AND(LEN(J316)=6,ISNUMBER(VALUE(J316))),0,1),1)+IFERROR(IF(ISNUMBER(MATCH(TRIM(I316),Lists!$A$2:$A$20,0)),0,1),1)+IFERROR(IF(AND(LEN(K316)=10,VALUE(LEFT(K316,FIND("/",K316)-1))&gt;=1,VALUE(LEFT(K316,FIND("/",K316)-1))&lt;=31,VALUE(LEFT(MID(K316,FIND("/",K316)+1,10),FIND("/",MID(K316,FIND("/",K316)+1,10))-1))&gt;=1,VALUE(LEFT(MID(K316,FIND("/",K316)+1,10),FIND("/",MID(K316,FIND("/",K316)+1,10))-1))&lt;=12,VALUE(LEFT(K316,FIND("/",K316)-1))&lt;=DAY(EOMONTH(DATE(VALUE(MID(MID(K316,FIND("/",K316)+1,10),FIND("/",MID(K316,FIND("/",K316)+1,10))+1,4)),VALUE(LEFT(MID(K316,FIND("/",K316)+1,10),FIND("/",MID(K316,FIND("/",K316)+1,10))-1)),1),0))),0,1),1)+IFERROR(IF(M316&gt;=0,0,1),1)+IFERROR(IF(ISNUMBER(MATCH(N316,Lists!$B$2:$B$7,0)),0,1),1))=0,"OK","ERROR"))</f>
        <v>OK</v>
      </c>
      <c r="Q316" s="3" t="str">
        <f aca="false">IF(D316="","",TRIM(IF(IFERROR(IF(AND(TRIM(D316)=D316,LEN(D316)&gt;0),0,1),1)=1,"Name; ","")&amp;IF(IFERROR(IF(AND(LEN(E316)=10,ISNUMBER(VALUE(E316))),0,1),1)=1,"Phone; ","")&amp;IF(IFERROR(IF(AND(ISNUMBER(SEARCH("@",F316)),ISNUMBER(SEARCH(".",F316))),0,1),1)=1,"Email; ","")&amp;IF(IFERROR(IF(AND(LEN(J316)=6,ISNUMBER(VALUE(J316))),0,1),1)=1,"Pincode; ","")&amp;IF(IFERROR(IF(ISNUMBER(MATCH(TRIM(I316),Lists!$A$2:$A$20,0)),0,1),1)=1,"State; ","")&amp;IF(IFERROR(IF(AND(LEN(K316)=10,VALUE(LEFT(K316,FIND("/",K316)-1))&gt;=1,VALUE(LEFT(K316,FIND("/",K316)-1))&lt;=31,VALUE(LEFT(MID(K316,FIND("/",K316)+1,10),FIND("/",MID(K316,FIND("/",K316)+1,10))-1))&gt;=1,VALUE(LEFT(MID(K316,FIND("/",K316)+1,10),FIND("/",MID(K316,FIND("/",K316)+1,10))-1))&lt;=12,VALUE(LEFT(K316,FIND("/",K316)-1))&lt;=DAY(EOMONTH(DATE(VALUE(MID(MID(K316,FIND("/",K316)+1,10),FIND("/",MID(K316,FIND("/",K316)+1,10))+1,4)),VALUE(LEFT(MID(K316,FIND("/",K316)+1,10),FIND("/",MID(K316,FIND("/",K316)+1,10))-1)),1),0))),0,1),1)=1,"Date; ","")&amp;IF(IFERROR(IF(M316&gt;=0,0,1),1)=1,"Amount; ","")&amp;IF(IFERROR(IF(ISNUMBER(MATCH(N316,Lists!$B$2:$B$7,0)),0,1),1)=1,"Payment; ","")))</f>
        <v/>
      </c>
      <c r="R316" s="3" t="str">
        <f aca="false">IF(D316="","",IF(COUNTIFS($D$2:$D$701,D316,$E$2:$E$701,E316)&gt;1,"DUPLICATE","Unique"))</f>
        <v>Unique</v>
      </c>
    </row>
    <row r="317" customFormat="false" ht="15" hidden="false" customHeight="false" outlineLevel="0" collapsed="false">
      <c r="A317" s="3" t="n">
        <v>316</v>
      </c>
      <c r="B317" s="3" t="n">
        <v>7</v>
      </c>
      <c r="C317" s="3" t="s">
        <v>2316</v>
      </c>
      <c r="D317" s="3" t="s">
        <v>2317</v>
      </c>
      <c r="E317" s="3" t="s">
        <v>2318</v>
      </c>
      <c r="F317" s="3" t="s">
        <v>2319</v>
      </c>
      <c r="G317" s="3" t="s">
        <v>2320</v>
      </c>
      <c r="H317" s="3" t="s">
        <v>1044</v>
      </c>
      <c r="I317" s="3" t="s">
        <v>42</v>
      </c>
      <c r="J317" s="3" t="s">
        <v>2321</v>
      </c>
      <c r="K317" s="3" t="s">
        <v>2322</v>
      </c>
      <c r="L317" s="3" t="s">
        <v>70</v>
      </c>
      <c r="M317" s="3" t="n">
        <v>11701.41</v>
      </c>
      <c r="N317" s="3" t="s">
        <v>49</v>
      </c>
      <c r="O317" s="3" t="n">
        <f aca="false">IFERROR(LEN(C317&amp;D317&amp;E317&amp;F317&amp;G317&amp;H317&amp;I317&amp;J317&amp;K317&amp;L317&amp;M317&amp;N317)/5,0)</f>
        <v>27.8</v>
      </c>
      <c r="P317" s="3" t="str">
        <f aca="false">IF(OR(D317="",C317=""),"",IF((IFERROR(IF(AND(TRIM(D317)=D317,LEN(D317)&gt;0),0,1),1)+IFERROR(IF(AND(LEN(E317)=10,ISNUMBER(VALUE(E317))),0,1),1)+IFERROR(IF(AND(ISNUMBER(SEARCH("@",F317)),ISNUMBER(SEARCH(".",F317))),0,1),1)+IFERROR(IF(AND(LEN(J317)=6,ISNUMBER(VALUE(J317))),0,1),1)+IFERROR(IF(ISNUMBER(MATCH(TRIM(I317),Lists!$A$2:$A$20,0)),0,1),1)+IFERROR(IF(AND(LEN(K317)=10,VALUE(LEFT(K317,FIND("/",K317)-1))&gt;=1,VALUE(LEFT(K317,FIND("/",K317)-1))&lt;=31,VALUE(LEFT(MID(K317,FIND("/",K317)+1,10),FIND("/",MID(K317,FIND("/",K317)+1,10))-1))&gt;=1,VALUE(LEFT(MID(K317,FIND("/",K317)+1,10),FIND("/",MID(K317,FIND("/",K317)+1,10))-1))&lt;=12,VALUE(LEFT(K317,FIND("/",K317)-1))&lt;=DAY(EOMONTH(DATE(VALUE(MID(MID(K317,FIND("/",K317)+1,10),FIND("/",MID(K317,FIND("/",K317)+1,10))+1,4)),VALUE(LEFT(MID(K317,FIND("/",K317)+1,10),FIND("/",MID(K317,FIND("/",K317)+1,10))-1)),1),0))),0,1),1)+IFERROR(IF(M317&gt;=0,0,1),1)+IFERROR(IF(ISNUMBER(MATCH(N317,Lists!$B$2:$B$7,0)),0,1),1))=0,"OK","ERROR"))</f>
        <v>OK</v>
      </c>
      <c r="Q317" s="3" t="str">
        <f aca="false">IF(D317="","",TRIM(IF(IFERROR(IF(AND(TRIM(D317)=D317,LEN(D317)&gt;0),0,1),1)=1,"Name; ","")&amp;IF(IFERROR(IF(AND(LEN(E317)=10,ISNUMBER(VALUE(E317))),0,1),1)=1,"Phone; ","")&amp;IF(IFERROR(IF(AND(ISNUMBER(SEARCH("@",F317)),ISNUMBER(SEARCH(".",F317))),0,1),1)=1,"Email; ","")&amp;IF(IFERROR(IF(AND(LEN(J317)=6,ISNUMBER(VALUE(J317))),0,1),1)=1,"Pincode; ","")&amp;IF(IFERROR(IF(ISNUMBER(MATCH(TRIM(I317),Lists!$A$2:$A$20,0)),0,1),1)=1,"State; ","")&amp;IF(IFERROR(IF(AND(LEN(K317)=10,VALUE(LEFT(K317,FIND("/",K317)-1))&gt;=1,VALUE(LEFT(K317,FIND("/",K317)-1))&lt;=31,VALUE(LEFT(MID(K317,FIND("/",K317)+1,10),FIND("/",MID(K317,FIND("/",K317)+1,10))-1))&gt;=1,VALUE(LEFT(MID(K317,FIND("/",K317)+1,10),FIND("/",MID(K317,FIND("/",K317)+1,10))-1))&lt;=12,VALUE(LEFT(K317,FIND("/",K317)-1))&lt;=DAY(EOMONTH(DATE(VALUE(MID(MID(K317,FIND("/",K317)+1,10),FIND("/",MID(K317,FIND("/",K317)+1,10))+1,4)),VALUE(LEFT(MID(K317,FIND("/",K317)+1,10),FIND("/",MID(K317,FIND("/",K317)+1,10))-1)),1),0))),0,1),1)=1,"Date; ","")&amp;IF(IFERROR(IF(M317&gt;=0,0,1),1)=1,"Amount; ","")&amp;IF(IFERROR(IF(ISNUMBER(MATCH(N317,Lists!$B$2:$B$7,0)),0,1),1)=1,"Payment; ","")))</f>
        <v/>
      </c>
      <c r="R317" s="3" t="str">
        <f aca="false">IF(D317="","",IF(COUNTIFS($D$2:$D$701,D317,$E$2:$E$701,E317)&gt;1,"DUPLICATE","Unique"))</f>
        <v>Unique</v>
      </c>
    </row>
    <row r="318" customFormat="false" ht="15" hidden="false" customHeight="false" outlineLevel="0" collapsed="false">
      <c r="A318" s="3" t="n">
        <v>317</v>
      </c>
      <c r="B318" s="3" t="n">
        <v>7</v>
      </c>
      <c r="C318" s="3" t="s">
        <v>2323</v>
      </c>
      <c r="D318" s="3" t="s">
        <v>2324</v>
      </c>
      <c r="E318" s="3" t="s">
        <v>2325</v>
      </c>
      <c r="F318" s="3" t="s">
        <v>2326</v>
      </c>
      <c r="G318" s="3" t="s">
        <v>2327</v>
      </c>
      <c r="H318" s="3" t="s">
        <v>110</v>
      </c>
      <c r="I318" s="3" t="s">
        <v>71</v>
      </c>
      <c r="J318" s="3" t="s">
        <v>2328</v>
      </c>
      <c r="K318" s="3" t="s">
        <v>2329</v>
      </c>
      <c r="L318" s="3" t="s">
        <v>62</v>
      </c>
      <c r="M318" s="3" t="n">
        <v>7500.5</v>
      </c>
      <c r="N318" s="3" t="s">
        <v>52</v>
      </c>
      <c r="O318" s="3" t="n">
        <f aca="false">IFERROR(LEN(C318&amp;D318&amp;E318&amp;F318&amp;G318&amp;H318&amp;I318&amp;J318&amp;K318&amp;L318&amp;M318&amp;N318)/5,0)</f>
        <v>26.2</v>
      </c>
      <c r="P318" s="3" t="str">
        <f aca="false">IF(OR(D318="",C318=""),"",IF((IFERROR(IF(AND(TRIM(D318)=D318,LEN(D318)&gt;0),0,1),1)+IFERROR(IF(AND(LEN(E318)=10,ISNUMBER(VALUE(E318))),0,1),1)+IFERROR(IF(AND(ISNUMBER(SEARCH("@",F318)),ISNUMBER(SEARCH(".",F318))),0,1),1)+IFERROR(IF(AND(LEN(J318)=6,ISNUMBER(VALUE(J318))),0,1),1)+IFERROR(IF(ISNUMBER(MATCH(TRIM(I318),Lists!$A$2:$A$20,0)),0,1),1)+IFERROR(IF(AND(LEN(K318)=10,VALUE(LEFT(K318,FIND("/",K318)-1))&gt;=1,VALUE(LEFT(K318,FIND("/",K318)-1))&lt;=31,VALUE(LEFT(MID(K318,FIND("/",K318)+1,10),FIND("/",MID(K318,FIND("/",K318)+1,10))-1))&gt;=1,VALUE(LEFT(MID(K318,FIND("/",K318)+1,10),FIND("/",MID(K318,FIND("/",K318)+1,10))-1))&lt;=12,VALUE(LEFT(K318,FIND("/",K318)-1))&lt;=DAY(EOMONTH(DATE(VALUE(MID(MID(K318,FIND("/",K318)+1,10),FIND("/",MID(K318,FIND("/",K318)+1,10))+1,4)),VALUE(LEFT(MID(K318,FIND("/",K318)+1,10),FIND("/",MID(K318,FIND("/",K318)+1,10))-1)),1),0))),0,1),1)+IFERROR(IF(M318&gt;=0,0,1),1)+IFERROR(IF(ISNUMBER(MATCH(N318,Lists!$B$2:$B$7,0)),0,1),1))=0,"OK","ERROR"))</f>
        <v>OK</v>
      </c>
      <c r="Q318" s="3" t="str">
        <f aca="false">IF(D318="","",TRIM(IF(IFERROR(IF(AND(TRIM(D318)=D318,LEN(D318)&gt;0),0,1),1)=1,"Name; ","")&amp;IF(IFERROR(IF(AND(LEN(E318)=10,ISNUMBER(VALUE(E318))),0,1),1)=1,"Phone; ","")&amp;IF(IFERROR(IF(AND(ISNUMBER(SEARCH("@",F318)),ISNUMBER(SEARCH(".",F318))),0,1),1)=1,"Email; ","")&amp;IF(IFERROR(IF(AND(LEN(J318)=6,ISNUMBER(VALUE(J318))),0,1),1)=1,"Pincode; ","")&amp;IF(IFERROR(IF(ISNUMBER(MATCH(TRIM(I318),Lists!$A$2:$A$20,0)),0,1),1)=1,"State; ","")&amp;IF(IFERROR(IF(AND(LEN(K318)=10,VALUE(LEFT(K318,FIND("/",K318)-1))&gt;=1,VALUE(LEFT(K318,FIND("/",K318)-1))&lt;=31,VALUE(LEFT(MID(K318,FIND("/",K318)+1,10),FIND("/",MID(K318,FIND("/",K318)+1,10))-1))&gt;=1,VALUE(LEFT(MID(K318,FIND("/",K318)+1,10),FIND("/",MID(K318,FIND("/",K318)+1,10))-1))&lt;=12,VALUE(LEFT(K318,FIND("/",K318)-1))&lt;=DAY(EOMONTH(DATE(VALUE(MID(MID(K318,FIND("/",K318)+1,10),FIND("/",MID(K318,FIND("/",K318)+1,10))+1,4)),VALUE(LEFT(MID(K318,FIND("/",K318)+1,10),FIND("/",MID(K318,FIND("/",K318)+1,10))-1)),1),0))),0,1),1)=1,"Date; ","")&amp;IF(IFERROR(IF(M318&gt;=0,0,1),1)=1,"Amount; ","")&amp;IF(IFERROR(IF(ISNUMBER(MATCH(N318,Lists!$B$2:$B$7,0)),0,1),1)=1,"Payment; ","")))</f>
        <v/>
      </c>
      <c r="R318" s="3" t="str">
        <f aca="false">IF(D318="","",IF(COUNTIFS($D$2:$D$701,D318,$E$2:$E$701,E318)&gt;1,"DUPLICATE","Unique"))</f>
        <v>Unique</v>
      </c>
    </row>
    <row r="319" customFormat="false" ht="15" hidden="false" customHeight="false" outlineLevel="0" collapsed="false">
      <c r="A319" s="3" t="n">
        <v>318</v>
      </c>
      <c r="B319" s="3" t="n">
        <v>7</v>
      </c>
      <c r="C319" s="3" t="s">
        <v>2330</v>
      </c>
      <c r="D319" s="3" t="s">
        <v>2331</v>
      </c>
      <c r="E319" s="3" t="s">
        <v>2332</v>
      </c>
      <c r="F319" s="3" t="s">
        <v>2333</v>
      </c>
      <c r="G319" s="3" t="s">
        <v>2334</v>
      </c>
      <c r="H319" s="3" t="s">
        <v>1690</v>
      </c>
      <c r="I319" s="3" t="s">
        <v>51</v>
      </c>
      <c r="J319" s="3" t="s">
        <v>2335</v>
      </c>
      <c r="K319" s="3" t="s">
        <v>714</v>
      </c>
      <c r="L319" s="3" t="s">
        <v>66</v>
      </c>
      <c r="M319" s="3" t="n">
        <v>13380.04</v>
      </c>
      <c r="N319" s="3" t="s">
        <v>49</v>
      </c>
      <c r="O319" s="3" t="n">
        <f aca="false">IFERROR(LEN(C319&amp;D319&amp;E319&amp;F319&amp;G319&amp;H319&amp;I319&amp;J319&amp;K319&amp;L319&amp;M319&amp;N319)/5,0)</f>
        <v>29</v>
      </c>
      <c r="P319" s="3" t="str">
        <f aca="false">IF(OR(D319="",C319=""),"",IF((IFERROR(IF(AND(TRIM(D319)=D319,LEN(D319)&gt;0),0,1),1)+IFERROR(IF(AND(LEN(E319)=10,ISNUMBER(VALUE(E319))),0,1),1)+IFERROR(IF(AND(ISNUMBER(SEARCH("@",F319)),ISNUMBER(SEARCH(".",F319))),0,1),1)+IFERROR(IF(AND(LEN(J319)=6,ISNUMBER(VALUE(J319))),0,1),1)+IFERROR(IF(ISNUMBER(MATCH(TRIM(I319),Lists!$A$2:$A$20,0)),0,1),1)+IFERROR(IF(AND(LEN(K319)=10,VALUE(LEFT(K319,FIND("/",K319)-1))&gt;=1,VALUE(LEFT(K319,FIND("/",K319)-1))&lt;=31,VALUE(LEFT(MID(K319,FIND("/",K319)+1,10),FIND("/",MID(K319,FIND("/",K319)+1,10))-1))&gt;=1,VALUE(LEFT(MID(K319,FIND("/",K319)+1,10),FIND("/",MID(K319,FIND("/",K319)+1,10))-1))&lt;=12,VALUE(LEFT(K319,FIND("/",K319)-1))&lt;=DAY(EOMONTH(DATE(VALUE(MID(MID(K319,FIND("/",K319)+1,10),FIND("/",MID(K319,FIND("/",K319)+1,10))+1,4)),VALUE(LEFT(MID(K319,FIND("/",K319)+1,10),FIND("/",MID(K319,FIND("/",K319)+1,10))-1)),1),0))),0,1),1)+IFERROR(IF(M319&gt;=0,0,1),1)+IFERROR(IF(ISNUMBER(MATCH(N319,Lists!$B$2:$B$7,0)),0,1),1))=0,"OK","ERROR"))</f>
        <v>OK</v>
      </c>
      <c r="Q319" s="3" t="str">
        <f aca="false">IF(D319="","",TRIM(IF(IFERROR(IF(AND(TRIM(D319)=D319,LEN(D319)&gt;0),0,1),1)=1,"Name; ","")&amp;IF(IFERROR(IF(AND(LEN(E319)=10,ISNUMBER(VALUE(E319))),0,1),1)=1,"Phone; ","")&amp;IF(IFERROR(IF(AND(ISNUMBER(SEARCH("@",F319)),ISNUMBER(SEARCH(".",F319))),0,1),1)=1,"Email; ","")&amp;IF(IFERROR(IF(AND(LEN(J319)=6,ISNUMBER(VALUE(J319))),0,1),1)=1,"Pincode; ","")&amp;IF(IFERROR(IF(ISNUMBER(MATCH(TRIM(I319),Lists!$A$2:$A$20,0)),0,1),1)=1,"State; ","")&amp;IF(IFERROR(IF(AND(LEN(K319)=10,VALUE(LEFT(K319,FIND("/",K319)-1))&gt;=1,VALUE(LEFT(K319,FIND("/",K319)-1))&lt;=31,VALUE(LEFT(MID(K319,FIND("/",K319)+1,10),FIND("/",MID(K319,FIND("/",K319)+1,10))-1))&gt;=1,VALUE(LEFT(MID(K319,FIND("/",K319)+1,10),FIND("/",MID(K319,FIND("/",K319)+1,10))-1))&lt;=12,VALUE(LEFT(K319,FIND("/",K319)-1))&lt;=DAY(EOMONTH(DATE(VALUE(MID(MID(K319,FIND("/",K319)+1,10),FIND("/",MID(K319,FIND("/",K319)+1,10))+1,4)),VALUE(LEFT(MID(K319,FIND("/",K319)+1,10),FIND("/",MID(K319,FIND("/",K319)+1,10))-1)),1),0))),0,1),1)=1,"Date; ","")&amp;IF(IFERROR(IF(M319&gt;=0,0,1),1)=1,"Amount; ","")&amp;IF(IFERROR(IF(ISNUMBER(MATCH(N319,Lists!$B$2:$B$7,0)),0,1),1)=1,"Payment; ","")))</f>
        <v/>
      </c>
      <c r="R319" s="3" t="str">
        <f aca="false">IF(D319="","",IF(COUNTIFS($D$2:$D$701,D319,$E$2:$E$701,E319)&gt;1,"DUPLICATE","Unique"))</f>
        <v>Unique</v>
      </c>
    </row>
    <row r="320" customFormat="false" ht="15" hidden="false" customHeight="false" outlineLevel="0" collapsed="false">
      <c r="A320" s="3" t="n">
        <v>319</v>
      </c>
      <c r="B320" s="3" t="n">
        <v>7</v>
      </c>
      <c r="C320" s="3" t="s">
        <v>2336</v>
      </c>
      <c r="D320" s="3" t="s">
        <v>2337</v>
      </c>
      <c r="E320" s="3" t="s">
        <v>2338</v>
      </c>
      <c r="F320" s="3" t="s">
        <v>2339</v>
      </c>
      <c r="G320" s="3" t="s">
        <v>2340</v>
      </c>
      <c r="H320" s="3" t="s">
        <v>318</v>
      </c>
      <c r="I320" s="3" t="s">
        <v>48</v>
      </c>
      <c r="J320" s="3" t="s">
        <v>2341</v>
      </c>
      <c r="K320" s="3" t="s">
        <v>2342</v>
      </c>
      <c r="L320" s="3" t="s">
        <v>66</v>
      </c>
      <c r="M320" s="3" t="n">
        <v>11036.42</v>
      </c>
      <c r="N320" s="3" t="s">
        <v>55</v>
      </c>
      <c r="O320" s="3" t="n">
        <f aca="false">IFERROR(LEN(C320&amp;D320&amp;E320&amp;F320&amp;G320&amp;H320&amp;I320&amp;J320&amp;K320&amp;L320&amp;M320&amp;N320)/5,0)</f>
        <v>27.2</v>
      </c>
      <c r="P320" s="3" t="str">
        <f aca="false">IF(OR(D320="",C320=""),"",IF((IFERROR(IF(AND(TRIM(D320)=D320,LEN(D320)&gt;0),0,1),1)+IFERROR(IF(AND(LEN(E320)=10,ISNUMBER(VALUE(E320))),0,1),1)+IFERROR(IF(AND(ISNUMBER(SEARCH("@",F320)),ISNUMBER(SEARCH(".",F320))),0,1),1)+IFERROR(IF(AND(LEN(J320)=6,ISNUMBER(VALUE(J320))),0,1),1)+IFERROR(IF(ISNUMBER(MATCH(TRIM(I320),Lists!$A$2:$A$20,0)),0,1),1)+IFERROR(IF(AND(LEN(K320)=10,VALUE(LEFT(K320,FIND("/",K320)-1))&gt;=1,VALUE(LEFT(K320,FIND("/",K320)-1))&lt;=31,VALUE(LEFT(MID(K320,FIND("/",K320)+1,10),FIND("/",MID(K320,FIND("/",K320)+1,10))-1))&gt;=1,VALUE(LEFT(MID(K320,FIND("/",K320)+1,10),FIND("/",MID(K320,FIND("/",K320)+1,10))-1))&lt;=12,VALUE(LEFT(K320,FIND("/",K320)-1))&lt;=DAY(EOMONTH(DATE(VALUE(MID(MID(K320,FIND("/",K320)+1,10),FIND("/",MID(K320,FIND("/",K320)+1,10))+1,4)),VALUE(LEFT(MID(K320,FIND("/",K320)+1,10),FIND("/",MID(K320,FIND("/",K320)+1,10))-1)),1),0))),0,1),1)+IFERROR(IF(M320&gt;=0,0,1),1)+IFERROR(IF(ISNUMBER(MATCH(N320,Lists!$B$2:$B$7,0)),0,1),1))=0,"OK","ERROR"))</f>
        <v>OK</v>
      </c>
      <c r="Q320" s="3" t="str">
        <f aca="false">IF(D320="","",TRIM(IF(IFERROR(IF(AND(TRIM(D320)=D320,LEN(D320)&gt;0),0,1),1)=1,"Name; ","")&amp;IF(IFERROR(IF(AND(LEN(E320)=10,ISNUMBER(VALUE(E320))),0,1),1)=1,"Phone; ","")&amp;IF(IFERROR(IF(AND(ISNUMBER(SEARCH("@",F320)),ISNUMBER(SEARCH(".",F320))),0,1),1)=1,"Email; ","")&amp;IF(IFERROR(IF(AND(LEN(J320)=6,ISNUMBER(VALUE(J320))),0,1),1)=1,"Pincode; ","")&amp;IF(IFERROR(IF(ISNUMBER(MATCH(TRIM(I320),Lists!$A$2:$A$20,0)),0,1),1)=1,"State; ","")&amp;IF(IFERROR(IF(AND(LEN(K320)=10,VALUE(LEFT(K320,FIND("/",K320)-1))&gt;=1,VALUE(LEFT(K320,FIND("/",K320)-1))&lt;=31,VALUE(LEFT(MID(K320,FIND("/",K320)+1,10),FIND("/",MID(K320,FIND("/",K320)+1,10))-1))&gt;=1,VALUE(LEFT(MID(K320,FIND("/",K320)+1,10),FIND("/",MID(K320,FIND("/",K320)+1,10))-1))&lt;=12,VALUE(LEFT(K320,FIND("/",K320)-1))&lt;=DAY(EOMONTH(DATE(VALUE(MID(MID(K320,FIND("/",K320)+1,10),FIND("/",MID(K320,FIND("/",K320)+1,10))+1,4)),VALUE(LEFT(MID(K320,FIND("/",K320)+1,10),FIND("/",MID(K320,FIND("/",K320)+1,10))-1)),1),0))),0,1),1)=1,"Date; ","")&amp;IF(IFERROR(IF(M320&gt;=0,0,1),1)=1,"Amount; ","")&amp;IF(IFERROR(IF(ISNUMBER(MATCH(N320,Lists!$B$2:$B$7,0)),0,1),1)=1,"Payment; ","")))</f>
        <v/>
      </c>
      <c r="R320" s="3" t="str">
        <f aca="false">IF(D320="","",IF(COUNTIFS($D$2:$D$701,D320,$E$2:$E$701,E320)&gt;1,"DUPLICATE","Unique"))</f>
        <v>Unique</v>
      </c>
    </row>
    <row r="321" customFormat="false" ht="15" hidden="false" customHeight="false" outlineLevel="0" collapsed="false">
      <c r="A321" s="3" t="n">
        <v>320</v>
      </c>
      <c r="B321" s="3" t="n">
        <v>7</v>
      </c>
      <c r="C321" s="3" t="s">
        <v>2343</v>
      </c>
      <c r="D321" s="3" t="s">
        <v>2344</v>
      </c>
      <c r="E321" s="3" t="s">
        <v>2345</v>
      </c>
      <c r="F321" s="3" t="s">
        <v>2346</v>
      </c>
      <c r="G321" s="3" t="s">
        <v>2347</v>
      </c>
      <c r="H321" s="3" t="s">
        <v>663</v>
      </c>
      <c r="I321" s="3" t="s">
        <v>48</v>
      </c>
      <c r="J321" s="3" t="s">
        <v>2348</v>
      </c>
      <c r="K321" s="3" t="s">
        <v>1297</v>
      </c>
      <c r="L321" s="3" t="s">
        <v>66</v>
      </c>
      <c r="M321" s="3" t="n">
        <v>14610.25</v>
      </c>
      <c r="N321" s="3" t="s">
        <v>46</v>
      </c>
      <c r="O321" s="3" t="n">
        <f aca="false">IFERROR(LEN(C321&amp;D321&amp;E321&amp;F321&amp;G321&amp;H321&amp;I321&amp;J321&amp;K321&amp;L321&amp;M321&amp;N321)/5,0)</f>
        <v>29.2</v>
      </c>
      <c r="P321" s="3" t="str">
        <f aca="false">IF(OR(D321="",C321=""),"",IF((IFERROR(IF(AND(TRIM(D321)=D321,LEN(D321)&gt;0),0,1),1)+IFERROR(IF(AND(LEN(E321)=10,ISNUMBER(VALUE(E321))),0,1),1)+IFERROR(IF(AND(ISNUMBER(SEARCH("@",F321)),ISNUMBER(SEARCH(".",F321))),0,1),1)+IFERROR(IF(AND(LEN(J321)=6,ISNUMBER(VALUE(J321))),0,1),1)+IFERROR(IF(ISNUMBER(MATCH(TRIM(I321),Lists!$A$2:$A$20,0)),0,1),1)+IFERROR(IF(AND(LEN(K321)=10,VALUE(LEFT(K321,FIND("/",K321)-1))&gt;=1,VALUE(LEFT(K321,FIND("/",K321)-1))&lt;=31,VALUE(LEFT(MID(K321,FIND("/",K321)+1,10),FIND("/",MID(K321,FIND("/",K321)+1,10))-1))&gt;=1,VALUE(LEFT(MID(K321,FIND("/",K321)+1,10),FIND("/",MID(K321,FIND("/",K321)+1,10))-1))&lt;=12,VALUE(LEFT(K321,FIND("/",K321)-1))&lt;=DAY(EOMONTH(DATE(VALUE(MID(MID(K321,FIND("/",K321)+1,10),FIND("/",MID(K321,FIND("/",K321)+1,10))+1,4)),VALUE(LEFT(MID(K321,FIND("/",K321)+1,10),FIND("/",MID(K321,FIND("/",K321)+1,10))-1)),1),0))),0,1),1)+IFERROR(IF(M321&gt;=0,0,1),1)+IFERROR(IF(ISNUMBER(MATCH(N321,Lists!$B$2:$B$7,0)),0,1),1))=0,"OK","ERROR"))</f>
        <v>OK</v>
      </c>
      <c r="Q321" s="3" t="str">
        <f aca="false">IF(D321="","",TRIM(IF(IFERROR(IF(AND(TRIM(D321)=D321,LEN(D321)&gt;0),0,1),1)=1,"Name; ","")&amp;IF(IFERROR(IF(AND(LEN(E321)=10,ISNUMBER(VALUE(E321))),0,1),1)=1,"Phone; ","")&amp;IF(IFERROR(IF(AND(ISNUMBER(SEARCH("@",F321)),ISNUMBER(SEARCH(".",F321))),0,1),1)=1,"Email; ","")&amp;IF(IFERROR(IF(AND(LEN(J321)=6,ISNUMBER(VALUE(J321))),0,1),1)=1,"Pincode; ","")&amp;IF(IFERROR(IF(ISNUMBER(MATCH(TRIM(I321),Lists!$A$2:$A$20,0)),0,1),1)=1,"State; ","")&amp;IF(IFERROR(IF(AND(LEN(K321)=10,VALUE(LEFT(K321,FIND("/",K321)-1))&gt;=1,VALUE(LEFT(K321,FIND("/",K321)-1))&lt;=31,VALUE(LEFT(MID(K321,FIND("/",K321)+1,10),FIND("/",MID(K321,FIND("/",K321)+1,10))-1))&gt;=1,VALUE(LEFT(MID(K321,FIND("/",K321)+1,10),FIND("/",MID(K321,FIND("/",K321)+1,10))-1))&lt;=12,VALUE(LEFT(K321,FIND("/",K321)-1))&lt;=DAY(EOMONTH(DATE(VALUE(MID(MID(K321,FIND("/",K321)+1,10),FIND("/",MID(K321,FIND("/",K321)+1,10))+1,4)),VALUE(LEFT(MID(K321,FIND("/",K321)+1,10),FIND("/",MID(K321,FIND("/",K321)+1,10))-1)),1),0))),0,1),1)=1,"Date; ","")&amp;IF(IFERROR(IF(M321&gt;=0,0,1),1)=1,"Amount; ","")&amp;IF(IFERROR(IF(ISNUMBER(MATCH(N321,Lists!$B$2:$B$7,0)),0,1),1)=1,"Payment; ","")))</f>
        <v/>
      </c>
      <c r="R321" s="3" t="str">
        <f aca="false">IF(D321="","",IF(COUNTIFS($D$2:$D$701,D321,$E$2:$E$701,E321)&gt;1,"DUPLICATE","Unique"))</f>
        <v>Unique</v>
      </c>
    </row>
    <row r="322" customFormat="false" ht="15" hidden="false" customHeight="false" outlineLevel="0" collapsed="false">
      <c r="A322" s="3" t="n">
        <v>321</v>
      </c>
      <c r="B322" s="3" t="n">
        <v>7</v>
      </c>
      <c r="C322" s="3" t="s">
        <v>2349</v>
      </c>
      <c r="D322" s="3" t="s">
        <v>2350</v>
      </c>
      <c r="E322" s="3" t="s">
        <v>2351</v>
      </c>
      <c r="F322" s="3" t="s">
        <v>2352</v>
      </c>
      <c r="G322" s="3" t="s">
        <v>2353</v>
      </c>
      <c r="H322" s="3" t="s">
        <v>1044</v>
      </c>
      <c r="I322" s="3" t="s">
        <v>42</v>
      </c>
      <c r="J322" s="3" t="s">
        <v>2354</v>
      </c>
      <c r="K322" s="3" t="s">
        <v>2355</v>
      </c>
      <c r="L322" s="3" t="s">
        <v>72</v>
      </c>
      <c r="M322" s="3" t="n">
        <v>2469.74</v>
      </c>
      <c r="N322" s="3" t="s">
        <v>43</v>
      </c>
      <c r="O322" s="3" t="n">
        <f aca="false">IFERROR(LEN(C322&amp;D322&amp;E322&amp;F322&amp;G322&amp;H322&amp;I322&amp;J322&amp;K322&amp;L322&amp;M322&amp;N322)/5,0)</f>
        <v>29.8</v>
      </c>
      <c r="P322" s="3" t="str">
        <f aca="false">IF(OR(D322="",C322=""),"",IF((IFERROR(IF(AND(TRIM(D322)=D322,LEN(D322)&gt;0),0,1),1)+IFERROR(IF(AND(LEN(E322)=10,ISNUMBER(VALUE(E322))),0,1),1)+IFERROR(IF(AND(ISNUMBER(SEARCH("@",F322)),ISNUMBER(SEARCH(".",F322))),0,1),1)+IFERROR(IF(AND(LEN(J322)=6,ISNUMBER(VALUE(J322))),0,1),1)+IFERROR(IF(ISNUMBER(MATCH(TRIM(I322),Lists!$A$2:$A$20,0)),0,1),1)+IFERROR(IF(AND(LEN(K322)=10,VALUE(LEFT(K322,FIND("/",K322)-1))&gt;=1,VALUE(LEFT(K322,FIND("/",K322)-1))&lt;=31,VALUE(LEFT(MID(K322,FIND("/",K322)+1,10),FIND("/",MID(K322,FIND("/",K322)+1,10))-1))&gt;=1,VALUE(LEFT(MID(K322,FIND("/",K322)+1,10),FIND("/",MID(K322,FIND("/",K322)+1,10))-1))&lt;=12,VALUE(LEFT(K322,FIND("/",K322)-1))&lt;=DAY(EOMONTH(DATE(VALUE(MID(MID(K322,FIND("/",K322)+1,10),FIND("/",MID(K322,FIND("/",K322)+1,10))+1,4)),VALUE(LEFT(MID(K322,FIND("/",K322)+1,10),FIND("/",MID(K322,FIND("/",K322)+1,10))-1)),1),0))),0,1),1)+IFERROR(IF(M322&gt;=0,0,1),1)+IFERROR(IF(ISNUMBER(MATCH(N322,Lists!$B$2:$B$7,0)),0,1),1))=0,"OK","ERROR"))</f>
        <v>OK</v>
      </c>
      <c r="Q322" s="3" t="str">
        <f aca="false">IF(D322="","",TRIM(IF(IFERROR(IF(AND(TRIM(D322)=D322,LEN(D322)&gt;0),0,1),1)=1,"Name; ","")&amp;IF(IFERROR(IF(AND(LEN(E322)=10,ISNUMBER(VALUE(E322))),0,1),1)=1,"Phone; ","")&amp;IF(IFERROR(IF(AND(ISNUMBER(SEARCH("@",F322)),ISNUMBER(SEARCH(".",F322))),0,1),1)=1,"Email; ","")&amp;IF(IFERROR(IF(AND(LEN(J322)=6,ISNUMBER(VALUE(J322))),0,1),1)=1,"Pincode; ","")&amp;IF(IFERROR(IF(ISNUMBER(MATCH(TRIM(I322),Lists!$A$2:$A$20,0)),0,1),1)=1,"State; ","")&amp;IF(IFERROR(IF(AND(LEN(K322)=10,VALUE(LEFT(K322,FIND("/",K322)-1))&gt;=1,VALUE(LEFT(K322,FIND("/",K322)-1))&lt;=31,VALUE(LEFT(MID(K322,FIND("/",K322)+1,10),FIND("/",MID(K322,FIND("/",K322)+1,10))-1))&gt;=1,VALUE(LEFT(MID(K322,FIND("/",K322)+1,10),FIND("/",MID(K322,FIND("/",K322)+1,10))-1))&lt;=12,VALUE(LEFT(K322,FIND("/",K322)-1))&lt;=DAY(EOMONTH(DATE(VALUE(MID(MID(K322,FIND("/",K322)+1,10),FIND("/",MID(K322,FIND("/",K322)+1,10))+1,4)),VALUE(LEFT(MID(K322,FIND("/",K322)+1,10),FIND("/",MID(K322,FIND("/",K322)+1,10))-1)),1),0))),0,1),1)=1,"Date; ","")&amp;IF(IFERROR(IF(M322&gt;=0,0,1),1)=1,"Amount; ","")&amp;IF(IFERROR(IF(ISNUMBER(MATCH(N322,Lists!$B$2:$B$7,0)),0,1),1)=1,"Payment; ","")))</f>
        <v/>
      </c>
      <c r="R322" s="3" t="str">
        <f aca="false">IF(D322="","",IF(COUNTIFS($D$2:$D$701,D322,$E$2:$E$701,E322)&gt;1,"DUPLICATE","Unique"))</f>
        <v>Unique</v>
      </c>
    </row>
    <row r="323" customFormat="false" ht="15" hidden="false" customHeight="false" outlineLevel="0" collapsed="false">
      <c r="A323" s="3" t="n">
        <v>322</v>
      </c>
      <c r="B323" s="3" t="n">
        <v>7</v>
      </c>
      <c r="C323" s="3" t="s">
        <v>2356</v>
      </c>
      <c r="D323" s="3" t="s">
        <v>2357</v>
      </c>
      <c r="E323" s="3" t="s">
        <v>2358</v>
      </c>
      <c r="F323" s="3" t="s">
        <v>2359</v>
      </c>
      <c r="G323" s="3" t="s">
        <v>2360</v>
      </c>
      <c r="H323" s="3" t="s">
        <v>525</v>
      </c>
      <c r="I323" s="3" t="s">
        <v>76</v>
      </c>
      <c r="J323" s="3" t="s">
        <v>2361</v>
      </c>
      <c r="K323" s="3" t="s">
        <v>2362</v>
      </c>
      <c r="L323" s="3" t="s">
        <v>60</v>
      </c>
      <c r="M323" s="3" t="n">
        <v>14672.29</v>
      </c>
      <c r="N323" s="3" t="s">
        <v>40</v>
      </c>
      <c r="O323" s="3" t="n">
        <f aca="false">IFERROR(LEN(C323&amp;D323&amp;E323&amp;F323&amp;G323&amp;H323&amp;I323&amp;J323&amp;K323&amp;L323&amp;M323&amp;N323)/5,0)</f>
        <v>25</v>
      </c>
      <c r="P323" s="3" t="str">
        <f aca="false">IF(OR(D323="",C323=""),"",IF((IFERROR(IF(AND(TRIM(D323)=D323,LEN(D323)&gt;0),0,1),1)+IFERROR(IF(AND(LEN(E323)=10,ISNUMBER(VALUE(E323))),0,1),1)+IFERROR(IF(AND(ISNUMBER(SEARCH("@",F323)),ISNUMBER(SEARCH(".",F323))),0,1),1)+IFERROR(IF(AND(LEN(J323)=6,ISNUMBER(VALUE(J323))),0,1),1)+IFERROR(IF(ISNUMBER(MATCH(TRIM(I323),Lists!$A$2:$A$20,0)),0,1),1)+IFERROR(IF(AND(LEN(K323)=10,VALUE(LEFT(K323,FIND("/",K323)-1))&gt;=1,VALUE(LEFT(K323,FIND("/",K323)-1))&lt;=31,VALUE(LEFT(MID(K323,FIND("/",K323)+1,10),FIND("/",MID(K323,FIND("/",K323)+1,10))-1))&gt;=1,VALUE(LEFT(MID(K323,FIND("/",K323)+1,10),FIND("/",MID(K323,FIND("/",K323)+1,10))-1))&lt;=12,VALUE(LEFT(K323,FIND("/",K323)-1))&lt;=DAY(EOMONTH(DATE(VALUE(MID(MID(K323,FIND("/",K323)+1,10),FIND("/",MID(K323,FIND("/",K323)+1,10))+1,4)),VALUE(LEFT(MID(K323,FIND("/",K323)+1,10),FIND("/",MID(K323,FIND("/",K323)+1,10))-1)),1),0))),0,1),1)+IFERROR(IF(M323&gt;=0,0,1),1)+IFERROR(IF(ISNUMBER(MATCH(N323,Lists!$B$2:$B$7,0)),0,1),1))=0,"OK","ERROR"))</f>
        <v>OK</v>
      </c>
      <c r="Q323" s="3" t="str">
        <f aca="false">IF(D323="","",TRIM(IF(IFERROR(IF(AND(TRIM(D323)=D323,LEN(D323)&gt;0),0,1),1)=1,"Name; ","")&amp;IF(IFERROR(IF(AND(LEN(E323)=10,ISNUMBER(VALUE(E323))),0,1),1)=1,"Phone; ","")&amp;IF(IFERROR(IF(AND(ISNUMBER(SEARCH("@",F323)),ISNUMBER(SEARCH(".",F323))),0,1),1)=1,"Email; ","")&amp;IF(IFERROR(IF(AND(LEN(J323)=6,ISNUMBER(VALUE(J323))),0,1),1)=1,"Pincode; ","")&amp;IF(IFERROR(IF(ISNUMBER(MATCH(TRIM(I323),Lists!$A$2:$A$20,0)),0,1),1)=1,"State; ","")&amp;IF(IFERROR(IF(AND(LEN(K323)=10,VALUE(LEFT(K323,FIND("/",K323)-1))&gt;=1,VALUE(LEFT(K323,FIND("/",K323)-1))&lt;=31,VALUE(LEFT(MID(K323,FIND("/",K323)+1,10),FIND("/",MID(K323,FIND("/",K323)+1,10))-1))&gt;=1,VALUE(LEFT(MID(K323,FIND("/",K323)+1,10),FIND("/",MID(K323,FIND("/",K323)+1,10))-1))&lt;=12,VALUE(LEFT(K323,FIND("/",K323)-1))&lt;=DAY(EOMONTH(DATE(VALUE(MID(MID(K323,FIND("/",K323)+1,10),FIND("/",MID(K323,FIND("/",K323)+1,10))+1,4)),VALUE(LEFT(MID(K323,FIND("/",K323)+1,10),FIND("/",MID(K323,FIND("/",K323)+1,10))-1)),1),0))),0,1),1)=1,"Date; ","")&amp;IF(IFERROR(IF(M323&gt;=0,0,1),1)=1,"Amount; ","")&amp;IF(IFERROR(IF(ISNUMBER(MATCH(N323,Lists!$B$2:$B$7,0)),0,1),1)=1,"Payment; ","")))</f>
        <v/>
      </c>
      <c r="R323" s="3" t="str">
        <f aca="false">IF(D323="","",IF(COUNTIFS($D$2:$D$701,D323,$E$2:$E$701,E323)&gt;1,"DUPLICATE","Unique"))</f>
        <v>Unique</v>
      </c>
    </row>
    <row r="324" customFormat="false" ht="15" hidden="false" customHeight="false" outlineLevel="0" collapsed="false">
      <c r="A324" s="3" t="n">
        <v>323</v>
      </c>
      <c r="B324" s="3" t="n">
        <v>7</v>
      </c>
      <c r="C324" s="3" t="s">
        <v>2363</v>
      </c>
      <c r="D324" s="3" t="s">
        <v>2364</v>
      </c>
      <c r="E324" s="3" t="s">
        <v>2365</v>
      </c>
      <c r="F324" s="3" t="s">
        <v>2366</v>
      </c>
      <c r="G324" s="3" t="s">
        <v>2367</v>
      </c>
      <c r="H324" s="3" t="s">
        <v>1690</v>
      </c>
      <c r="I324" s="3" t="s">
        <v>51</v>
      </c>
      <c r="J324" s="3" t="s">
        <v>2368</v>
      </c>
      <c r="K324" s="3" t="s">
        <v>1725</v>
      </c>
      <c r="L324" s="3" t="s">
        <v>50</v>
      </c>
      <c r="M324" s="3" t="n">
        <v>2256.45</v>
      </c>
      <c r="N324" s="3" t="s">
        <v>40</v>
      </c>
      <c r="O324" s="3" t="n">
        <f aca="false">IFERROR(LEN(C324&amp;D324&amp;E324&amp;F324&amp;G324&amp;H324&amp;I324&amp;J324&amp;K324&amp;L324&amp;M324&amp;N324)/5,0)</f>
        <v>27.6</v>
      </c>
      <c r="P324" s="3" t="str">
        <f aca="false">IF(OR(D324="",C324=""),"",IF((IFERROR(IF(AND(TRIM(D324)=D324,LEN(D324)&gt;0),0,1),1)+IFERROR(IF(AND(LEN(E324)=10,ISNUMBER(VALUE(E324))),0,1),1)+IFERROR(IF(AND(ISNUMBER(SEARCH("@",F324)),ISNUMBER(SEARCH(".",F324))),0,1),1)+IFERROR(IF(AND(LEN(J324)=6,ISNUMBER(VALUE(J324))),0,1),1)+IFERROR(IF(ISNUMBER(MATCH(TRIM(I324),Lists!$A$2:$A$20,0)),0,1),1)+IFERROR(IF(AND(LEN(K324)=10,VALUE(LEFT(K324,FIND("/",K324)-1))&gt;=1,VALUE(LEFT(K324,FIND("/",K324)-1))&lt;=31,VALUE(LEFT(MID(K324,FIND("/",K324)+1,10),FIND("/",MID(K324,FIND("/",K324)+1,10))-1))&gt;=1,VALUE(LEFT(MID(K324,FIND("/",K324)+1,10),FIND("/",MID(K324,FIND("/",K324)+1,10))-1))&lt;=12,VALUE(LEFT(K324,FIND("/",K324)-1))&lt;=DAY(EOMONTH(DATE(VALUE(MID(MID(K324,FIND("/",K324)+1,10),FIND("/",MID(K324,FIND("/",K324)+1,10))+1,4)),VALUE(LEFT(MID(K324,FIND("/",K324)+1,10),FIND("/",MID(K324,FIND("/",K324)+1,10))-1)),1),0))),0,1),1)+IFERROR(IF(M324&gt;=0,0,1),1)+IFERROR(IF(ISNUMBER(MATCH(N324,Lists!$B$2:$B$7,0)),0,1),1))=0,"OK","ERROR"))</f>
        <v>OK</v>
      </c>
      <c r="Q324" s="3" t="str">
        <f aca="false">IF(D324="","",TRIM(IF(IFERROR(IF(AND(TRIM(D324)=D324,LEN(D324)&gt;0),0,1),1)=1,"Name; ","")&amp;IF(IFERROR(IF(AND(LEN(E324)=10,ISNUMBER(VALUE(E324))),0,1),1)=1,"Phone; ","")&amp;IF(IFERROR(IF(AND(ISNUMBER(SEARCH("@",F324)),ISNUMBER(SEARCH(".",F324))),0,1),1)=1,"Email; ","")&amp;IF(IFERROR(IF(AND(LEN(J324)=6,ISNUMBER(VALUE(J324))),0,1),1)=1,"Pincode; ","")&amp;IF(IFERROR(IF(ISNUMBER(MATCH(TRIM(I324),Lists!$A$2:$A$20,0)),0,1),1)=1,"State; ","")&amp;IF(IFERROR(IF(AND(LEN(K324)=10,VALUE(LEFT(K324,FIND("/",K324)-1))&gt;=1,VALUE(LEFT(K324,FIND("/",K324)-1))&lt;=31,VALUE(LEFT(MID(K324,FIND("/",K324)+1,10),FIND("/",MID(K324,FIND("/",K324)+1,10))-1))&gt;=1,VALUE(LEFT(MID(K324,FIND("/",K324)+1,10),FIND("/",MID(K324,FIND("/",K324)+1,10))-1))&lt;=12,VALUE(LEFT(K324,FIND("/",K324)-1))&lt;=DAY(EOMONTH(DATE(VALUE(MID(MID(K324,FIND("/",K324)+1,10),FIND("/",MID(K324,FIND("/",K324)+1,10))+1,4)),VALUE(LEFT(MID(K324,FIND("/",K324)+1,10),FIND("/",MID(K324,FIND("/",K324)+1,10))-1)),1),0))),0,1),1)=1,"Date; ","")&amp;IF(IFERROR(IF(M324&gt;=0,0,1),1)=1,"Amount; ","")&amp;IF(IFERROR(IF(ISNUMBER(MATCH(N324,Lists!$B$2:$B$7,0)),0,1),1)=1,"Payment; ","")))</f>
        <v/>
      </c>
      <c r="R324" s="3" t="str">
        <f aca="false">IF(D324="","",IF(COUNTIFS($D$2:$D$701,D324,$E$2:$E$701,E324)&gt;1,"DUPLICATE","Unique"))</f>
        <v>Unique</v>
      </c>
    </row>
    <row r="325" customFormat="false" ht="15" hidden="false" customHeight="false" outlineLevel="0" collapsed="false">
      <c r="A325" s="3" t="n">
        <v>324</v>
      </c>
      <c r="B325" s="3" t="n">
        <v>7</v>
      </c>
      <c r="C325" s="3" t="s">
        <v>2369</v>
      </c>
      <c r="D325" s="3" t="s">
        <v>2370</v>
      </c>
      <c r="E325" s="3" t="s">
        <v>2371</v>
      </c>
      <c r="F325" s="3" t="s">
        <v>2372</v>
      </c>
      <c r="G325" s="3" t="s">
        <v>2373</v>
      </c>
      <c r="H325" s="3" t="s">
        <v>235</v>
      </c>
      <c r="I325" s="3" t="s">
        <v>71</v>
      </c>
      <c r="J325" s="3" t="s">
        <v>2374</v>
      </c>
      <c r="K325" s="3" t="s">
        <v>112</v>
      </c>
      <c r="L325" s="3" t="s">
        <v>44</v>
      </c>
      <c r="M325" s="3" t="n">
        <v>4965</v>
      </c>
      <c r="N325" s="3" t="s">
        <v>40</v>
      </c>
      <c r="O325" s="3" t="n">
        <f aca="false">IFERROR(LEN(C325&amp;D325&amp;E325&amp;F325&amp;G325&amp;H325&amp;I325&amp;J325&amp;K325&amp;L325&amp;M325&amp;N325)/5,0)</f>
        <v>27.6</v>
      </c>
      <c r="P325" s="3" t="str">
        <f aca="false">IF(OR(D325="",C325=""),"",IF((IFERROR(IF(AND(TRIM(D325)=D325,LEN(D325)&gt;0),0,1),1)+IFERROR(IF(AND(LEN(E325)=10,ISNUMBER(VALUE(E325))),0,1),1)+IFERROR(IF(AND(ISNUMBER(SEARCH("@",F325)),ISNUMBER(SEARCH(".",F325))),0,1),1)+IFERROR(IF(AND(LEN(J325)=6,ISNUMBER(VALUE(J325))),0,1),1)+IFERROR(IF(ISNUMBER(MATCH(TRIM(I325),Lists!$A$2:$A$20,0)),0,1),1)+IFERROR(IF(AND(LEN(K325)=10,VALUE(LEFT(K325,FIND("/",K325)-1))&gt;=1,VALUE(LEFT(K325,FIND("/",K325)-1))&lt;=31,VALUE(LEFT(MID(K325,FIND("/",K325)+1,10),FIND("/",MID(K325,FIND("/",K325)+1,10))-1))&gt;=1,VALUE(LEFT(MID(K325,FIND("/",K325)+1,10),FIND("/",MID(K325,FIND("/",K325)+1,10))-1))&lt;=12,VALUE(LEFT(K325,FIND("/",K325)-1))&lt;=DAY(EOMONTH(DATE(VALUE(MID(MID(K325,FIND("/",K325)+1,10),FIND("/",MID(K325,FIND("/",K325)+1,10))+1,4)),VALUE(LEFT(MID(K325,FIND("/",K325)+1,10),FIND("/",MID(K325,FIND("/",K325)+1,10))-1)),1),0))),0,1),1)+IFERROR(IF(M325&gt;=0,0,1),1)+IFERROR(IF(ISNUMBER(MATCH(N325,Lists!$B$2:$B$7,0)),0,1),1))=0,"OK","ERROR"))</f>
        <v>OK</v>
      </c>
      <c r="Q325" s="3" t="str">
        <f aca="false">IF(D325="","",TRIM(IF(IFERROR(IF(AND(TRIM(D325)=D325,LEN(D325)&gt;0),0,1),1)=1,"Name; ","")&amp;IF(IFERROR(IF(AND(LEN(E325)=10,ISNUMBER(VALUE(E325))),0,1),1)=1,"Phone; ","")&amp;IF(IFERROR(IF(AND(ISNUMBER(SEARCH("@",F325)),ISNUMBER(SEARCH(".",F325))),0,1),1)=1,"Email; ","")&amp;IF(IFERROR(IF(AND(LEN(J325)=6,ISNUMBER(VALUE(J325))),0,1),1)=1,"Pincode; ","")&amp;IF(IFERROR(IF(ISNUMBER(MATCH(TRIM(I325),Lists!$A$2:$A$20,0)),0,1),1)=1,"State; ","")&amp;IF(IFERROR(IF(AND(LEN(K325)=10,VALUE(LEFT(K325,FIND("/",K325)-1))&gt;=1,VALUE(LEFT(K325,FIND("/",K325)-1))&lt;=31,VALUE(LEFT(MID(K325,FIND("/",K325)+1,10),FIND("/",MID(K325,FIND("/",K325)+1,10))-1))&gt;=1,VALUE(LEFT(MID(K325,FIND("/",K325)+1,10),FIND("/",MID(K325,FIND("/",K325)+1,10))-1))&lt;=12,VALUE(LEFT(K325,FIND("/",K325)-1))&lt;=DAY(EOMONTH(DATE(VALUE(MID(MID(K325,FIND("/",K325)+1,10),FIND("/",MID(K325,FIND("/",K325)+1,10))+1,4)),VALUE(LEFT(MID(K325,FIND("/",K325)+1,10),FIND("/",MID(K325,FIND("/",K325)+1,10))-1)),1),0))),0,1),1)=1,"Date; ","")&amp;IF(IFERROR(IF(M325&gt;=0,0,1),1)=1,"Amount; ","")&amp;IF(IFERROR(IF(ISNUMBER(MATCH(N325,Lists!$B$2:$B$7,0)),0,1),1)=1,"Payment; ","")))</f>
        <v/>
      </c>
      <c r="R325" s="3" t="str">
        <f aca="false">IF(D325="","",IF(COUNTIFS($D$2:$D$701,D325,$E$2:$E$701,E325)&gt;1,"DUPLICATE","Unique"))</f>
        <v>Unique</v>
      </c>
    </row>
    <row r="326" customFormat="false" ht="15" hidden="false" customHeight="false" outlineLevel="0" collapsed="false">
      <c r="A326" s="3" t="n">
        <v>325</v>
      </c>
      <c r="B326" s="3" t="n">
        <v>7</v>
      </c>
      <c r="C326" s="3" t="s">
        <v>2375</v>
      </c>
      <c r="D326" s="3" t="s">
        <v>2376</v>
      </c>
      <c r="E326" s="3" t="s">
        <v>2377</v>
      </c>
      <c r="F326" s="3" t="s">
        <v>2378</v>
      </c>
      <c r="G326" s="3" t="s">
        <v>2379</v>
      </c>
      <c r="H326" s="3" t="s">
        <v>102</v>
      </c>
      <c r="I326" s="3" t="s">
        <v>48</v>
      </c>
      <c r="J326" s="3" t="s">
        <v>2380</v>
      </c>
      <c r="K326" s="3" t="s">
        <v>2381</v>
      </c>
      <c r="L326" s="3" t="s">
        <v>64</v>
      </c>
      <c r="M326" s="3" t="n">
        <v>1278.73</v>
      </c>
      <c r="N326" s="3" t="s">
        <v>52</v>
      </c>
      <c r="O326" s="3" t="n">
        <f aca="false">IFERROR(LEN(C326&amp;D326&amp;E326&amp;F326&amp;G326&amp;H326&amp;I326&amp;J326&amp;K326&amp;L326&amp;M326&amp;N326)/5,0)</f>
        <v>24.4</v>
      </c>
      <c r="P326" s="3" t="str">
        <f aca="false">IF(OR(D326="",C326=""),"",IF((IFERROR(IF(AND(TRIM(D326)=D326,LEN(D326)&gt;0),0,1),1)+IFERROR(IF(AND(LEN(E326)=10,ISNUMBER(VALUE(E326))),0,1),1)+IFERROR(IF(AND(ISNUMBER(SEARCH("@",F326)),ISNUMBER(SEARCH(".",F326))),0,1),1)+IFERROR(IF(AND(LEN(J326)=6,ISNUMBER(VALUE(J326))),0,1),1)+IFERROR(IF(ISNUMBER(MATCH(TRIM(I326),Lists!$A$2:$A$20,0)),0,1),1)+IFERROR(IF(AND(LEN(K326)=10,VALUE(LEFT(K326,FIND("/",K326)-1))&gt;=1,VALUE(LEFT(K326,FIND("/",K326)-1))&lt;=31,VALUE(LEFT(MID(K326,FIND("/",K326)+1,10),FIND("/",MID(K326,FIND("/",K326)+1,10))-1))&gt;=1,VALUE(LEFT(MID(K326,FIND("/",K326)+1,10),FIND("/",MID(K326,FIND("/",K326)+1,10))-1))&lt;=12,VALUE(LEFT(K326,FIND("/",K326)-1))&lt;=DAY(EOMONTH(DATE(VALUE(MID(MID(K326,FIND("/",K326)+1,10),FIND("/",MID(K326,FIND("/",K326)+1,10))+1,4)),VALUE(LEFT(MID(K326,FIND("/",K326)+1,10),FIND("/",MID(K326,FIND("/",K326)+1,10))-1)),1),0))),0,1),1)+IFERROR(IF(M326&gt;=0,0,1),1)+IFERROR(IF(ISNUMBER(MATCH(N326,Lists!$B$2:$B$7,0)),0,1),1))=0,"OK","ERROR"))</f>
        <v>OK</v>
      </c>
      <c r="Q326" s="3" t="str">
        <f aca="false">IF(D326="","",TRIM(IF(IFERROR(IF(AND(TRIM(D326)=D326,LEN(D326)&gt;0),0,1),1)=1,"Name; ","")&amp;IF(IFERROR(IF(AND(LEN(E326)=10,ISNUMBER(VALUE(E326))),0,1),1)=1,"Phone; ","")&amp;IF(IFERROR(IF(AND(ISNUMBER(SEARCH("@",F326)),ISNUMBER(SEARCH(".",F326))),0,1),1)=1,"Email; ","")&amp;IF(IFERROR(IF(AND(LEN(J326)=6,ISNUMBER(VALUE(J326))),0,1),1)=1,"Pincode; ","")&amp;IF(IFERROR(IF(ISNUMBER(MATCH(TRIM(I326),Lists!$A$2:$A$20,0)),0,1),1)=1,"State; ","")&amp;IF(IFERROR(IF(AND(LEN(K326)=10,VALUE(LEFT(K326,FIND("/",K326)-1))&gt;=1,VALUE(LEFT(K326,FIND("/",K326)-1))&lt;=31,VALUE(LEFT(MID(K326,FIND("/",K326)+1,10),FIND("/",MID(K326,FIND("/",K326)+1,10))-1))&gt;=1,VALUE(LEFT(MID(K326,FIND("/",K326)+1,10),FIND("/",MID(K326,FIND("/",K326)+1,10))-1))&lt;=12,VALUE(LEFT(K326,FIND("/",K326)-1))&lt;=DAY(EOMONTH(DATE(VALUE(MID(MID(K326,FIND("/",K326)+1,10),FIND("/",MID(K326,FIND("/",K326)+1,10))+1,4)),VALUE(LEFT(MID(K326,FIND("/",K326)+1,10),FIND("/",MID(K326,FIND("/",K326)+1,10))-1)),1),0))),0,1),1)=1,"Date; ","")&amp;IF(IFERROR(IF(M326&gt;=0,0,1),1)=1,"Amount; ","")&amp;IF(IFERROR(IF(ISNUMBER(MATCH(N326,Lists!$B$2:$B$7,0)),0,1),1)=1,"Payment; ","")))</f>
        <v/>
      </c>
      <c r="R326" s="3" t="str">
        <f aca="false">IF(D326="","",IF(COUNTIFS($D$2:$D$701,D326,$E$2:$E$701,E326)&gt;1,"DUPLICATE","Unique"))</f>
        <v>Unique</v>
      </c>
    </row>
    <row r="327" customFormat="false" ht="15" hidden="false" customHeight="false" outlineLevel="0" collapsed="false">
      <c r="A327" s="3" t="n">
        <v>326</v>
      </c>
      <c r="B327" s="3" t="n">
        <v>7</v>
      </c>
      <c r="C327" s="3" t="s">
        <v>2382</v>
      </c>
      <c r="D327" s="3" t="s">
        <v>2383</v>
      </c>
      <c r="E327" s="3" t="s">
        <v>2384</v>
      </c>
      <c r="F327" s="3" t="s">
        <v>2385</v>
      </c>
      <c r="G327" s="3" t="s">
        <v>2386</v>
      </c>
      <c r="H327" s="3" t="s">
        <v>2387</v>
      </c>
      <c r="I327" s="3" t="s">
        <v>39</v>
      </c>
      <c r="J327" s="3" t="s">
        <v>2388</v>
      </c>
      <c r="K327" s="3" t="s">
        <v>1692</v>
      </c>
      <c r="L327" s="3" t="s">
        <v>58</v>
      </c>
      <c r="M327" s="3" t="n">
        <v>3584.53</v>
      </c>
      <c r="N327" s="3" t="s">
        <v>43</v>
      </c>
      <c r="O327" s="3" t="n">
        <f aca="false">IFERROR(LEN(C327&amp;D327&amp;E327&amp;F327&amp;G327&amp;H327&amp;I327&amp;J327&amp;K327&amp;L327&amp;M327&amp;N327)/5,0)</f>
        <v>26.8</v>
      </c>
      <c r="P327" s="3" t="str">
        <f aca="false">IF(OR(D327="",C327=""),"",IF((IFERROR(IF(AND(TRIM(D327)=D327,LEN(D327)&gt;0),0,1),1)+IFERROR(IF(AND(LEN(E327)=10,ISNUMBER(VALUE(E327))),0,1),1)+IFERROR(IF(AND(ISNUMBER(SEARCH("@",F327)),ISNUMBER(SEARCH(".",F327))),0,1),1)+IFERROR(IF(AND(LEN(J327)=6,ISNUMBER(VALUE(J327))),0,1),1)+IFERROR(IF(ISNUMBER(MATCH(TRIM(I327),Lists!$A$2:$A$20,0)),0,1),1)+IFERROR(IF(AND(LEN(K327)=10,VALUE(LEFT(K327,FIND("/",K327)-1))&gt;=1,VALUE(LEFT(K327,FIND("/",K327)-1))&lt;=31,VALUE(LEFT(MID(K327,FIND("/",K327)+1,10),FIND("/",MID(K327,FIND("/",K327)+1,10))-1))&gt;=1,VALUE(LEFT(MID(K327,FIND("/",K327)+1,10),FIND("/",MID(K327,FIND("/",K327)+1,10))-1))&lt;=12,VALUE(LEFT(K327,FIND("/",K327)-1))&lt;=DAY(EOMONTH(DATE(VALUE(MID(MID(K327,FIND("/",K327)+1,10),FIND("/",MID(K327,FIND("/",K327)+1,10))+1,4)),VALUE(LEFT(MID(K327,FIND("/",K327)+1,10),FIND("/",MID(K327,FIND("/",K327)+1,10))-1)),1),0))),0,1),1)+IFERROR(IF(M327&gt;=0,0,1),1)+IFERROR(IF(ISNUMBER(MATCH(N327,Lists!$B$2:$B$7,0)),0,1),1))=0,"OK","ERROR"))</f>
        <v>OK</v>
      </c>
      <c r="Q327" s="3" t="str">
        <f aca="false">IF(D327="","",TRIM(IF(IFERROR(IF(AND(TRIM(D327)=D327,LEN(D327)&gt;0),0,1),1)=1,"Name; ","")&amp;IF(IFERROR(IF(AND(LEN(E327)=10,ISNUMBER(VALUE(E327))),0,1),1)=1,"Phone; ","")&amp;IF(IFERROR(IF(AND(ISNUMBER(SEARCH("@",F327)),ISNUMBER(SEARCH(".",F327))),0,1),1)=1,"Email; ","")&amp;IF(IFERROR(IF(AND(LEN(J327)=6,ISNUMBER(VALUE(J327))),0,1),1)=1,"Pincode; ","")&amp;IF(IFERROR(IF(ISNUMBER(MATCH(TRIM(I327),Lists!$A$2:$A$20,0)),0,1),1)=1,"State; ","")&amp;IF(IFERROR(IF(AND(LEN(K327)=10,VALUE(LEFT(K327,FIND("/",K327)-1))&gt;=1,VALUE(LEFT(K327,FIND("/",K327)-1))&lt;=31,VALUE(LEFT(MID(K327,FIND("/",K327)+1,10),FIND("/",MID(K327,FIND("/",K327)+1,10))-1))&gt;=1,VALUE(LEFT(MID(K327,FIND("/",K327)+1,10),FIND("/",MID(K327,FIND("/",K327)+1,10))-1))&lt;=12,VALUE(LEFT(K327,FIND("/",K327)-1))&lt;=DAY(EOMONTH(DATE(VALUE(MID(MID(K327,FIND("/",K327)+1,10),FIND("/",MID(K327,FIND("/",K327)+1,10))+1,4)),VALUE(LEFT(MID(K327,FIND("/",K327)+1,10),FIND("/",MID(K327,FIND("/",K327)+1,10))-1)),1),0))),0,1),1)=1,"Date; ","")&amp;IF(IFERROR(IF(M327&gt;=0,0,1),1)=1,"Amount; ","")&amp;IF(IFERROR(IF(ISNUMBER(MATCH(N327,Lists!$B$2:$B$7,0)),0,1),1)=1,"Payment; ","")))</f>
        <v/>
      </c>
      <c r="R327" s="3" t="str">
        <f aca="false">IF(D327="","",IF(COUNTIFS($D$2:$D$701,D327,$E$2:$E$701,E327)&gt;1,"DUPLICATE","Unique"))</f>
        <v>Unique</v>
      </c>
    </row>
    <row r="328" customFormat="false" ht="15" hidden="false" customHeight="false" outlineLevel="0" collapsed="false">
      <c r="A328" s="3" t="n">
        <v>327</v>
      </c>
      <c r="B328" s="3" t="n">
        <v>7</v>
      </c>
      <c r="C328" s="3" t="s">
        <v>2389</v>
      </c>
      <c r="D328" s="3" t="s">
        <v>2390</v>
      </c>
      <c r="E328" s="3" t="s">
        <v>2391</v>
      </c>
      <c r="F328" s="3" t="s">
        <v>2392</v>
      </c>
      <c r="G328" s="3" t="s">
        <v>2393</v>
      </c>
      <c r="H328" s="3" t="s">
        <v>110</v>
      </c>
      <c r="I328" s="3" t="s">
        <v>71</v>
      </c>
      <c r="J328" s="3" t="s">
        <v>2394</v>
      </c>
      <c r="K328" s="3" t="s">
        <v>1602</v>
      </c>
      <c r="L328" s="3" t="s">
        <v>60</v>
      </c>
      <c r="M328" s="3" t="n">
        <v>9685.15</v>
      </c>
      <c r="N328" s="3" t="s">
        <v>46</v>
      </c>
      <c r="O328" s="3" t="n">
        <f aca="false">IFERROR(LEN(C328&amp;D328&amp;E328&amp;F328&amp;G328&amp;H328&amp;I328&amp;J328&amp;K328&amp;L328&amp;M328&amp;N328)/5,0)</f>
        <v>26.8</v>
      </c>
      <c r="P328" s="3" t="str">
        <f aca="false">IF(OR(D328="",C328=""),"",IF((IFERROR(IF(AND(TRIM(D328)=D328,LEN(D328)&gt;0),0,1),1)+IFERROR(IF(AND(LEN(E328)=10,ISNUMBER(VALUE(E328))),0,1),1)+IFERROR(IF(AND(ISNUMBER(SEARCH("@",F328)),ISNUMBER(SEARCH(".",F328))),0,1),1)+IFERROR(IF(AND(LEN(J328)=6,ISNUMBER(VALUE(J328))),0,1),1)+IFERROR(IF(ISNUMBER(MATCH(TRIM(I328),Lists!$A$2:$A$20,0)),0,1),1)+IFERROR(IF(AND(LEN(K328)=10,VALUE(LEFT(K328,FIND("/",K328)-1))&gt;=1,VALUE(LEFT(K328,FIND("/",K328)-1))&lt;=31,VALUE(LEFT(MID(K328,FIND("/",K328)+1,10),FIND("/",MID(K328,FIND("/",K328)+1,10))-1))&gt;=1,VALUE(LEFT(MID(K328,FIND("/",K328)+1,10),FIND("/",MID(K328,FIND("/",K328)+1,10))-1))&lt;=12,VALUE(LEFT(K328,FIND("/",K328)-1))&lt;=DAY(EOMONTH(DATE(VALUE(MID(MID(K328,FIND("/",K328)+1,10),FIND("/",MID(K328,FIND("/",K328)+1,10))+1,4)),VALUE(LEFT(MID(K328,FIND("/",K328)+1,10),FIND("/",MID(K328,FIND("/",K328)+1,10))-1)),1),0))),0,1),1)+IFERROR(IF(M328&gt;=0,0,1),1)+IFERROR(IF(ISNUMBER(MATCH(N328,Lists!$B$2:$B$7,0)),0,1),1))=0,"OK","ERROR"))</f>
        <v>OK</v>
      </c>
      <c r="Q328" s="3" t="str">
        <f aca="false">IF(D328="","",TRIM(IF(IFERROR(IF(AND(TRIM(D328)=D328,LEN(D328)&gt;0),0,1),1)=1,"Name; ","")&amp;IF(IFERROR(IF(AND(LEN(E328)=10,ISNUMBER(VALUE(E328))),0,1),1)=1,"Phone; ","")&amp;IF(IFERROR(IF(AND(ISNUMBER(SEARCH("@",F328)),ISNUMBER(SEARCH(".",F328))),0,1),1)=1,"Email; ","")&amp;IF(IFERROR(IF(AND(LEN(J328)=6,ISNUMBER(VALUE(J328))),0,1),1)=1,"Pincode; ","")&amp;IF(IFERROR(IF(ISNUMBER(MATCH(TRIM(I328),Lists!$A$2:$A$20,0)),0,1),1)=1,"State; ","")&amp;IF(IFERROR(IF(AND(LEN(K328)=10,VALUE(LEFT(K328,FIND("/",K328)-1))&gt;=1,VALUE(LEFT(K328,FIND("/",K328)-1))&lt;=31,VALUE(LEFT(MID(K328,FIND("/",K328)+1,10),FIND("/",MID(K328,FIND("/",K328)+1,10))-1))&gt;=1,VALUE(LEFT(MID(K328,FIND("/",K328)+1,10),FIND("/",MID(K328,FIND("/",K328)+1,10))-1))&lt;=12,VALUE(LEFT(K328,FIND("/",K328)-1))&lt;=DAY(EOMONTH(DATE(VALUE(MID(MID(K328,FIND("/",K328)+1,10),FIND("/",MID(K328,FIND("/",K328)+1,10))+1,4)),VALUE(LEFT(MID(K328,FIND("/",K328)+1,10),FIND("/",MID(K328,FIND("/",K328)+1,10))-1)),1),0))),0,1),1)=1,"Date; ","")&amp;IF(IFERROR(IF(M328&gt;=0,0,1),1)=1,"Amount; ","")&amp;IF(IFERROR(IF(ISNUMBER(MATCH(N328,Lists!$B$2:$B$7,0)),0,1),1)=1,"Payment; ","")))</f>
        <v/>
      </c>
      <c r="R328" s="3" t="str">
        <f aca="false">IF(D328="","",IF(COUNTIFS($D$2:$D$701,D328,$E$2:$E$701,E328)&gt;1,"DUPLICATE","Unique"))</f>
        <v>Unique</v>
      </c>
    </row>
    <row r="329" customFormat="false" ht="15" hidden="false" customHeight="false" outlineLevel="0" collapsed="false">
      <c r="A329" s="3" t="n">
        <v>328</v>
      </c>
      <c r="B329" s="3" t="n">
        <v>7</v>
      </c>
      <c r="C329" s="3" t="s">
        <v>2395</v>
      </c>
      <c r="D329" s="3" t="s">
        <v>2396</v>
      </c>
      <c r="E329" s="3" t="s">
        <v>2397</v>
      </c>
      <c r="F329" s="3" t="s">
        <v>2398</v>
      </c>
      <c r="G329" s="3" t="s">
        <v>2399</v>
      </c>
      <c r="H329" s="3" t="s">
        <v>385</v>
      </c>
      <c r="I329" s="3" t="s">
        <v>73</v>
      </c>
      <c r="J329" s="3" t="s">
        <v>2400</v>
      </c>
      <c r="K329" s="3" t="s">
        <v>2401</v>
      </c>
      <c r="L329" s="3" t="s">
        <v>58</v>
      </c>
      <c r="M329" s="3" t="n">
        <v>11180.59</v>
      </c>
      <c r="N329" s="3" t="s">
        <v>40</v>
      </c>
      <c r="O329" s="3" t="n">
        <f aca="false">IFERROR(LEN(C329&amp;D329&amp;E329&amp;F329&amp;G329&amp;H329&amp;I329&amp;J329&amp;K329&amp;L329&amp;M329&amp;N329)/5,0)</f>
        <v>26</v>
      </c>
      <c r="P329" s="3" t="str">
        <f aca="false">IF(OR(D329="",C329=""),"",IF((IFERROR(IF(AND(TRIM(D329)=D329,LEN(D329)&gt;0),0,1),1)+IFERROR(IF(AND(LEN(E329)=10,ISNUMBER(VALUE(E329))),0,1),1)+IFERROR(IF(AND(ISNUMBER(SEARCH("@",F329)),ISNUMBER(SEARCH(".",F329))),0,1),1)+IFERROR(IF(AND(LEN(J329)=6,ISNUMBER(VALUE(J329))),0,1),1)+IFERROR(IF(ISNUMBER(MATCH(TRIM(I329),Lists!$A$2:$A$20,0)),0,1),1)+IFERROR(IF(AND(LEN(K329)=10,VALUE(LEFT(K329,FIND("/",K329)-1))&gt;=1,VALUE(LEFT(K329,FIND("/",K329)-1))&lt;=31,VALUE(LEFT(MID(K329,FIND("/",K329)+1,10),FIND("/",MID(K329,FIND("/",K329)+1,10))-1))&gt;=1,VALUE(LEFT(MID(K329,FIND("/",K329)+1,10),FIND("/",MID(K329,FIND("/",K329)+1,10))-1))&lt;=12,VALUE(LEFT(K329,FIND("/",K329)-1))&lt;=DAY(EOMONTH(DATE(VALUE(MID(MID(K329,FIND("/",K329)+1,10),FIND("/",MID(K329,FIND("/",K329)+1,10))+1,4)),VALUE(LEFT(MID(K329,FIND("/",K329)+1,10),FIND("/",MID(K329,FIND("/",K329)+1,10))-1)),1),0))),0,1),1)+IFERROR(IF(M329&gt;=0,0,1),1)+IFERROR(IF(ISNUMBER(MATCH(N329,Lists!$B$2:$B$7,0)),0,1),1))=0,"OK","ERROR"))</f>
        <v>OK</v>
      </c>
      <c r="Q329" s="3" t="str">
        <f aca="false">IF(D329="","",TRIM(IF(IFERROR(IF(AND(TRIM(D329)=D329,LEN(D329)&gt;0),0,1),1)=1,"Name; ","")&amp;IF(IFERROR(IF(AND(LEN(E329)=10,ISNUMBER(VALUE(E329))),0,1),1)=1,"Phone; ","")&amp;IF(IFERROR(IF(AND(ISNUMBER(SEARCH("@",F329)),ISNUMBER(SEARCH(".",F329))),0,1),1)=1,"Email; ","")&amp;IF(IFERROR(IF(AND(LEN(J329)=6,ISNUMBER(VALUE(J329))),0,1),1)=1,"Pincode; ","")&amp;IF(IFERROR(IF(ISNUMBER(MATCH(TRIM(I329),Lists!$A$2:$A$20,0)),0,1),1)=1,"State; ","")&amp;IF(IFERROR(IF(AND(LEN(K329)=10,VALUE(LEFT(K329,FIND("/",K329)-1))&gt;=1,VALUE(LEFT(K329,FIND("/",K329)-1))&lt;=31,VALUE(LEFT(MID(K329,FIND("/",K329)+1,10),FIND("/",MID(K329,FIND("/",K329)+1,10))-1))&gt;=1,VALUE(LEFT(MID(K329,FIND("/",K329)+1,10),FIND("/",MID(K329,FIND("/",K329)+1,10))-1))&lt;=12,VALUE(LEFT(K329,FIND("/",K329)-1))&lt;=DAY(EOMONTH(DATE(VALUE(MID(MID(K329,FIND("/",K329)+1,10),FIND("/",MID(K329,FIND("/",K329)+1,10))+1,4)),VALUE(LEFT(MID(K329,FIND("/",K329)+1,10),FIND("/",MID(K329,FIND("/",K329)+1,10))-1)),1),0))),0,1),1)=1,"Date; ","")&amp;IF(IFERROR(IF(M329&gt;=0,0,1),1)=1,"Amount; ","")&amp;IF(IFERROR(IF(ISNUMBER(MATCH(N329,Lists!$B$2:$B$7,0)),0,1),1)=1,"Payment; ","")))</f>
        <v/>
      </c>
      <c r="R329" s="3" t="str">
        <f aca="false">IF(D329="","",IF(COUNTIFS($D$2:$D$701,D329,$E$2:$E$701,E329)&gt;1,"DUPLICATE","Unique"))</f>
        <v>Unique</v>
      </c>
    </row>
    <row r="330" customFormat="false" ht="15" hidden="false" customHeight="false" outlineLevel="0" collapsed="false">
      <c r="A330" s="3" t="n">
        <v>329</v>
      </c>
      <c r="B330" s="3" t="n">
        <v>7</v>
      </c>
      <c r="C330" s="3" t="s">
        <v>2402</v>
      </c>
      <c r="D330" s="3" t="s">
        <v>2403</v>
      </c>
      <c r="E330" s="3" t="s">
        <v>2404</v>
      </c>
      <c r="F330" s="3" t="s">
        <v>2405</v>
      </c>
      <c r="G330" s="3" t="s">
        <v>2406</v>
      </c>
      <c r="H330" s="3" t="s">
        <v>1094</v>
      </c>
      <c r="I330" s="3" t="s">
        <v>54</v>
      </c>
      <c r="J330" s="3" t="s">
        <v>2407</v>
      </c>
      <c r="K330" s="3" t="s">
        <v>2408</v>
      </c>
      <c r="L330" s="3" t="s">
        <v>58</v>
      </c>
      <c r="M330" s="3" t="n">
        <v>15801.87</v>
      </c>
      <c r="N330" s="3" t="s">
        <v>52</v>
      </c>
      <c r="O330" s="3" t="n">
        <f aca="false">IFERROR(LEN(C330&amp;D330&amp;E330&amp;F330&amp;G330&amp;H330&amp;I330&amp;J330&amp;K330&amp;L330&amp;M330&amp;N330)/5,0)</f>
        <v>28.6</v>
      </c>
      <c r="P330" s="3" t="str">
        <f aca="false">IF(OR(D330="",C330=""),"",IF((IFERROR(IF(AND(TRIM(D330)=D330,LEN(D330)&gt;0),0,1),1)+IFERROR(IF(AND(LEN(E330)=10,ISNUMBER(VALUE(E330))),0,1),1)+IFERROR(IF(AND(ISNUMBER(SEARCH("@",F330)),ISNUMBER(SEARCH(".",F330))),0,1),1)+IFERROR(IF(AND(LEN(J330)=6,ISNUMBER(VALUE(J330))),0,1),1)+IFERROR(IF(ISNUMBER(MATCH(TRIM(I330),Lists!$A$2:$A$20,0)),0,1),1)+IFERROR(IF(AND(LEN(K330)=10,VALUE(LEFT(K330,FIND("/",K330)-1))&gt;=1,VALUE(LEFT(K330,FIND("/",K330)-1))&lt;=31,VALUE(LEFT(MID(K330,FIND("/",K330)+1,10),FIND("/",MID(K330,FIND("/",K330)+1,10))-1))&gt;=1,VALUE(LEFT(MID(K330,FIND("/",K330)+1,10),FIND("/",MID(K330,FIND("/",K330)+1,10))-1))&lt;=12,VALUE(LEFT(K330,FIND("/",K330)-1))&lt;=DAY(EOMONTH(DATE(VALUE(MID(MID(K330,FIND("/",K330)+1,10),FIND("/",MID(K330,FIND("/",K330)+1,10))+1,4)),VALUE(LEFT(MID(K330,FIND("/",K330)+1,10),FIND("/",MID(K330,FIND("/",K330)+1,10))-1)),1),0))),0,1),1)+IFERROR(IF(M330&gt;=0,0,1),1)+IFERROR(IF(ISNUMBER(MATCH(N330,Lists!$B$2:$B$7,0)),0,1),1))=0,"OK","ERROR"))</f>
        <v>OK</v>
      </c>
      <c r="Q330" s="3" t="str">
        <f aca="false">IF(D330="","",TRIM(IF(IFERROR(IF(AND(TRIM(D330)=D330,LEN(D330)&gt;0),0,1),1)=1,"Name; ","")&amp;IF(IFERROR(IF(AND(LEN(E330)=10,ISNUMBER(VALUE(E330))),0,1),1)=1,"Phone; ","")&amp;IF(IFERROR(IF(AND(ISNUMBER(SEARCH("@",F330)),ISNUMBER(SEARCH(".",F330))),0,1),1)=1,"Email; ","")&amp;IF(IFERROR(IF(AND(LEN(J330)=6,ISNUMBER(VALUE(J330))),0,1),1)=1,"Pincode; ","")&amp;IF(IFERROR(IF(ISNUMBER(MATCH(TRIM(I330),Lists!$A$2:$A$20,0)),0,1),1)=1,"State; ","")&amp;IF(IFERROR(IF(AND(LEN(K330)=10,VALUE(LEFT(K330,FIND("/",K330)-1))&gt;=1,VALUE(LEFT(K330,FIND("/",K330)-1))&lt;=31,VALUE(LEFT(MID(K330,FIND("/",K330)+1,10),FIND("/",MID(K330,FIND("/",K330)+1,10))-1))&gt;=1,VALUE(LEFT(MID(K330,FIND("/",K330)+1,10),FIND("/",MID(K330,FIND("/",K330)+1,10))-1))&lt;=12,VALUE(LEFT(K330,FIND("/",K330)-1))&lt;=DAY(EOMONTH(DATE(VALUE(MID(MID(K330,FIND("/",K330)+1,10),FIND("/",MID(K330,FIND("/",K330)+1,10))+1,4)),VALUE(LEFT(MID(K330,FIND("/",K330)+1,10),FIND("/",MID(K330,FIND("/",K330)+1,10))-1)),1),0))),0,1),1)=1,"Date; ","")&amp;IF(IFERROR(IF(M330&gt;=0,0,1),1)=1,"Amount; ","")&amp;IF(IFERROR(IF(ISNUMBER(MATCH(N330,Lists!$B$2:$B$7,0)),0,1),1)=1,"Payment; ","")))</f>
        <v/>
      </c>
      <c r="R330" s="3" t="str">
        <f aca="false">IF(D330="","",IF(COUNTIFS($D$2:$D$701,D330,$E$2:$E$701,E330)&gt;1,"DUPLICATE","Unique"))</f>
        <v>Unique</v>
      </c>
    </row>
    <row r="331" customFormat="false" ht="15" hidden="false" customHeight="false" outlineLevel="0" collapsed="false">
      <c r="A331" s="3" t="n">
        <v>330</v>
      </c>
      <c r="B331" s="3" t="n">
        <v>7</v>
      </c>
      <c r="C331" s="3" t="s">
        <v>2409</v>
      </c>
      <c r="D331" s="3" t="s">
        <v>2410</v>
      </c>
      <c r="E331" s="3" t="s">
        <v>2411</v>
      </c>
      <c r="F331" s="3" t="s">
        <v>2412</v>
      </c>
      <c r="G331" s="3" t="s">
        <v>2413</v>
      </c>
      <c r="H331" s="3" t="s">
        <v>878</v>
      </c>
      <c r="I331" s="3" t="s">
        <v>61</v>
      </c>
      <c r="J331" s="3" t="s">
        <v>2414</v>
      </c>
      <c r="K331" s="3" t="s">
        <v>474</v>
      </c>
      <c r="L331" s="3" t="s">
        <v>47</v>
      </c>
      <c r="M331" s="3" t="n">
        <v>4982.49</v>
      </c>
      <c r="N331" s="3" t="s">
        <v>52</v>
      </c>
      <c r="O331" s="3" t="n">
        <f aca="false">IFERROR(LEN(C331&amp;D331&amp;E331&amp;F331&amp;G331&amp;H331&amp;I331&amp;J331&amp;K331&amp;L331&amp;M331&amp;N331)/5,0)</f>
        <v>28.8</v>
      </c>
      <c r="P331" s="3" t="str">
        <f aca="false">IF(OR(D331="",C331=""),"",IF((IFERROR(IF(AND(TRIM(D331)=D331,LEN(D331)&gt;0),0,1),1)+IFERROR(IF(AND(LEN(E331)=10,ISNUMBER(VALUE(E331))),0,1),1)+IFERROR(IF(AND(ISNUMBER(SEARCH("@",F331)),ISNUMBER(SEARCH(".",F331))),0,1),1)+IFERROR(IF(AND(LEN(J331)=6,ISNUMBER(VALUE(J331))),0,1),1)+IFERROR(IF(ISNUMBER(MATCH(TRIM(I331),Lists!$A$2:$A$20,0)),0,1),1)+IFERROR(IF(AND(LEN(K331)=10,VALUE(LEFT(K331,FIND("/",K331)-1))&gt;=1,VALUE(LEFT(K331,FIND("/",K331)-1))&lt;=31,VALUE(LEFT(MID(K331,FIND("/",K331)+1,10),FIND("/",MID(K331,FIND("/",K331)+1,10))-1))&gt;=1,VALUE(LEFT(MID(K331,FIND("/",K331)+1,10),FIND("/",MID(K331,FIND("/",K331)+1,10))-1))&lt;=12,VALUE(LEFT(K331,FIND("/",K331)-1))&lt;=DAY(EOMONTH(DATE(VALUE(MID(MID(K331,FIND("/",K331)+1,10),FIND("/",MID(K331,FIND("/",K331)+1,10))+1,4)),VALUE(LEFT(MID(K331,FIND("/",K331)+1,10),FIND("/",MID(K331,FIND("/",K331)+1,10))-1)),1),0))),0,1),1)+IFERROR(IF(M331&gt;=0,0,1),1)+IFERROR(IF(ISNUMBER(MATCH(N331,Lists!$B$2:$B$7,0)),0,1),1))=0,"OK","ERROR"))</f>
        <v>OK</v>
      </c>
      <c r="Q331" s="3" t="str">
        <f aca="false">IF(D331="","",TRIM(IF(IFERROR(IF(AND(TRIM(D331)=D331,LEN(D331)&gt;0),0,1),1)=1,"Name; ","")&amp;IF(IFERROR(IF(AND(LEN(E331)=10,ISNUMBER(VALUE(E331))),0,1),1)=1,"Phone; ","")&amp;IF(IFERROR(IF(AND(ISNUMBER(SEARCH("@",F331)),ISNUMBER(SEARCH(".",F331))),0,1),1)=1,"Email; ","")&amp;IF(IFERROR(IF(AND(LEN(J331)=6,ISNUMBER(VALUE(J331))),0,1),1)=1,"Pincode; ","")&amp;IF(IFERROR(IF(ISNUMBER(MATCH(TRIM(I331),Lists!$A$2:$A$20,0)),0,1),1)=1,"State; ","")&amp;IF(IFERROR(IF(AND(LEN(K331)=10,VALUE(LEFT(K331,FIND("/",K331)-1))&gt;=1,VALUE(LEFT(K331,FIND("/",K331)-1))&lt;=31,VALUE(LEFT(MID(K331,FIND("/",K331)+1,10),FIND("/",MID(K331,FIND("/",K331)+1,10))-1))&gt;=1,VALUE(LEFT(MID(K331,FIND("/",K331)+1,10),FIND("/",MID(K331,FIND("/",K331)+1,10))-1))&lt;=12,VALUE(LEFT(K331,FIND("/",K331)-1))&lt;=DAY(EOMONTH(DATE(VALUE(MID(MID(K331,FIND("/",K331)+1,10),FIND("/",MID(K331,FIND("/",K331)+1,10))+1,4)),VALUE(LEFT(MID(K331,FIND("/",K331)+1,10),FIND("/",MID(K331,FIND("/",K331)+1,10))-1)),1),0))),0,1),1)=1,"Date; ","")&amp;IF(IFERROR(IF(M331&gt;=0,0,1),1)=1,"Amount; ","")&amp;IF(IFERROR(IF(ISNUMBER(MATCH(N331,Lists!$B$2:$B$7,0)),0,1),1)=1,"Payment; ","")))</f>
        <v/>
      </c>
      <c r="R331" s="3" t="str">
        <f aca="false">IF(D331="","",IF(COUNTIFS($D$2:$D$701,D331,$E$2:$E$701,E331)&gt;1,"DUPLICATE","Unique"))</f>
        <v>Unique</v>
      </c>
    </row>
    <row r="332" customFormat="false" ht="15" hidden="false" customHeight="false" outlineLevel="0" collapsed="false">
      <c r="A332" s="3" t="n">
        <v>331</v>
      </c>
      <c r="B332" s="3" t="n">
        <v>7</v>
      </c>
      <c r="C332" s="3" t="s">
        <v>2415</v>
      </c>
      <c r="D332" s="3" t="s">
        <v>2416</v>
      </c>
      <c r="E332" s="3" t="s">
        <v>2417</v>
      </c>
      <c r="F332" s="3" t="s">
        <v>2418</v>
      </c>
      <c r="G332" s="3" t="s">
        <v>2419</v>
      </c>
      <c r="H332" s="3" t="s">
        <v>102</v>
      </c>
      <c r="I332" s="3" t="s">
        <v>48</v>
      </c>
      <c r="J332" s="3" t="s">
        <v>2420</v>
      </c>
      <c r="K332" s="3" t="s">
        <v>2421</v>
      </c>
      <c r="L332" s="3" t="s">
        <v>60</v>
      </c>
      <c r="M332" s="3" t="n">
        <v>5169.04</v>
      </c>
      <c r="N332" s="3" t="s">
        <v>49</v>
      </c>
      <c r="O332" s="3" t="n">
        <f aca="false">IFERROR(LEN(C332&amp;D332&amp;E332&amp;F332&amp;G332&amp;H332&amp;I332&amp;J332&amp;K332&amp;L332&amp;M332&amp;N332)/5,0)</f>
        <v>27</v>
      </c>
      <c r="P332" s="3" t="str">
        <f aca="false">IF(OR(D332="",C332=""),"",IF((IFERROR(IF(AND(TRIM(D332)=D332,LEN(D332)&gt;0),0,1),1)+IFERROR(IF(AND(LEN(E332)=10,ISNUMBER(VALUE(E332))),0,1),1)+IFERROR(IF(AND(ISNUMBER(SEARCH("@",F332)),ISNUMBER(SEARCH(".",F332))),0,1),1)+IFERROR(IF(AND(LEN(J332)=6,ISNUMBER(VALUE(J332))),0,1),1)+IFERROR(IF(ISNUMBER(MATCH(TRIM(I332),Lists!$A$2:$A$20,0)),0,1),1)+IFERROR(IF(AND(LEN(K332)=10,VALUE(LEFT(K332,FIND("/",K332)-1))&gt;=1,VALUE(LEFT(K332,FIND("/",K332)-1))&lt;=31,VALUE(LEFT(MID(K332,FIND("/",K332)+1,10),FIND("/",MID(K332,FIND("/",K332)+1,10))-1))&gt;=1,VALUE(LEFT(MID(K332,FIND("/",K332)+1,10),FIND("/",MID(K332,FIND("/",K332)+1,10))-1))&lt;=12,VALUE(LEFT(K332,FIND("/",K332)-1))&lt;=DAY(EOMONTH(DATE(VALUE(MID(MID(K332,FIND("/",K332)+1,10),FIND("/",MID(K332,FIND("/",K332)+1,10))+1,4)),VALUE(LEFT(MID(K332,FIND("/",K332)+1,10),FIND("/",MID(K332,FIND("/",K332)+1,10))-1)),1),0))),0,1),1)+IFERROR(IF(M332&gt;=0,0,1),1)+IFERROR(IF(ISNUMBER(MATCH(N332,Lists!$B$2:$B$7,0)),0,1),1))=0,"OK","ERROR"))</f>
        <v>OK</v>
      </c>
      <c r="Q332" s="3" t="str">
        <f aca="false">IF(D332="","",TRIM(IF(IFERROR(IF(AND(TRIM(D332)=D332,LEN(D332)&gt;0),0,1),1)=1,"Name; ","")&amp;IF(IFERROR(IF(AND(LEN(E332)=10,ISNUMBER(VALUE(E332))),0,1),1)=1,"Phone; ","")&amp;IF(IFERROR(IF(AND(ISNUMBER(SEARCH("@",F332)),ISNUMBER(SEARCH(".",F332))),0,1),1)=1,"Email; ","")&amp;IF(IFERROR(IF(AND(LEN(J332)=6,ISNUMBER(VALUE(J332))),0,1),1)=1,"Pincode; ","")&amp;IF(IFERROR(IF(ISNUMBER(MATCH(TRIM(I332),Lists!$A$2:$A$20,0)),0,1),1)=1,"State; ","")&amp;IF(IFERROR(IF(AND(LEN(K332)=10,VALUE(LEFT(K332,FIND("/",K332)-1))&gt;=1,VALUE(LEFT(K332,FIND("/",K332)-1))&lt;=31,VALUE(LEFT(MID(K332,FIND("/",K332)+1,10),FIND("/",MID(K332,FIND("/",K332)+1,10))-1))&gt;=1,VALUE(LEFT(MID(K332,FIND("/",K332)+1,10),FIND("/",MID(K332,FIND("/",K332)+1,10))-1))&lt;=12,VALUE(LEFT(K332,FIND("/",K332)-1))&lt;=DAY(EOMONTH(DATE(VALUE(MID(MID(K332,FIND("/",K332)+1,10),FIND("/",MID(K332,FIND("/",K332)+1,10))+1,4)),VALUE(LEFT(MID(K332,FIND("/",K332)+1,10),FIND("/",MID(K332,FIND("/",K332)+1,10))-1)),1),0))),0,1),1)=1,"Date; ","")&amp;IF(IFERROR(IF(M332&gt;=0,0,1),1)=1,"Amount; ","")&amp;IF(IFERROR(IF(ISNUMBER(MATCH(N332,Lists!$B$2:$B$7,0)),0,1),1)=1,"Payment; ","")))</f>
        <v/>
      </c>
      <c r="R332" s="3" t="str">
        <f aca="false">IF(D332="","",IF(COUNTIFS($D$2:$D$701,D332,$E$2:$E$701,E332)&gt;1,"DUPLICATE","Unique"))</f>
        <v>Unique</v>
      </c>
    </row>
    <row r="333" customFormat="false" ht="15" hidden="false" customHeight="false" outlineLevel="0" collapsed="false">
      <c r="A333" s="3" t="n">
        <v>332</v>
      </c>
      <c r="B333" s="3" t="n">
        <v>7</v>
      </c>
      <c r="C333" s="3" t="s">
        <v>2422</v>
      </c>
      <c r="D333" s="3" t="s">
        <v>2423</v>
      </c>
      <c r="E333" s="3" t="s">
        <v>2424</v>
      </c>
      <c r="F333" s="3" t="s">
        <v>2425</v>
      </c>
      <c r="G333" s="3" t="s">
        <v>2426</v>
      </c>
      <c r="H333" s="3" t="s">
        <v>502</v>
      </c>
      <c r="I333" s="3" t="s">
        <v>73</v>
      </c>
      <c r="J333" s="3" t="s">
        <v>2427</v>
      </c>
      <c r="K333" s="3" t="s">
        <v>606</v>
      </c>
      <c r="L333" s="3" t="s">
        <v>62</v>
      </c>
      <c r="M333" s="3" t="n">
        <v>13697.75</v>
      </c>
      <c r="N333" s="3" t="s">
        <v>52</v>
      </c>
      <c r="O333" s="3" t="n">
        <f aca="false">IFERROR(LEN(C333&amp;D333&amp;E333&amp;F333&amp;G333&amp;H333&amp;I333&amp;J333&amp;K333&amp;L333&amp;M333&amp;N333)/5,0)</f>
        <v>26.6</v>
      </c>
      <c r="P333" s="3" t="str">
        <f aca="false">IF(OR(D333="",C333=""),"",IF((IFERROR(IF(AND(TRIM(D333)=D333,LEN(D333)&gt;0),0,1),1)+IFERROR(IF(AND(LEN(E333)=10,ISNUMBER(VALUE(E333))),0,1),1)+IFERROR(IF(AND(ISNUMBER(SEARCH("@",F333)),ISNUMBER(SEARCH(".",F333))),0,1),1)+IFERROR(IF(AND(LEN(J333)=6,ISNUMBER(VALUE(J333))),0,1),1)+IFERROR(IF(ISNUMBER(MATCH(TRIM(I333),Lists!$A$2:$A$20,0)),0,1),1)+IFERROR(IF(AND(LEN(K333)=10,VALUE(LEFT(K333,FIND("/",K333)-1))&gt;=1,VALUE(LEFT(K333,FIND("/",K333)-1))&lt;=31,VALUE(LEFT(MID(K333,FIND("/",K333)+1,10),FIND("/",MID(K333,FIND("/",K333)+1,10))-1))&gt;=1,VALUE(LEFT(MID(K333,FIND("/",K333)+1,10),FIND("/",MID(K333,FIND("/",K333)+1,10))-1))&lt;=12,VALUE(LEFT(K333,FIND("/",K333)-1))&lt;=DAY(EOMONTH(DATE(VALUE(MID(MID(K333,FIND("/",K333)+1,10),FIND("/",MID(K333,FIND("/",K333)+1,10))+1,4)),VALUE(LEFT(MID(K333,FIND("/",K333)+1,10),FIND("/",MID(K333,FIND("/",K333)+1,10))-1)),1),0))),0,1),1)+IFERROR(IF(M333&gt;=0,0,1),1)+IFERROR(IF(ISNUMBER(MATCH(N333,Lists!$B$2:$B$7,0)),0,1),1))=0,"OK","ERROR"))</f>
        <v>OK</v>
      </c>
      <c r="Q333" s="3" t="str">
        <f aca="false">IF(D333="","",TRIM(IF(IFERROR(IF(AND(TRIM(D333)=D333,LEN(D333)&gt;0),0,1),1)=1,"Name; ","")&amp;IF(IFERROR(IF(AND(LEN(E333)=10,ISNUMBER(VALUE(E333))),0,1),1)=1,"Phone; ","")&amp;IF(IFERROR(IF(AND(ISNUMBER(SEARCH("@",F333)),ISNUMBER(SEARCH(".",F333))),0,1),1)=1,"Email; ","")&amp;IF(IFERROR(IF(AND(LEN(J333)=6,ISNUMBER(VALUE(J333))),0,1),1)=1,"Pincode; ","")&amp;IF(IFERROR(IF(ISNUMBER(MATCH(TRIM(I333),Lists!$A$2:$A$20,0)),0,1),1)=1,"State; ","")&amp;IF(IFERROR(IF(AND(LEN(K333)=10,VALUE(LEFT(K333,FIND("/",K333)-1))&gt;=1,VALUE(LEFT(K333,FIND("/",K333)-1))&lt;=31,VALUE(LEFT(MID(K333,FIND("/",K333)+1,10),FIND("/",MID(K333,FIND("/",K333)+1,10))-1))&gt;=1,VALUE(LEFT(MID(K333,FIND("/",K333)+1,10),FIND("/",MID(K333,FIND("/",K333)+1,10))-1))&lt;=12,VALUE(LEFT(K333,FIND("/",K333)-1))&lt;=DAY(EOMONTH(DATE(VALUE(MID(MID(K333,FIND("/",K333)+1,10),FIND("/",MID(K333,FIND("/",K333)+1,10))+1,4)),VALUE(LEFT(MID(K333,FIND("/",K333)+1,10),FIND("/",MID(K333,FIND("/",K333)+1,10))-1)),1),0))),0,1),1)=1,"Date; ","")&amp;IF(IFERROR(IF(M333&gt;=0,0,1),1)=1,"Amount; ","")&amp;IF(IFERROR(IF(ISNUMBER(MATCH(N333,Lists!$B$2:$B$7,0)),0,1),1)=1,"Payment; ","")))</f>
        <v/>
      </c>
      <c r="R333" s="3" t="str">
        <f aca="false">IF(D333="","",IF(COUNTIFS($D$2:$D$701,D333,$E$2:$E$701,E333)&gt;1,"DUPLICATE","Unique"))</f>
        <v>Unique</v>
      </c>
    </row>
    <row r="334" customFormat="false" ht="15" hidden="false" customHeight="false" outlineLevel="0" collapsed="false">
      <c r="A334" s="3" t="n">
        <v>333</v>
      </c>
      <c r="B334" s="3" t="n">
        <v>7</v>
      </c>
      <c r="C334" s="3" t="s">
        <v>2428</v>
      </c>
      <c r="D334" s="3" t="s">
        <v>2429</v>
      </c>
      <c r="E334" s="3" t="s">
        <v>2430</v>
      </c>
      <c r="F334" s="3" t="s">
        <v>2431</v>
      </c>
      <c r="G334" s="3" t="s">
        <v>2432</v>
      </c>
      <c r="H334" s="3" t="s">
        <v>1220</v>
      </c>
      <c r="I334" s="3" t="s">
        <v>42</v>
      </c>
      <c r="J334" s="3" t="s">
        <v>2433</v>
      </c>
      <c r="K334" s="3" t="s">
        <v>2434</v>
      </c>
      <c r="L334" s="3" t="s">
        <v>58</v>
      </c>
      <c r="M334" s="3" t="n">
        <v>5652.26</v>
      </c>
      <c r="N334" s="3" t="s">
        <v>46</v>
      </c>
      <c r="O334" s="3" t="n">
        <f aca="false">IFERROR(LEN(C334&amp;D334&amp;E334&amp;F334&amp;G334&amp;H334&amp;I334&amp;J334&amp;K334&amp;L334&amp;M334&amp;N334)/5,0)</f>
        <v>27</v>
      </c>
      <c r="P334" s="3" t="str">
        <f aca="false">IF(OR(D334="",C334=""),"",IF((IFERROR(IF(AND(TRIM(D334)=D334,LEN(D334)&gt;0),0,1),1)+IFERROR(IF(AND(LEN(E334)=10,ISNUMBER(VALUE(E334))),0,1),1)+IFERROR(IF(AND(ISNUMBER(SEARCH("@",F334)),ISNUMBER(SEARCH(".",F334))),0,1),1)+IFERROR(IF(AND(LEN(J334)=6,ISNUMBER(VALUE(J334))),0,1),1)+IFERROR(IF(ISNUMBER(MATCH(TRIM(I334),Lists!$A$2:$A$20,0)),0,1),1)+IFERROR(IF(AND(LEN(K334)=10,VALUE(LEFT(K334,FIND("/",K334)-1))&gt;=1,VALUE(LEFT(K334,FIND("/",K334)-1))&lt;=31,VALUE(LEFT(MID(K334,FIND("/",K334)+1,10),FIND("/",MID(K334,FIND("/",K334)+1,10))-1))&gt;=1,VALUE(LEFT(MID(K334,FIND("/",K334)+1,10),FIND("/",MID(K334,FIND("/",K334)+1,10))-1))&lt;=12,VALUE(LEFT(K334,FIND("/",K334)-1))&lt;=DAY(EOMONTH(DATE(VALUE(MID(MID(K334,FIND("/",K334)+1,10),FIND("/",MID(K334,FIND("/",K334)+1,10))+1,4)),VALUE(LEFT(MID(K334,FIND("/",K334)+1,10),FIND("/",MID(K334,FIND("/",K334)+1,10))-1)),1),0))),0,1),1)+IFERROR(IF(M334&gt;=0,0,1),1)+IFERROR(IF(ISNUMBER(MATCH(N334,Lists!$B$2:$B$7,0)),0,1),1))=0,"OK","ERROR"))</f>
        <v>OK</v>
      </c>
      <c r="Q334" s="3" t="str">
        <f aca="false">IF(D334="","",TRIM(IF(IFERROR(IF(AND(TRIM(D334)=D334,LEN(D334)&gt;0),0,1),1)=1,"Name; ","")&amp;IF(IFERROR(IF(AND(LEN(E334)=10,ISNUMBER(VALUE(E334))),0,1),1)=1,"Phone; ","")&amp;IF(IFERROR(IF(AND(ISNUMBER(SEARCH("@",F334)),ISNUMBER(SEARCH(".",F334))),0,1),1)=1,"Email; ","")&amp;IF(IFERROR(IF(AND(LEN(J334)=6,ISNUMBER(VALUE(J334))),0,1),1)=1,"Pincode; ","")&amp;IF(IFERROR(IF(ISNUMBER(MATCH(TRIM(I334),Lists!$A$2:$A$20,0)),0,1),1)=1,"State; ","")&amp;IF(IFERROR(IF(AND(LEN(K334)=10,VALUE(LEFT(K334,FIND("/",K334)-1))&gt;=1,VALUE(LEFT(K334,FIND("/",K334)-1))&lt;=31,VALUE(LEFT(MID(K334,FIND("/",K334)+1,10),FIND("/",MID(K334,FIND("/",K334)+1,10))-1))&gt;=1,VALUE(LEFT(MID(K334,FIND("/",K334)+1,10),FIND("/",MID(K334,FIND("/",K334)+1,10))-1))&lt;=12,VALUE(LEFT(K334,FIND("/",K334)-1))&lt;=DAY(EOMONTH(DATE(VALUE(MID(MID(K334,FIND("/",K334)+1,10),FIND("/",MID(K334,FIND("/",K334)+1,10))+1,4)),VALUE(LEFT(MID(K334,FIND("/",K334)+1,10),FIND("/",MID(K334,FIND("/",K334)+1,10))-1)),1),0))),0,1),1)=1,"Date; ","")&amp;IF(IFERROR(IF(M334&gt;=0,0,1),1)=1,"Amount; ","")&amp;IF(IFERROR(IF(ISNUMBER(MATCH(N334,Lists!$B$2:$B$7,0)),0,1),1)=1,"Payment; ","")))</f>
        <v/>
      </c>
      <c r="R334" s="3" t="str">
        <f aca="false">IF(D334="","",IF(COUNTIFS($D$2:$D$701,D334,$E$2:$E$701,E334)&gt;1,"DUPLICATE","Unique"))</f>
        <v>Unique</v>
      </c>
    </row>
    <row r="335" customFormat="false" ht="15" hidden="false" customHeight="false" outlineLevel="0" collapsed="false">
      <c r="A335" s="3" t="n">
        <v>334</v>
      </c>
      <c r="B335" s="3" t="n">
        <v>7</v>
      </c>
      <c r="C335" s="3" t="s">
        <v>2435</v>
      </c>
      <c r="D335" s="3" t="s">
        <v>2436</v>
      </c>
      <c r="E335" s="3" t="s">
        <v>2437</v>
      </c>
      <c r="F335" s="3" t="s">
        <v>2438</v>
      </c>
      <c r="G335" s="3" t="s">
        <v>2439</v>
      </c>
      <c r="H335" s="3" t="s">
        <v>540</v>
      </c>
      <c r="I335" s="3" t="s">
        <v>71</v>
      </c>
      <c r="J335" s="3" t="s">
        <v>2440</v>
      </c>
      <c r="K335" s="3" t="s">
        <v>2441</v>
      </c>
      <c r="L335" s="3" t="s">
        <v>62</v>
      </c>
      <c r="M335" s="3" t="n">
        <v>14441.28</v>
      </c>
      <c r="N335" s="3" t="s">
        <v>46</v>
      </c>
      <c r="O335" s="3" t="n">
        <f aca="false">IFERROR(LEN(C335&amp;D335&amp;E335&amp;F335&amp;G335&amp;H335&amp;I335&amp;J335&amp;K335&amp;L335&amp;M335&amp;N335)/5,0)</f>
        <v>24.8</v>
      </c>
      <c r="P335" s="3" t="str">
        <f aca="false">IF(OR(D335="",C335=""),"",IF((IFERROR(IF(AND(TRIM(D335)=D335,LEN(D335)&gt;0),0,1),1)+IFERROR(IF(AND(LEN(E335)=10,ISNUMBER(VALUE(E335))),0,1),1)+IFERROR(IF(AND(ISNUMBER(SEARCH("@",F335)),ISNUMBER(SEARCH(".",F335))),0,1),1)+IFERROR(IF(AND(LEN(J335)=6,ISNUMBER(VALUE(J335))),0,1),1)+IFERROR(IF(ISNUMBER(MATCH(TRIM(I335),Lists!$A$2:$A$20,0)),0,1),1)+IFERROR(IF(AND(LEN(K335)=10,VALUE(LEFT(K335,FIND("/",K335)-1))&gt;=1,VALUE(LEFT(K335,FIND("/",K335)-1))&lt;=31,VALUE(LEFT(MID(K335,FIND("/",K335)+1,10),FIND("/",MID(K335,FIND("/",K335)+1,10))-1))&gt;=1,VALUE(LEFT(MID(K335,FIND("/",K335)+1,10),FIND("/",MID(K335,FIND("/",K335)+1,10))-1))&lt;=12,VALUE(LEFT(K335,FIND("/",K335)-1))&lt;=DAY(EOMONTH(DATE(VALUE(MID(MID(K335,FIND("/",K335)+1,10),FIND("/",MID(K335,FIND("/",K335)+1,10))+1,4)),VALUE(LEFT(MID(K335,FIND("/",K335)+1,10),FIND("/",MID(K335,FIND("/",K335)+1,10))-1)),1),0))),0,1),1)+IFERROR(IF(M335&gt;=0,0,1),1)+IFERROR(IF(ISNUMBER(MATCH(N335,Lists!$B$2:$B$7,0)),0,1),1))=0,"OK","ERROR"))</f>
        <v>OK</v>
      </c>
      <c r="Q335" s="3" t="str">
        <f aca="false">IF(D335="","",TRIM(IF(IFERROR(IF(AND(TRIM(D335)=D335,LEN(D335)&gt;0),0,1),1)=1,"Name; ","")&amp;IF(IFERROR(IF(AND(LEN(E335)=10,ISNUMBER(VALUE(E335))),0,1),1)=1,"Phone; ","")&amp;IF(IFERROR(IF(AND(ISNUMBER(SEARCH("@",F335)),ISNUMBER(SEARCH(".",F335))),0,1),1)=1,"Email; ","")&amp;IF(IFERROR(IF(AND(LEN(J335)=6,ISNUMBER(VALUE(J335))),0,1),1)=1,"Pincode; ","")&amp;IF(IFERROR(IF(ISNUMBER(MATCH(TRIM(I335),Lists!$A$2:$A$20,0)),0,1),1)=1,"State; ","")&amp;IF(IFERROR(IF(AND(LEN(K335)=10,VALUE(LEFT(K335,FIND("/",K335)-1))&gt;=1,VALUE(LEFT(K335,FIND("/",K335)-1))&lt;=31,VALUE(LEFT(MID(K335,FIND("/",K335)+1,10),FIND("/",MID(K335,FIND("/",K335)+1,10))-1))&gt;=1,VALUE(LEFT(MID(K335,FIND("/",K335)+1,10),FIND("/",MID(K335,FIND("/",K335)+1,10))-1))&lt;=12,VALUE(LEFT(K335,FIND("/",K335)-1))&lt;=DAY(EOMONTH(DATE(VALUE(MID(MID(K335,FIND("/",K335)+1,10),FIND("/",MID(K335,FIND("/",K335)+1,10))+1,4)),VALUE(LEFT(MID(K335,FIND("/",K335)+1,10),FIND("/",MID(K335,FIND("/",K335)+1,10))-1)),1),0))),0,1),1)=1,"Date; ","")&amp;IF(IFERROR(IF(M335&gt;=0,0,1),1)=1,"Amount; ","")&amp;IF(IFERROR(IF(ISNUMBER(MATCH(N335,Lists!$B$2:$B$7,0)),0,1),1)=1,"Payment; ","")))</f>
        <v/>
      </c>
      <c r="R335" s="3" t="str">
        <f aca="false">IF(D335="","",IF(COUNTIFS($D$2:$D$701,D335,$E$2:$E$701,E335)&gt;1,"DUPLICATE","Unique"))</f>
        <v>Unique</v>
      </c>
    </row>
    <row r="336" customFormat="false" ht="15" hidden="false" customHeight="false" outlineLevel="0" collapsed="false">
      <c r="A336" s="3" t="n">
        <v>335</v>
      </c>
      <c r="B336" s="3" t="n">
        <v>7</v>
      </c>
      <c r="C336" s="3" t="s">
        <v>2442</v>
      </c>
      <c r="D336" s="3" t="s">
        <v>2443</v>
      </c>
      <c r="E336" s="3" t="s">
        <v>2444</v>
      </c>
      <c r="F336" s="3" t="s">
        <v>2445</v>
      </c>
      <c r="G336" s="3" t="s">
        <v>2446</v>
      </c>
      <c r="H336" s="3" t="s">
        <v>1753</v>
      </c>
      <c r="I336" s="3" t="s">
        <v>39</v>
      </c>
      <c r="J336" s="3" t="s">
        <v>2447</v>
      </c>
      <c r="K336" s="3" t="s">
        <v>519</v>
      </c>
      <c r="L336" s="3" t="s">
        <v>53</v>
      </c>
      <c r="M336" s="3" t="n">
        <v>5939.68</v>
      </c>
      <c r="N336" s="3" t="s">
        <v>49</v>
      </c>
      <c r="O336" s="3" t="n">
        <f aca="false">IFERROR(LEN(C336&amp;D336&amp;E336&amp;F336&amp;G336&amp;H336&amp;I336&amp;J336&amp;K336&amp;L336&amp;M336&amp;N336)/5,0)</f>
        <v>25.8</v>
      </c>
      <c r="P336" s="3" t="str">
        <f aca="false">IF(OR(D336="",C336=""),"",IF((IFERROR(IF(AND(TRIM(D336)=D336,LEN(D336)&gt;0),0,1),1)+IFERROR(IF(AND(LEN(E336)=10,ISNUMBER(VALUE(E336))),0,1),1)+IFERROR(IF(AND(ISNUMBER(SEARCH("@",F336)),ISNUMBER(SEARCH(".",F336))),0,1),1)+IFERROR(IF(AND(LEN(J336)=6,ISNUMBER(VALUE(J336))),0,1),1)+IFERROR(IF(ISNUMBER(MATCH(TRIM(I336),Lists!$A$2:$A$20,0)),0,1),1)+IFERROR(IF(AND(LEN(K336)=10,VALUE(LEFT(K336,FIND("/",K336)-1))&gt;=1,VALUE(LEFT(K336,FIND("/",K336)-1))&lt;=31,VALUE(LEFT(MID(K336,FIND("/",K336)+1,10),FIND("/",MID(K336,FIND("/",K336)+1,10))-1))&gt;=1,VALUE(LEFT(MID(K336,FIND("/",K336)+1,10),FIND("/",MID(K336,FIND("/",K336)+1,10))-1))&lt;=12,VALUE(LEFT(K336,FIND("/",K336)-1))&lt;=DAY(EOMONTH(DATE(VALUE(MID(MID(K336,FIND("/",K336)+1,10),FIND("/",MID(K336,FIND("/",K336)+1,10))+1,4)),VALUE(LEFT(MID(K336,FIND("/",K336)+1,10),FIND("/",MID(K336,FIND("/",K336)+1,10))-1)),1),0))),0,1),1)+IFERROR(IF(M336&gt;=0,0,1),1)+IFERROR(IF(ISNUMBER(MATCH(N336,Lists!$B$2:$B$7,0)),0,1),1))=0,"OK","ERROR"))</f>
        <v>OK</v>
      </c>
      <c r="Q336" s="3" t="str">
        <f aca="false">IF(D336="","",TRIM(IF(IFERROR(IF(AND(TRIM(D336)=D336,LEN(D336)&gt;0),0,1),1)=1,"Name; ","")&amp;IF(IFERROR(IF(AND(LEN(E336)=10,ISNUMBER(VALUE(E336))),0,1),1)=1,"Phone; ","")&amp;IF(IFERROR(IF(AND(ISNUMBER(SEARCH("@",F336)),ISNUMBER(SEARCH(".",F336))),0,1),1)=1,"Email; ","")&amp;IF(IFERROR(IF(AND(LEN(J336)=6,ISNUMBER(VALUE(J336))),0,1),1)=1,"Pincode; ","")&amp;IF(IFERROR(IF(ISNUMBER(MATCH(TRIM(I336),Lists!$A$2:$A$20,0)),0,1),1)=1,"State; ","")&amp;IF(IFERROR(IF(AND(LEN(K336)=10,VALUE(LEFT(K336,FIND("/",K336)-1))&gt;=1,VALUE(LEFT(K336,FIND("/",K336)-1))&lt;=31,VALUE(LEFT(MID(K336,FIND("/",K336)+1,10),FIND("/",MID(K336,FIND("/",K336)+1,10))-1))&gt;=1,VALUE(LEFT(MID(K336,FIND("/",K336)+1,10),FIND("/",MID(K336,FIND("/",K336)+1,10))-1))&lt;=12,VALUE(LEFT(K336,FIND("/",K336)-1))&lt;=DAY(EOMONTH(DATE(VALUE(MID(MID(K336,FIND("/",K336)+1,10),FIND("/",MID(K336,FIND("/",K336)+1,10))+1,4)),VALUE(LEFT(MID(K336,FIND("/",K336)+1,10),FIND("/",MID(K336,FIND("/",K336)+1,10))-1)),1),0))),0,1),1)=1,"Date; ","")&amp;IF(IFERROR(IF(M336&gt;=0,0,1),1)=1,"Amount; ","")&amp;IF(IFERROR(IF(ISNUMBER(MATCH(N336,Lists!$B$2:$B$7,0)),0,1),1)=1,"Payment; ","")))</f>
        <v/>
      </c>
      <c r="R336" s="3" t="str">
        <f aca="false">IF(D336="","",IF(COUNTIFS($D$2:$D$701,D336,$E$2:$E$701,E336)&gt;1,"DUPLICATE","Unique"))</f>
        <v>Unique</v>
      </c>
    </row>
    <row r="337" customFormat="false" ht="15" hidden="false" customHeight="false" outlineLevel="0" collapsed="false">
      <c r="A337" s="3" t="n">
        <v>336</v>
      </c>
      <c r="B337" s="3" t="n">
        <v>7</v>
      </c>
      <c r="C337" s="3" t="s">
        <v>2448</v>
      </c>
      <c r="D337" s="3" t="s">
        <v>2449</v>
      </c>
      <c r="E337" s="3" t="s">
        <v>2450</v>
      </c>
      <c r="F337" s="3" t="s">
        <v>2451</v>
      </c>
      <c r="G337" s="3" t="s">
        <v>2452</v>
      </c>
      <c r="H337" s="3" t="s">
        <v>770</v>
      </c>
      <c r="I337" s="3" t="s">
        <v>57</v>
      </c>
      <c r="J337" s="3" t="s">
        <v>2453</v>
      </c>
      <c r="K337" s="3" t="s">
        <v>2454</v>
      </c>
      <c r="L337" s="3" t="s">
        <v>44</v>
      </c>
      <c r="M337" s="3" t="n">
        <v>9148.57</v>
      </c>
      <c r="N337" s="3" t="s">
        <v>52</v>
      </c>
      <c r="O337" s="3" t="n">
        <f aca="false">IFERROR(LEN(C337&amp;D337&amp;E337&amp;F337&amp;G337&amp;H337&amp;I337&amp;J337&amp;K337&amp;L337&amp;M337&amp;N337)/5,0)</f>
        <v>25.8</v>
      </c>
      <c r="P337" s="3" t="str">
        <f aca="false">IF(OR(D337="",C337=""),"",IF((IFERROR(IF(AND(TRIM(D337)=D337,LEN(D337)&gt;0),0,1),1)+IFERROR(IF(AND(LEN(E337)=10,ISNUMBER(VALUE(E337))),0,1),1)+IFERROR(IF(AND(ISNUMBER(SEARCH("@",F337)),ISNUMBER(SEARCH(".",F337))),0,1),1)+IFERROR(IF(AND(LEN(J337)=6,ISNUMBER(VALUE(J337))),0,1),1)+IFERROR(IF(ISNUMBER(MATCH(TRIM(I337),Lists!$A$2:$A$20,0)),0,1),1)+IFERROR(IF(AND(LEN(K337)=10,VALUE(LEFT(K337,FIND("/",K337)-1))&gt;=1,VALUE(LEFT(K337,FIND("/",K337)-1))&lt;=31,VALUE(LEFT(MID(K337,FIND("/",K337)+1,10),FIND("/",MID(K337,FIND("/",K337)+1,10))-1))&gt;=1,VALUE(LEFT(MID(K337,FIND("/",K337)+1,10),FIND("/",MID(K337,FIND("/",K337)+1,10))-1))&lt;=12,VALUE(LEFT(K337,FIND("/",K337)-1))&lt;=DAY(EOMONTH(DATE(VALUE(MID(MID(K337,FIND("/",K337)+1,10),FIND("/",MID(K337,FIND("/",K337)+1,10))+1,4)),VALUE(LEFT(MID(K337,FIND("/",K337)+1,10),FIND("/",MID(K337,FIND("/",K337)+1,10))-1)),1),0))),0,1),1)+IFERROR(IF(M337&gt;=0,0,1),1)+IFERROR(IF(ISNUMBER(MATCH(N337,Lists!$B$2:$B$7,0)),0,1),1))=0,"OK","ERROR"))</f>
        <v>OK</v>
      </c>
      <c r="Q337" s="3" t="str">
        <f aca="false">IF(D337="","",TRIM(IF(IFERROR(IF(AND(TRIM(D337)=D337,LEN(D337)&gt;0),0,1),1)=1,"Name; ","")&amp;IF(IFERROR(IF(AND(LEN(E337)=10,ISNUMBER(VALUE(E337))),0,1),1)=1,"Phone; ","")&amp;IF(IFERROR(IF(AND(ISNUMBER(SEARCH("@",F337)),ISNUMBER(SEARCH(".",F337))),0,1),1)=1,"Email; ","")&amp;IF(IFERROR(IF(AND(LEN(J337)=6,ISNUMBER(VALUE(J337))),0,1),1)=1,"Pincode; ","")&amp;IF(IFERROR(IF(ISNUMBER(MATCH(TRIM(I337),Lists!$A$2:$A$20,0)),0,1),1)=1,"State; ","")&amp;IF(IFERROR(IF(AND(LEN(K337)=10,VALUE(LEFT(K337,FIND("/",K337)-1))&gt;=1,VALUE(LEFT(K337,FIND("/",K337)-1))&lt;=31,VALUE(LEFT(MID(K337,FIND("/",K337)+1,10),FIND("/",MID(K337,FIND("/",K337)+1,10))-1))&gt;=1,VALUE(LEFT(MID(K337,FIND("/",K337)+1,10),FIND("/",MID(K337,FIND("/",K337)+1,10))-1))&lt;=12,VALUE(LEFT(K337,FIND("/",K337)-1))&lt;=DAY(EOMONTH(DATE(VALUE(MID(MID(K337,FIND("/",K337)+1,10),FIND("/",MID(K337,FIND("/",K337)+1,10))+1,4)),VALUE(LEFT(MID(K337,FIND("/",K337)+1,10),FIND("/",MID(K337,FIND("/",K337)+1,10))-1)),1),0))),0,1),1)=1,"Date; ","")&amp;IF(IFERROR(IF(M337&gt;=0,0,1),1)=1,"Amount; ","")&amp;IF(IFERROR(IF(ISNUMBER(MATCH(N337,Lists!$B$2:$B$7,0)),0,1),1)=1,"Payment; ","")))</f>
        <v/>
      </c>
      <c r="R337" s="3" t="str">
        <f aca="false">IF(D337="","",IF(COUNTIFS($D$2:$D$701,D337,$E$2:$E$701,E337)&gt;1,"DUPLICATE","Unique"))</f>
        <v>Unique</v>
      </c>
    </row>
    <row r="338" customFormat="false" ht="15" hidden="false" customHeight="false" outlineLevel="0" collapsed="false">
      <c r="A338" s="3" t="n">
        <v>337</v>
      </c>
      <c r="B338" s="3" t="n">
        <v>7</v>
      </c>
      <c r="C338" s="3" t="s">
        <v>2455</v>
      </c>
      <c r="D338" s="3" t="s">
        <v>2456</v>
      </c>
      <c r="E338" s="3" t="s">
        <v>2457</v>
      </c>
      <c r="F338" s="3" t="s">
        <v>2458</v>
      </c>
      <c r="G338" s="3" t="s">
        <v>2459</v>
      </c>
      <c r="H338" s="3" t="s">
        <v>340</v>
      </c>
      <c r="I338" s="3" t="s">
        <v>75</v>
      </c>
      <c r="J338" s="3" t="s">
        <v>2460</v>
      </c>
      <c r="K338" s="3" t="s">
        <v>2461</v>
      </c>
      <c r="L338" s="3" t="s">
        <v>68</v>
      </c>
      <c r="M338" s="3" t="n">
        <v>8355.34</v>
      </c>
      <c r="N338" s="3" t="s">
        <v>43</v>
      </c>
      <c r="O338" s="3" t="n">
        <f aca="false">IFERROR(LEN(C338&amp;D338&amp;E338&amp;F338&amp;G338&amp;H338&amp;I338&amp;J338&amp;K338&amp;L338&amp;M338&amp;N338)/5,0)</f>
        <v>27.8</v>
      </c>
      <c r="P338" s="3" t="str">
        <f aca="false">IF(OR(D338="",C338=""),"",IF((IFERROR(IF(AND(TRIM(D338)=D338,LEN(D338)&gt;0),0,1),1)+IFERROR(IF(AND(LEN(E338)=10,ISNUMBER(VALUE(E338))),0,1),1)+IFERROR(IF(AND(ISNUMBER(SEARCH("@",F338)),ISNUMBER(SEARCH(".",F338))),0,1),1)+IFERROR(IF(AND(LEN(J338)=6,ISNUMBER(VALUE(J338))),0,1),1)+IFERROR(IF(ISNUMBER(MATCH(TRIM(I338),Lists!$A$2:$A$20,0)),0,1),1)+IFERROR(IF(AND(LEN(K338)=10,VALUE(LEFT(K338,FIND("/",K338)-1))&gt;=1,VALUE(LEFT(K338,FIND("/",K338)-1))&lt;=31,VALUE(LEFT(MID(K338,FIND("/",K338)+1,10),FIND("/",MID(K338,FIND("/",K338)+1,10))-1))&gt;=1,VALUE(LEFT(MID(K338,FIND("/",K338)+1,10),FIND("/",MID(K338,FIND("/",K338)+1,10))-1))&lt;=12,VALUE(LEFT(K338,FIND("/",K338)-1))&lt;=DAY(EOMONTH(DATE(VALUE(MID(MID(K338,FIND("/",K338)+1,10),FIND("/",MID(K338,FIND("/",K338)+1,10))+1,4)),VALUE(LEFT(MID(K338,FIND("/",K338)+1,10),FIND("/",MID(K338,FIND("/",K338)+1,10))-1)),1),0))),0,1),1)+IFERROR(IF(M338&gt;=0,0,1),1)+IFERROR(IF(ISNUMBER(MATCH(N338,Lists!$B$2:$B$7,0)),0,1),1))=0,"OK","ERROR"))</f>
        <v>OK</v>
      </c>
      <c r="Q338" s="3" t="str">
        <f aca="false">IF(D338="","",TRIM(IF(IFERROR(IF(AND(TRIM(D338)=D338,LEN(D338)&gt;0),0,1),1)=1,"Name; ","")&amp;IF(IFERROR(IF(AND(LEN(E338)=10,ISNUMBER(VALUE(E338))),0,1),1)=1,"Phone; ","")&amp;IF(IFERROR(IF(AND(ISNUMBER(SEARCH("@",F338)),ISNUMBER(SEARCH(".",F338))),0,1),1)=1,"Email; ","")&amp;IF(IFERROR(IF(AND(LEN(J338)=6,ISNUMBER(VALUE(J338))),0,1),1)=1,"Pincode; ","")&amp;IF(IFERROR(IF(ISNUMBER(MATCH(TRIM(I338),Lists!$A$2:$A$20,0)),0,1),1)=1,"State; ","")&amp;IF(IFERROR(IF(AND(LEN(K338)=10,VALUE(LEFT(K338,FIND("/",K338)-1))&gt;=1,VALUE(LEFT(K338,FIND("/",K338)-1))&lt;=31,VALUE(LEFT(MID(K338,FIND("/",K338)+1,10),FIND("/",MID(K338,FIND("/",K338)+1,10))-1))&gt;=1,VALUE(LEFT(MID(K338,FIND("/",K338)+1,10),FIND("/",MID(K338,FIND("/",K338)+1,10))-1))&lt;=12,VALUE(LEFT(K338,FIND("/",K338)-1))&lt;=DAY(EOMONTH(DATE(VALUE(MID(MID(K338,FIND("/",K338)+1,10),FIND("/",MID(K338,FIND("/",K338)+1,10))+1,4)),VALUE(LEFT(MID(K338,FIND("/",K338)+1,10),FIND("/",MID(K338,FIND("/",K338)+1,10))-1)),1),0))),0,1),1)=1,"Date; ","")&amp;IF(IFERROR(IF(M338&gt;=0,0,1),1)=1,"Amount; ","")&amp;IF(IFERROR(IF(ISNUMBER(MATCH(N338,Lists!$B$2:$B$7,0)),0,1),1)=1,"Payment; ","")))</f>
        <v/>
      </c>
      <c r="R338" s="3" t="str">
        <f aca="false">IF(D338="","",IF(COUNTIFS($D$2:$D$701,D338,$E$2:$E$701,E338)&gt;1,"DUPLICATE","Unique"))</f>
        <v>Unique</v>
      </c>
    </row>
    <row r="339" customFormat="false" ht="15" hidden="false" customHeight="false" outlineLevel="0" collapsed="false">
      <c r="A339" s="3" t="n">
        <v>338</v>
      </c>
      <c r="B339" s="3" t="n">
        <v>7</v>
      </c>
      <c r="C339" s="3" t="s">
        <v>2462</v>
      </c>
      <c r="D339" s="3" t="s">
        <v>2463</v>
      </c>
      <c r="E339" s="3" t="s">
        <v>2464</v>
      </c>
      <c r="F339" s="3" t="s">
        <v>2465</v>
      </c>
      <c r="G339" s="3" t="s">
        <v>2466</v>
      </c>
      <c r="H339" s="3" t="s">
        <v>266</v>
      </c>
      <c r="I339" s="3" t="s">
        <v>78</v>
      </c>
      <c r="J339" s="3" t="s">
        <v>2467</v>
      </c>
      <c r="K339" s="3" t="s">
        <v>2468</v>
      </c>
      <c r="L339" s="3" t="s">
        <v>72</v>
      </c>
      <c r="M339" s="3" t="n">
        <v>13316.39</v>
      </c>
      <c r="N339" s="3" t="s">
        <v>40</v>
      </c>
      <c r="O339" s="3" t="n">
        <f aca="false">IFERROR(LEN(C339&amp;D339&amp;E339&amp;F339&amp;G339&amp;H339&amp;I339&amp;J339&amp;K339&amp;L339&amp;M339&amp;N339)/5,0)</f>
        <v>27.6</v>
      </c>
      <c r="P339" s="3" t="str">
        <f aca="false">IF(OR(D339="",C339=""),"",IF((IFERROR(IF(AND(TRIM(D339)=D339,LEN(D339)&gt;0),0,1),1)+IFERROR(IF(AND(LEN(E339)=10,ISNUMBER(VALUE(E339))),0,1),1)+IFERROR(IF(AND(ISNUMBER(SEARCH("@",F339)),ISNUMBER(SEARCH(".",F339))),0,1),1)+IFERROR(IF(AND(LEN(J339)=6,ISNUMBER(VALUE(J339))),0,1),1)+IFERROR(IF(ISNUMBER(MATCH(TRIM(I339),Lists!$A$2:$A$20,0)),0,1),1)+IFERROR(IF(AND(LEN(K339)=10,VALUE(LEFT(K339,FIND("/",K339)-1))&gt;=1,VALUE(LEFT(K339,FIND("/",K339)-1))&lt;=31,VALUE(LEFT(MID(K339,FIND("/",K339)+1,10),FIND("/",MID(K339,FIND("/",K339)+1,10))-1))&gt;=1,VALUE(LEFT(MID(K339,FIND("/",K339)+1,10),FIND("/",MID(K339,FIND("/",K339)+1,10))-1))&lt;=12,VALUE(LEFT(K339,FIND("/",K339)-1))&lt;=DAY(EOMONTH(DATE(VALUE(MID(MID(K339,FIND("/",K339)+1,10),FIND("/",MID(K339,FIND("/",K339)+1,10))+1,4)),VALUE(LEFT(MID(K339,FIND("/",K339)+1,10),FIND("/",MID(K339,FIND("/",K339)+1,10))-1)),1),0))),0,1),1)+IFERROR(IF(M339&gt;=0,0,1),1)+IFERROR(IF(ISNUMBER(MATCH(N339,Lists!$B$2:$B$7,0)),0,1),1))=0,"OK","ERROR"))</f>
        <v>OK</v>
      </c>
      <c r="Q339" s="3" t="str">
        <f aca="false">IF(D339="","",TRIM(IF(IFERROR(IF(AND(TRIM(D339)=D339,LEN(D339)&gt;0),0,1),1)=1,"Name; ","")&amp;IF(IFERROR(IF(AND(LEN(E339)=10,ISNUMBER(VALUE(E339))),0,1),1)=1,"Phone; ","")&amp;IF(IFERROR(IF(AND(ISNUMBER(SEARCH("@",F339)),ISNUMBER(SEARCH(".",F339))),0,1),1)=1,"Email; ","")&amp;IF(IFERROR(IF(AND(LEN(J339)=6,ISNUMBER(VALUE(J339))),0,1),1)=1,"Pincode; ","")&amp;IF(IFERROR(IF(ISNUMBER(MATCH(TRIM(I339),Lists!$A$2:$A$20,0)),0,1),1)=1,"State; ","")&amp;IF(IFERROR(IF(AND(LEN(K339)=10,VALUE(LEFT(K339,FIND("/",K339)-1))&gt;=1,VALUE(LEFT(K339,FIND("/",K339)-1))&lt;=31,VALUE(LEFT(MID(K339,FIND("/",K339)+1,10),FIND("/",MID(K339,FIND("/",K339)+1,10))-1))&gt;=1,VALUE(LEFT(MID(K339,FIND("/",K339)+1,10),FIND("/",MID(K339,FIND("/",K339)+1,10))-1))&lt;=12,VALUE(LEFT(K339,FIND("/",K339)-1))&lt;=DAY(EOMONTH(DATE(VALUE(MID(MID(K339,FIND("/",K339)+1,10),FIND("/",MID(K339,FIND("/",K339)+1,10))+1,4)),VALUE(LEFT(MID(K339,FIND("/",K339)+1,10),FIND("/",MID(K339,FIND("/",K339)+1,10))-1)),1),0))),0,1),1)=1,"Date; ","")&amp;IF(IFERROR(IF(M339&gt;=0,0,1),1)=1,"Amount; ","")&amp;IF(IFERROR(IF(ISNUMBER(MATCH(N339,Lists!$B$2:$B$7,0)),0,1),1)=1,"Payment; ","")))</f>
        <v/>
      </c>
      <c r="R339" s="3" t="str">
        <f aca="false">IF(D339="","",IF(COUNTIFS($D$2:$D$701,D339,$E$2:$E$701,E339)&gt;1,"DUPLICATE","Unique"))</f>
        <v>Unique</v>
      </c>
    </row>
    <row r="340" customFormat="false" ht="15" hidden="false" customHeight="false" outlineLevel="0" collapsed="false">
      <c r="A340" s="3" t="n">
        <v>339</v>
      </c>
      <c r="B340" s="3" t="n">
        <v>7</v>
      </c>
      <c r="C340" s="3" t="s">
        <v>2469</v>
      </c>
      <c r="D340" s="3" t="s">
        <v>2470</v>
      </c>
      <c r="E340" s="3" t="s">
        <v>2471</v>
      </c>
      <c r="F340" s="3" t="s">
        <v>2472</v>
      </c>
      <c r="G340" s="3" t="s">
        <v>2473</v>
      </c>
      <c r="H340" s="3" t="s">
        <v>770</v>
      </c>
      <c r="I340" s="3" t="s">
        <v>57</v>
      </c>
      <c r="J340" s="3" t="s">
        <v>2474</v>
      </c>
      <c r="K340" s="3" t="s">
        <v>2475</v>
      </c>
      <c r="L340" s="3" t="s">
        <v>66</v>
      </c>
      <c r="M340" s="3" t="n">
        <v>14508.36</v>
      </c>
      <c r="N340" s="3" t="s">
        <v>43</v>
      </c>
      <c r="O340" s="3" t="n">
        <f aca="false">IFERROR(LEN(C340&amp;D340&amp;E340&amp;F340&amp;G340&amp;H340&amp;I340&amp;J340&amp;K340&amp;L340&amp;M340&amp;N340)/5,0)</f>
        <v>28.8</v>
      </c>
      <c r="P340" s="3" t="str">
        <f aca="false">IF(OR(D340="",C340=""),"",IF((IFERROR(IF(AND(TRIM(D340)=D340,LEN(D340)&gt;0),0,1),1)+IFERROR(IF(AND(LEN(E340)=10,ISNUMBER(VALUE(E340))),0,1),1)+IFERROR(IF(AND(ISNUMBER(SEARCH("@",F340)),ISNUMBER(SEARCH(".",F340))),0,1),1)+IFERROR(IF(AND(LEN(J340)=6,ISNUMBER(VALUE(J340))),0,1),1)+IFERROR(IF(ISNUMBER(MATCH(TRIM(I340),Lists!$A$2:$A$20,0)),0,1),1)+IFERROR(IF(AND(LEN(K340)=10,VALUE(LEFT(K340,FIND("/",K340)-1))&gt;=1,VALUE(LEFT(K340,FIND("/",K340)-1))&lt;=31,VALUE(LEFT(MID(K340,FIND("/",K340)+1,10),FIND("/",MID(K340,FIND("/",K340)+1,10))-1))&gt;=1,VALUE(LEFT(MID(K340,FIND("/",K340)+1,10),FIND("/",MID(K340,FIND("/",K340)+1,10))-1))&lt;=12,VALUE(LEFT(K340,FIND("/",K340)-1))&lt;=DAY(EOMONTH(DATE(VALUE(MID(MID(K340,FIND("/",K340)+1,10),FIND("/",MID(K340,FIND("/",K340)+1,10))+1,4)),VALUE(LEFT(MID(K340,FIND("/",K340)+1,10),FIND("/",MID(K340,FIND("/",K340)+1,10))-1)),1),0))),0,1),1)+IFERROR(IF(M340&gt;=0,0,1),1)+IFERROR(IF(ISNUMBER(MATCH(N340,Lists!$B$2:$B$7,0)),0,1),1))=0,"OK","ERROR"))</f>
        <v>OK</v>
      </c>
      <c r="Q340" s="3" t="str">
        <f aca="false">IF(D340="","",TRIM(IF(IFERROR(IF(AND(TRIM(D340)=D340,LEN(D340)&gt;0),0,1),1)=1,"Name; ","")&amp;IF(IFERROR(IF(AND(LEN(E340)=10,ISNUMBER(VALUE(E340))),0,1),1)=1,"Phone; ","")&amp;IF(IFERROR(IF(AND(ISNUMBER(SEARCH("@",F340)),ISNUMBER(SEARCH(".",F340))),0,1),1)=1,"Email; ","")&amp;IF(IFERROR(IF(AND(LEN(J340)=6,ISNUMBER(VALUE(J340))),0,1),1)=1,"Pincode; ","")&amp;IF(IFERROR(IF(ISNUMBER(MATCH(TRIM(I340),Lists!$A$2:$A$20,0)),0,1),1)=1,"State; ","")&amp;IF(IFERROR(IF(AND(LEN(K340)=10,VALUE(LEFT(K340,FIND("/",K340)-1))&gt;=1,VALUE(LEFT(K340,FIND("/",K340)-1))&lt;=31,VALUE(LEFT(MID(K340,FIND("/",K340)+1,10),FIND("/",MID(K340,FIND("/",K340)+1,10))-1))&gt;=1,VALUE(LEFT(MID(K340,FIND("/",K340)+1,10),FIND("/",MID(K340,FIND("/",K340)+1,10))-1))&lt;=12,VALUE(LEFT(K340,FIND("/",K340)-1))&lt;=DAY(EOMONTH(DATE(VALUE(MID(MID(K340,FIND("/",K340)+1,10),FIND("/",MID(K340,FIND("/",K340)+1,10))+1,4)),VALUE(LEFT(MID(K340,FIND("/",K340)+1,10),FIND("/",MID(K340,FIND("/",K340)+1,10))-1)),1),0))),0,1),1)=1,"Date; ","")&amp;IF(IFERROR(IF(M340&gt;=0,0,1),1)=1,"Amount; ","")&amp;IF(IFERROR(IF(ISNUMBER(MATCH(N340,Lists!$B$2:$B$7,0)),0,1),1)=1,"Payment; ","")))</f>
        <v/>
      </c>
      <c r="R340" s="3" t="str">
        <f aca="false">IF(D340="","",IF(COUNTIFS($D$2:$D$701,D340,$E$2:$E$701,E340)&gt;1,"DUPLICATE","Unique"))</f>
        <v>Unique</v>
      </c>
    </row>
    <row r="341" customFormat="false" ht="15" hidden="false" customHeight="false" outlineLevel="0" collapsed="false">
      <c r="A341" s="3" t="n">
        <v>340</v>
      </c>
      <c r="B341" s="3" t="n">
        <v>7</v>
      </c>
      <c r="C341" s="3" t="s">
        <v>2476</v>
      </c>
      <c r="D341" s="3" t="s">
        <v>2477</v>
      </c>
      <c r="E341" s="3" t="s">
        <v>2478</v>
      </c>
      <c r="F341" s="3" t="s">
        <v>2479</v>
      </c>
      <c r="G341" s="3" t="s">
        <v>2480</v>
      </c>
      <c r="H341" s="3" t="s">
        <v>720</v>
      </c>
      <c r="I341" s="3" t="s">
        <v>54</v>
      </c>
      <c r="J341" s="3" t="s">
        <v>2481</v>
      </c>
      <c r="K341" s="3" t="s">
        <v>2482</v>
      </c>
      <c r="L341" s="3" t="s">
        <v>50</v>
      </c>
      <c r="M341" s="3" t="n">
        <v>1967.53</v>
      </c>
      <c r="N341" s="3" t="s">
        <v>55</v>
      </c>
      <c r="O341" s="3" t="n">
        <f aca="false">IFERROR(LEN(C341&amp;D341&amp;E341&amp;F341&amp;G341&amp;H341&amp;I341&amp;J341&amp;K341&amp;L341&amp;M341&amp;N341)/5,0)</f>
        <v>27.2</v>
      </c>
      <c r="P341" s="3" t="str">
        <f aca="false">IF(OR(D341="",C341=""),"",IF((IFERROR(IF(AND(TRIM(D341)=D341,LEN(D341)&gt;0),0,1),1)+IFERROR(IF(AND(LEN(E341)=10,ISNUMBER(VALUE(E341))),0,1),1)+IFERROR(IF(AND(ISNUMBER(SEARCH("@",F341)),ISNUMBER(SEARCH(".",F341))),0,1),1)+IFERROR(IF(AND(LEN(J341)=6,ISNUMBER(VALUE(J341))),0,1),1)+IFERROR(IF(ISNUMBER(MATCH(TRIM(I341),Lists!$A$2:$A$20,0)),0,1),1)+IFERROR(IF(AND(LEN(K341)=10,VALUE(LEFT(K341,FIND("/",K341)-1))&gt;=1,VALUE(LEFT(K341,FIND("/",K341)-1))&lt;=31,VALUE(LEFT(MID(K341,FIND("/",K341)+1,10),FIND("/",MID(K341,FIND("/",K341)+1,10))-1))&gt;=1,VALUE(LEFT(MID(K341,FIND("/",K341)+1,10),FIND("/",MID(K341,FIND("/",K341)+1,10))-1))&lt;=12,VALUE(LEFT(K341,FIND("/",K341)-1))&lt;=DAY(EOMONTH(DATE(VALUE(MID(MID(K341,FIND("/",K341)+1,10),FIND("/",MID(K341,FIND("/",K341)+1,10))+1,4)),VALUE(LEFT(MID(K341,FIND("/",K341)+1,10),FIND("/",MID(K341,FIND("/",K341)+1,10))-1)),1),0))),0,1),1)+IFERROR(IF(M341&gt;=0,0,1),1)+IFERROR(IF(ISNUMBER(MATCH(N341,Lists!$B$2:$B$7,0)),0,1),1))=0,"OK","ERROR"))</f>
        <v>OK</v>
      </c>
      <c r="Q341" s="3" t="str">
        <f aca="false">IF(D341="","",TRIM(IF(IFERROR(IF(AND(TRIM(D341)=D341,LEN(D341)&gt;0),0,1),1)=1,"Name; ","")&amp;IF(IFERROR(IF(AND(LEN(E341)=10,ISNUMBER(VALUE(E341))),0,1),1)=1,"Phone; ","")&amp;IF(IFERROR(IF(AND(ISNUMBER(SEARCH("@",F341)),ISNUMBER(SEARCH(".",F341))),0,1),1)=1,"Email; ","")&amp;IF(IFERROR(IF(AND(LEN(J341)=6,ISNUMBER(VALUE(J341))),0,1),1)=1,"Pincode; ","")&amp;IF(IFERROR(IF(ISNUMBER(MATCH(TRIM(I341),Lists!$A$2:$A$20,0)),0,1),1)=1,"State; ","")&amp;IF(IFERROR(IF(AND(LEN(K341)=10,VALUE(LEFT(K341,FIND("/",K341)-1))&gt;=1,VALUE(LEFT(K341,FIND("/",K341)-1))&lt;=31,VALUE(LEFT(MID(K341,FIND("/",K341)+1,10),FIND("/",MID(K341,FIND("/",K341)+1,10))-1))&gt;=1,VALUE(LEFT(MID(K341,FIND("/",K341)+1,10),FIND("/",MID(K341,FIND("/",K341)+1,10))-1))&lt;=12,VALUE(LEFT(K341,FIND("/",K341)-1))&lt;=DAY(EOMONTH(DATE(VALUE(MID(MID(K341,FIND("/",K341)+1,10),FIND("/",MID(K341,FIND("/",K341)+1,10))+1,4)),VALUE(LEFT(MID(K341,FIND("/",K341)+1,10),FIND("/",MID(K341,FIND("/",K341)+1,10))-1)),1),0))),0,1),1)=1,"Date; ","")&amp;IF(IFERROR(IF(M341&gt;=0,0,1),1)=1,"Amount; ","")&amp;IF(IFERROR(IF(ISNUMBER(MATCH(N341,Lists!$B$2:$B$7,0)),0,1),1)=1,"Payment; ","")))</f>
        <v/>
      </c>
      <c r="R341" s="3" t="str">
        <f aca="false">IF(D341="","",IF(COUNTIFS($D$2:$D$701,D341,$E$2:$E$701,E341)&gt;1,"DUPLICATE","Unique"))</f>
        <v>Unique</v>
      </c>
    </row>
    <row r="342" customFormat="false" ht="15" hidden="false" customHeight="false" outlineLevel="0" collapsed="false">
      <c r="A342" s="3" t="n">
        <v>341</v>
      </c>
      <c r="B342" s="3" t="n">
        <v>7</v>
      </c>
      <c r="C342" s="3" t="s">
        <v>2483</v>
      </c>
      <c r="D342" s="3" t="s">
        <v>2484</v>
      </c>
      <c r="E342" s="3" t="s">
        <v>2485</v>
      </c>
      <c r="F342" s="3" t="s">
        <v>2486</v>
      </c>
      <c r="G342" s="3" t="s">
        <v>2487</v>
      </c>
      <c r="H342" s="3" t="s">
        <v>633</v>
      </c>
      <c r="I342" s="3" t="s">
        <v>76</v>
      </c>
      <c r="J342" s="3" t="s">
        <v>2488</v>
      </c>
      <c r="K342" s="3" t="s">
        <v>2329</v>
      </c>
      <c r="L342" s="3" t="s">
        <v>50</v>
      </c>
      <c r="M342" s="3" t="n">
        <v>15523.79</v>
      </c>
      <c r="N342" s="3" t="s">
        <v>49</v>
      </c>
      <c r="O342" s="3" t="n">
        <f aca="false">IFERROR(LEN(C342&amp;D342&amp;E342&amp;F342&amp;G342&amp;H342&amp;I342&amp;J342&amp;K342&amp;L342&amp;M342&amp;N342)/5,0)</f>
        <v>27</v>
      </c>
      <c r="P342" s="3" t="str">
        <f aca="false">IF(OR(D342="",C342=""),"",IF((IFERROR(IF(AND(TRIM(D342)=D342,LEN(D342)&gt;0),0,1),1)+IFERROR(IF(AND(LEN(E342)=10,ISNUMBER(VALUE(E342))),0,1),1)+IFERROR(IF(AND(ISNUMBER(SEARCH("@",F342)),ISNUMBER(SEARCH(".",F342))),0,1),1)+IFERROR(IF(AND(LEN(J342)=6,ISNUMBER(VALUE(J342))),0,1),1)+IFERROR(IF(ISNUMBER(MATCH(TRIM(I342),Lists!$A$2:$A$20,0)),0,1),1)+IFERROR(IF(AND(LEN(K342)=10,VALUE(LEFT(K342,FIND("/",K342)-1))&gt;=1,VALUE(LEFT(K342,FIND("/",K342)-1))&lt;=31,VALUE(LEFT(MID(K342,FIND("/",K342)+1,10),FIND("/",MID(K342,FIND("/",K342)+1,10))-1))&gt;=1,VALUE(LEFT(MID(K342,FIND("/",K342)+1,10),FIND("/",MID(K342,FIND("/",K342)+1,10))-1))&lt;=12,VALUE(LEFT(K342,FIND("/",K342)-1))&lt;=DAY(EOMONTH(DATE(VALUE(MID(MID(K342,FIND("/",K342)+1,10),FIND("/",MID(K342,FIND("/",K342)+1,10))+1,4)),VALUE(LEFT(MID(K342,FIND("/",K342)+1,10),FIND("/",MID(K342,FIND("/",K342)+1,10))-1)),1),0))),0,1),1)+IFERROR(IF(M342&gt;=0,0,1),1)+IFERROR(IF(ISNUMBER(MATCH(N342,Lists!$B$2:$B$7,0)),0,1),1))=0,"OK","ERROR"))</f>
        <v>OK</v>
      </c>
      <c r="Q342" s="3" t="str">
        <f aca="false">IF(D342="","",TRIM(IF(IFERROR(IF(AND(TRIM(D342)=D342,LEN(D342)&gt;0),0,1),1)=1,"Name; ","")&amp;IF(IFERROR(IF(AND(LEN(E342)=10,ISNUMBER(VALUE(E342))),0,1),1)=1,"Phone; ","")&amp;IF(IFERROR(IF(AND(ISNUMBER(SEARCH("@",F342)),ISNUMBER(SEARCH(".",F342))),0,1),1)=1,"Email; ","")&amp;IF(IFERROR(IF(AND(LEN(J342)=6,ISNUMBER(VALUE(J342))),0,1),1)=1,"Pincode; ","")&amp;IF(IFERROR(IF(ISNUMBER(MATCH(TRIM(I342),Lists!$A$2:$A$20,0)),0,1),1)=1,"State; ","")&amp;IF(IFERROR(IF(AND(LEN(K342)=10,VALUE(LEFT(K342,FIND("/",K342)-1))&gt;=1,VALUE(LEFT(K342,FIND("/",K342)-1))&lt;=31,VALUE(LEFT(MID(K342,FIND("/",K342)+1,10),FIND("/",MID(K342,FIND("/",K342)+1,10))-1))&gt;=1,VALUE(LEFT(MID(K342,FIND("/",K342)+1,10),FIND("/",MID(K342,FIND("/",K342)+1,10))-1))&lt;=12,VALUE(LEFT(K342,FIND("/",K342)-1))&lt;=DAY(EOMONTH(DATE(VALUE(MID(MID(K342,FIND("/",K342)+1,10),FIND("/",MID(K342,FIND("/",K342)+1,10))+1,4)),VALUE(LEFT(MID(K342,FIND("/",K342)+1,10),FIND("/",MID(K342,FIND("/",K342)+1,10))-1)),1),0))),0,1),1)=1,"Date; ","")&amp;IF(IFERROR(IF(M342&gt;=0,0,1),1)=1,"Amount; ","")&amp;IF(IFERROR(IF(ISNUMBER(MATCH(N342,Lists!$B$2:$B$7,0)),0,1),1)=1,"Payment; ","")))</f>
        <v/>
      </c>
      <c r="R342" s="3" t="str">
        <f aca="false">IF(D342="","",IF(COUNTIFS($D$2:$D$701,D342,$E$2:$E$701,E342)&gt;1,"DUPLICATE","Unique"))</f>
        <v>Unique</v>
      </c>
    </row>
    <row r="343" customFormat="false" ht="15" hidden="false" customHeight="false" outlineLevel="0" collapsed="false">
      <c r="A343" s="3" t="n">
        <v>342</v>
      </c>
      <c r="B343" s="3" t="n">
        <v>7</v>
      </c>
      <c r="C343" s="3" t="s">
        <v>2489</v>
      </c>
      <c r="D343" s="3" t="s">
        <v>2490</v>
      </c>
      <c r="E343" s="3" t="s">
        <v>2491</v>
      </c>
      <c r="F343" s="3" t="s">
        <v>2492</v>
      </c>
      <c r="G343" s="3" t="s">
        <v>2493</v>
      </c>
      <c r="H343" s="3" t="s">
        <v>540</v>
      </c>
      <c r="I343" s="3" t="s">
        <v>71</v>
      </c>
      <c r="J343" s="3" t="s">
        <v>2494</v>
      </c>
      <c r="K343" s="3" t="s">
        <v>2495</v>
      </c>
      <c r="L343" s="3" t="s">
        <v>66</v>
      </c>
      <c r="M343" s="3" t="n">
        <v>15474.52</v>
      </c>
      <c r="N343" s="3" t="s">
        <v>52</v>
      </c>
      <c r="O343" s="3" t="n">
        <f aca="false">IFERROR(LEN(C343&amp;D343&amp;E343&amp;F343&amp;G343&amp;H343&amp;I343&amp;J343&amp;K343&amp;L343&amp;M343&amp;N343)/5,0)</f>
        <v>32.6</v>
      </c>
      <c r="P343" s="3" t="str">
        <f aca="false">IF(OR(D343="",C343=""),"",IF((IFERROR(IF(AND(TRIM(D343)=D343,LEN(D343)&gt;0),0,1),1)+IFERROR(IF(AND(LEN(E343)=10,ISNUMBER(VALUE(E343))),0,1),1)+IFERROR(IF(AND(ISNUMBER(SEARCH("@",F343)),ISNUMBER(SEARCH(".",F343))),0,1),1)+IFERROR(IF(AND(LEN(J343)=6,ISNUMBER(VALUE(J343))),0,1),1)+IFERROR(IF(ISNUMBER(MATCH(TRIM(I343),Lists!$A$2:$A$20,0)),0,1),1)+IFERROR(IF(AND(LEN(K343)=10,VALUE(LEFT(K343,FIND("/",K343)-1))&gt;=1,VALUE(LEFT(K343,FIND("/",K343)-1))&lt;=31,VALUE(LEFT(MID(K343,FIND("/",K343)+1,10),FIND("/",MID(K343,FIND("/",K343)+1,10))-1))&gt;=1,VALUE(LEFT(MID(K343,FIND("/",K343)+1,10),FIND("/",MID(K343,FIND("/",K343)+1,10))-1))&lt;=12,VALUE(LEFT(K343,FIND("/",K343)-1))&lt;=DAY(EOMONTH(DATE(VALUE(MID(MID(K343,FIND("/",K343)+1,10),FIND("/",MID(K343,FIND("/",K343)+1,10))+1,4)),VALUE(LEFT(MID(K343,FIND("/",K343)+1,10),FIND("/",MID(K343,FIND("/",K343)+1,10))-1)),1),0))),0,1),1)+IFERROR(IF(M343&gt;=0,0,1),1)+IFERROR(IF(ISNUMBER(MATCH(N343,Lists!$B$2:$B$7,0)),0,1),1))=0,"OK","ERROR"))</f>
        <v>OK</v>
      </c>
      <c r="Q343" s="3" t="str">
        <f aca="false">IF(D343="","",TRIM(IF(IFERROR(IF(AND(TRIM(D343)=D343,LEN(D343)&gt;0),0,1),1)=1,"Name; ","")&amp;IF(IFERROR(IF(AND(LEN(E343)=10,ISNUMBER(VALUE(E343))),0,1),1)=1,"Phone; ","")&amp;IF(IFERROR(IF(AND(ISNUMBER(SEARCH("@",F343)),ISNUMBER(SEARCH(".",F343))),0,1),1)=1,"Email; ","")&amp;IF(IFERROR(IF(AND(LEN(J343)=6,ISNUMBER(VALUE(J343))),0,1),1)=1,"Pincode; ","")&amp;IF(IFERROR(IF(ISNUMBER(MATCH(TRIM(I343),Lists!$A$2:$A$20,0)),0,1),1)=1,"State; ","")&amp;IF(IFERROR(IF(AND(LEN(K343)=10,VALUE(LEFT(K343,FIND("/",K343)-1))&gt;=1,VALUE(LEFT(K343,FIND("/",K343)-1))&lt;=31,VALUE(LEFT(MID(K343,FIND("/",K343)+1,10),FIND("/",MID(K343,FIND("/",K343)+1,10))-1))&gt;=1,VALUE(LEFT(MID(K343,FIND("/",K343)+1,10),FIND("/",MID(K343,FIND("/",K343)+1,10))-1))&lt;=12,VALUE(LEFT(K343,FIND("/",K343)-1))&lt;=DAY(EOMONTH(DATE(VALUE(MID(MID(K343,FIND("/",K343)+1,10),FIND("/",MID(K343,FIND("/",K343)+1,10))+1,4)),VALUE(LEFT(MID(K343,FIND("/",K343)+1,10),FIND("/",MID(K343,FIND("/",K343)+1,10))-1)),1),0))),0,1),1)=1,"Date; ","")&amp;IF(IFERROR(IF(M343&gt;=0,0,1),1)=1,"Amount; ","")&amp;IF(IFERROR(IF(ISNUMBER(MATCH(N343,Lists!$B$2:$B$7,0)),0,1),1)=1,"Payment; ","")))</f>
        <v/>
      </c>
      <c r="R343" s="3" t="str">
        <f aca="false">IF(D343="","",IF(COUNTIFS($D$2:$D$701,D343,$E$2:$E$701,E343)&gt;1,"DUPLICATE","Unique"))</f>
        <v>Unique</v>
      </c>
    </row>
    <row r="344" customFormat="false" ht="15" hidden="false" customHeight="false" outlineLevel="0" collapsed="false">
      <c r="A344" s="3" t="n">
        <v>343</v>
      </c>
      <c r="B344" s="3" t="n">
        <v>7</v>
      </c>
      <c r="C344" s="3" t="s">
        <v>2496</v>
      </c>
      <c r="D344" s="3" t="s">
        <v>2497</v>
      </c>
      <c r="E344" s="3" t="s">
        <v>2498</v>
      </c>
      <c r="F344" s="3" t="s">
        <v>2499</v>
      </c>
      <c r="G344" s="3" t="s">
        <v>2500</v>
      </c>
      <c r="H344" s="3" t="s">
        <v>180</v>
      </c>
      <c r="I344" s="3" t="s">
        <v>42</v>
      </c>
      <c r="J344" s="3" t="s">
        <v>2501</v>
      </c>
      <c r="K344" s="3" t="s">
        <v>650</v>
      </c>
      <c r="L344" s="3" t="s">
        <v>53</v>
      </c>
      <c r="M344" s="3" t="n">
        <v>3523.11</v>
      </c>
      <c r="N344" s="3" t="s">
        <v>43</v>
      </c>
      <c r="O344" s="3" t="n">
        <f aca="false">IFERROR(LEN(C344&amp;D344&amp;E344&amp;F344&amp;G344&amp;H344&amp;I344&amp;J344&amp;K344&amp;L344&amp;M344&amp;N344)/5,0)</f>
        <v>26.6</v>
      </c>
      <c r="P344" s="3" t="str">
        <f aca="false">IF(OR(D344="",C344=""),"",IF((IFERROR(IF(AND(TRIM(D344)=D344,LEN(D344)&gt;0),0,1),1)+IFERROR(IF(AND(LEN(E344)=10,ISNUMBER(VALUE(E344))),0,1),1)+IFERROR(IF(AND(ISNUMBER(SEARCH("@",F344)),ISNUMBER(SEARCH(".",F344))),0,1),1)+IFERROR(IF(AND(LEN(J344)=6,ISNUMBER(VALUE(J344))),0,1),1)+IFERROR(IF(ISNUMBER(MATCH(TRIM(I344),Lists!$A$2:$A$20,0)),0,1),1)+IFERROR(IF(AND(LEN(K344)=10,VALUE(LEFT(K344,FIND("/",K344)-1))&gt;=1,VALUE(LEFT(K344,FIND("/",K344)-1))&lt;=31,VALUE(LEFT(MID(K344,FIND("/",K344)+1,10),FIND("/",MID(K344,FIND("/",K344)+1,10))-1))&gt;=1,VALUE(LEFT(MID(K344,FIND("/",K344)+1,10),FIND("/",MID(K344,FIND("/",K344)+1,10))-1))&lt;=12,VALUE(LEFT(K344,FIND("/",K344)-1))&lt;=DAY(EOMONTH(DATE(VALUE(MID(MID(K344,FIND("/",K344)+1,10),FIND("/",MID(K344,FIND("/",K344)+1,10))+1,4)),VALUE(LEFT(MID(K344,FIND("/",K344)+1,10),FIND("/",MID(K344,FIND("/",K344)+1,10))-1)),1),0))),0,1),1)+IFERROR(IF(M344&gt;=0,0,1),1)+IFERROR(IF(ISNUMBER(MATCH(N344,Lists!$B$2:$B$7,0)),0,1),1))=0,"OK","ERROR"))</f>
        <v>OK</v>
      </c>
      <c r="Q344" s="3" t="str">
        <f aca="false">IF(D344="","",TRIM(IF(IFERROR(IF(AND(TRIM(D344)=D344,LEN(D344)&gt;0),0,1),1)=1,"Name; ","")&amp;IF(IFERROR(IF(AND(LEN(E344)=10,ISNUMBER(VALUE(E344))),0,1),1)=1,"Phone; ","")&amp;IF(IFERROR(IF(AND(ISNUMBER(SEARCH("@",F344)),ISNUMBER(SEARCH(".",F344))),0,1),1)=1,"Email; ","")&amp;IF(IFERROR(IF(AND(LEN(J344)=6,ISNUMBER(VALUE(J344))),0,1),1)=1,"Pincode; ","")&amp;IF(IFERROR(IF(ISNUMBER(MATCH(TRIM(I344),Lists!$A$2:$A$20,0)),0,1),1)=1,"State; ","")&amp;IF(IFERROR(IF(AND(LEN(K344)=10,VALUE(LEFT(K344,FIND("/",K344)-1))&gt;=1,VALUE(LEFT(K344,FIND("/",K344)-1))&lt;=31,VALUE(LEFT(MID(K344,FIND("/",K344)+1,10),FIND("/",MID(K344,FIND("/",K344)+1,10))-1))&gt;=1,VALUE(LEFT(MID(K344,FIND("/",K344)+1,10),FIND("/",MID(K344,FIND("/",K344)+1,10))-1))&lt;=12,VALUE(LEFT(K344,FIND("/",K344)-1))&lt;=DAY(EOMONTH(DATE(VALUE(MID(MID(K344,FIND("/",K344)+1,10),FIND("/",MID(K344,FIND("/",K344)+1,10))+1,4)),VALUE(LEFT(MID(K344,FIND("/",K344)+1,10),FIND("/",MID(K344,FIND("/",K344)+1,10))-1)),1),0))),0,1),1)=1,"Date; ","")&amp;IF(IFERROR(IF(M344&gt;=0,0,1),1)=1,"Amount; ","")&amp;IF(IFERROR(IF(ISNUMBER(MATCH(N344,Lists!$B$2:$B$7,0)),0,1),1)=1,"Payment; ","")))</f>
        <v/>
      </c>
      <c r="R344" s="3" t="str">
        <f aca="false">IF(D344="","",IF(COUNTIFS($D$2:$D$701,D344,$E$2:$E$701,E344)&gt;1,"DUPLICATE","Unique"))</f>
        <v>Unique</v>
      </c>
    </row>
    <row r="345" customFormat="false" ht="15" hidden="false" customHeight="false" outlineLevel="0" collapsed="false">
      <c r="A345" s="3" t="n">
        <v>344</v>
      </c>
      <c r="B345" s="3" t="n">
        <v>7</v>
      </c>
      <c r="C345" s="3" t="s">
        <v>2502</v>
      </c>
      <c r="D345" s="3" t="s">
        <v>2503</v>
      </c>
      <c r="E345" s="3" t="s">
        <v>2504</v>
      </c>
      <c r="F345" s="3" t="s">
        <v>2505</v>
      </c>
      <c r="G345" s="3" t="s">
        <v>2506</v>
      </c>
      <c r="H345" s="3" t="s">
        <v>1738</v>
      </c>
      <c r="I345" s="3" t="s">
        <v>73</v>
      </c>
      <c r="J345" s="3" t="s">
        <v>2507</v>
      </c>
      <c r="K345" s="3" t="s">
        <v>2508</v>
      </c>
      <c r="L345" s="3" t="s">
        <v>68</v>
      </c>
      <c r="M345" s="3" t="n">
        <v>13051.16</v>
      </c>
      <c r="N345" s="3" t="s">
        <v>55</v>
      </c>
      <c r="O345" s="3" t="n">
        <f aca="false">IFERROR(LEN(C345&amp;D345&amp;E345&amp;F345&amp;G345&amp;H345&amp;I345&amp;J345&amp;K345&amp;L345&amp;M345&amp;N345)/5,0)</f>
        <v>25.4</v>
      </c>
      <c r="P345" s="3" t="str">
        <f aca="false">IF(OR(D345="",C345=""),"",IF((IFERROR(IF(AND(TRIM(D345)=D345,LEN(D345)&gt;0),0,1),1)+IFERROR(IF(AND(LEN(E345)=10,ISNUMBER(VALUE(E345))),0,1),1)+IFERROR(IF(AND(ISNUMBER(SEARCH("@",F345)),ISNUMBER(SEARCH(".",F345))),0,1),1)+IFERROR(IF(AND(LEN(J345)=6,ISNUMBER(VALUE(J345))),0,1),1)+IFERROR(IF(ISNUMBER(MATCH(TRIM(I345),Lists!$A$2:$A$20,0)),0,1),1)+IFERROR(IF(AND(LEN(K345)=10,VALUE(LEFT(K345,FIND("/",K345)-1))&gt;=1,VALUE(LEFT(K345,FIND("/",K345)-1))&lt;=31,VALUE(LEFT(MID(K345,FIND("/",K345)+1,10),FIND("/",MID(K345,FIND("/",K345)+1,10))-1))&gt;=1,VALUE(LEFT(MID(K345,FIND("/",K345)+1,10),FIND("/",MID(K345,FIND("/",K345)+1,10))-1))&lt;=12,VALUE(LEFT(K345,FIND("/",K345)-1))&lt;=DAY(EOMONTH(DATE(VALUE(MID(MID(K345,FIND("/",K345)+1,10),FIND("/",MID(K345,FIND("/",K345)+1,10))+1,4)),VALUE(LEFT(MID(K345,FIND("/",K345)+1,10),FIND("/",MID(K345,FIND("/",K345)+1,10))-1)),1),0))),0,1),1)+IFERROR(IF(M345&gt;=0,0,1),1)+IFERROR(IF(ISNUMBER(MATCH(N345,Lists!$B$2:$B$7,0)),0,1),1))=0,"OK","ERROR"))</f>
        <v>OK</v>
      </c>
      <c r="Q345" s="3" t="str">
        <f aca="false">IF(D345="","",TRIM(IF(IFERROR(IF(AND(TRIM(D345)=D345,LEN(D345)&gt;0),0,1),1)=1,"Name; ","")&amp;IF(IFERROR(IF(AND(LEN(E345)=10,ISNUMBER(VALUE(E345))),0,1),1)=1,"Phone; ","")&amp;IF(IFERROR(IF(AND(ISNUMBER(SEARCH("@",F345)),ISNUMBER(SEARCH(".",F345))),0,1),1)=1,"Email; ","")&amp;IF(IFERROR(IF(AND(LEN(J345)=6,ISNUMBER(VALUE(J345))),0,1),1)=1,"Pincode; ","")&amp;IF(IFERROR(IF(ISNUMBER(MATCH(TRIM(I345),Lists!$A$2:$A$20,0)),0,1),1)=1,"State; ","")&amp;IF(IFERROR(IF(AND(LEN(K345)=10,VALUE(LEFT(K345,FIND("/",K345)-1))&gt;=1,VALUE(LEFT(K345,FIND("/",K345)-1))&lt;=31,VALUE(LEFT(MID(K345,FIND("/",K345)+1,10),FIND("/",MID(K345,FIND("/",K345)+1,10))-1))&gt;=1,VALUE(LEFT(MID(K345,FIND("/",K345)+1,10),FIND("/",MID(K345,FIND("/",K345)+1,10))-1))&lt;=12,VALUE(LEFT(K345,FIND("/",K345)-1))&lt;=DAY(EOMONTH(DATE(VALUE(MID(MID(K345,FIND("/",K345)+1,10),FIND("/",MID(K345,FIND("/",K345)+1,10))+1,4)),VALUE(LEFT(MID(K345,FIND("/",K345)+1,10),FIND("/",MID(K345,FIND("/",K345)+1,10))-1)),1),0))),0,1),1)=1,"Date; ","")&amp;IF(IFERROR(IF(M345&gt;=0,0,1),1)=1,"Amount; ","")&amp;IF(IFERROR(IF(ISNUMBER(MATCH(N345,Lists!$B$2:$B$7,0)),0,1),1)=1,"Payment; ","")))</f>
        <v/>
      </c>
      <c r="R345" s="3" t="str">
        <f aca="false">IF(D345="","",IF(COUNTIFS($D$2:$D$701,D345,$E$2:$E$701,E345)&gt;1,"DUPLICATE","Unique"))</f>
        <v>Unique</v>
      </c>
    </row>
    <row r="346" customFormat="false" ht="15" hidden="false" customHeight="false" outlineLevel="0" collapsed="false">
      <c r="A346" s="3" t="n">
        <v>345</v>
      </c>
      <c r="B346" s="3" t="n">
        <v>7</v>
      </c>
      <c r="C346" s="3" t="s">
        <v>2509</v>
      </c>
      <c r="D346" s="3" t="s">
        <v>2510</v>
      </c>
      <c r="E346" s="3" t="s">
        <v>2511</v>
      </c>
      <c r="F346" s="3" t="s">
        <v>2512</v>
      </c>
      <c r="G346" s="3" t="s">
        <v>2513</v>
      </c>
      <c r="H346" s="3" t="s">
        <v>250</v>
      </c>
      <c r="I346" s="3" t="s">
        <v>2514</v>
      </c>
      <c r="J346" s="3" t="s">
        <v>2515</v>
      </c>
      <c r="K346" s="3" t="s">
        <v>2516</v>
      </c>
      <c r="L346" s="3" t="s">
        <v>70</v>
      </c>
      <c r="M346" s="3" t="n">
        <v>15041.81</v>
      </c>
      <c r="N346" s="3" t="s">
        <v>49</v>
      </c>
      <c r="O346" s="3" t="n">
        <f aca="false">IFERROR(LEN(C346&amp;D346&amp;E346&amp;F346&amp;G346&amp;H346&amp;I346&amp;J346&amp;K346&amp;L346&amp;M346&amp;N346)/5,0)</f>
        <v>28.6</v>
      </c>
      <c r="P346" s="3" t="str">
        <f aca="false">IF(OR(D346="",C346=""),"",IF((IFERROR(IF(AND(TRIM(D346)=D346,LEN(D346)&gt;0),0,1),1)+IFERROR(IF(AND(LEN(E346)=10,ISNUMBER(VALUE(E346))),0,1),1)+IFERROR(IF(AND(ISNUMBER(SEARCH("@",F346)),ISNUMBER(SEARCH(".",F346))),0,1),1)+IFERROR(IF(AND(LEN(J346)=6,ISNUMBER(VALUE(J346))),0,1),1)+IFERROR(IF(ISNUMBER(MATCH(TRIM(I346),Lists!$A$2:$A$20,0)),0,1),1)+IFERROR(IF(AND(LEN(K346)=10,VALUE(LEFT(K346,FIND("/",K346)-1))&gt;=1,VALUE(LEFT(K346,FIND("/",K346)-1))&lt;=31,VALUE(LEFT(MID(K346,FIND("/",K346)+1,10),FIND("/",MID(K346,FIND("/",K346)+1,10))-1))&gt;=1,VALUE(LEFT(MID(K346,FIND("/",K346)+1,10),FIND("/",MID(K346,FIND("/",K346)+1,10))-1))&lt;=12,VALUE(LEFT(K346,FIND("/",K346)-1))&lt;=DAY(EOMONTH(DATE(VALUE(MID(MID(K346,FIND("/",K346)+1,10),FIND("/",MID(K346,FIND("/",K346)+1,10))+1,4)),VALUE(LEFT(MID(K346,FIND("/",K346)+1,10),FIND("/",MID(K346,FIND("/",K346)+1,10))-1)),1),0))),0,1),1)+IFERROR(IF(M346&gt;=0,0,1),1)+IFERROR(IF(ISNUMBER(MATCH(N346,Lists!$B$2:$B$7,0)),0,1),1))=0,"OK","ERROR"))</f>
        <v>OK</v>
      </c>
      <c r="Q346" s="3" t="str">
        <f aca="false">IF(D346="","",TRIM(IF(IFERROR(IF(AND(TRIM(D346)=D346,LEN(D346)&gt;0),0,1),1)=1,"Name; ","")&amp;IF(IFERROR(IF(AND(LEN(E346)=10,ISNUMBER(VALUE(E346))),0,1),1)=1,"Phone; ","")&amp;IF(IFERROR(IF(AND(ISNUMBER(SEARCH("@",F346)),ISNUMBER(SEARCH(".",F346))),0,1),1)=1,"Email; ","")&amp;IF(IFERROR(IF(AND(LEN(J346)=6,ISNUMBER(VALUE(J346))),0,1),1)=1,"Pincode; ","")&amp;IF(IFERROR(IF(ISNUMBER(MATCH(TRIM(I346),Lists!$A$2:$A$20,0)),0,1),1)=1,"State; ","")&amp;IF(IFERROR(IF(AND(LEN(K346)=10,VALUE(LEFT(K346,FIND("/",K346)-1))&gt;=1,VALUE(LEFT(K346,FIND("/",K346)-1))&lt;=31,VALUE(LEFT(MID(K346,FIND("/",K346)+1,10),FIND("/",MID(K346,FIND("/",K346)+1,10))-1))&gt;=1,VALUE(LEFT(MID(K346,FIND("/",K346)+1,10),FIND("/",MID(K346,FIND("/",K346)+1,10))-1))&lt;=12,VALUE(LEFT(K346,FIND("/",K346)-1))&lt;=DAY(EOMONTH(DATE(VALUE(MID(MID(K346,FIND("/",K346)+1,10),FIND("/",MID(K346,FIND("/",K346)+1,10))+1,4)),VALUE(LEFT(MID(K346,FIND("/",K346)+1,10),FIND("/",MID(K346,FIND("/",K346)+1,10))-1)),1),0))),0,1),1)=1,"Date; ","")&amp;IF(IFERROR(IF(M346&gt;=0,0,1),1)=1,"Amount; ","")&amp;IF(IFERROR(IF(ISNUMBER(MATCH(N346,Lists!$B$2:$B$7,0)),0,1),1)=1,"Payment; ","")))</f>
        <v/>
      </c>
      <c r="R346" s="3" t="str">
        <f aca="false">IF(D346="","",IF(COUNTIFS($D$2:$D$701,D346,$E$2:$E$701,E346)&gt;1,"DUPLICATE","Unique"))</f>
        <v>Unique</v>
      </c>
    </row>
    <row r="347" customFormat="false" ht="15" hidden="false" customHeight="false" outlineLevel="0" collapsed="false">
      <c r="A347" s="3" t="n">
        <v>346</v>
      </c>
      <c r="B347" s="3" t="n">
        <v>7</v>
      </c>
      <c r="C347" s="3" t="s">
        <v>2517</v>
      </c>
      <c r="D347" s="3" t="s">
        <v>2518</v>
      </c>
      <c r="E347" s="3" t="s">
        <v>2519</v>
      </c>
      <c r="F347" s="3" t="s">
        <v>2520</v>
      </c>
      <c r="G347" s="3" t="s">
        <v>2521</v>
      </c>
      <c r="H347" s="3" t="s">
        <v>819</v>
      </c>
      <c r="I347" s="3" t="s">
        <v>75</v>
      </c>
      <c r="J347" s="3" t="s">
        <v>2522</v>
      </c>
      <c r="K347" s="3" t="s">
        <v>2523</v>
      </c>
      <c r="L347" s="3" t="s">
        <v>50</v>
      </c>
      <c r="M347" s="3" t="n">
        <v>14527.15</v>
      </c>
      <c r="N347" s="3" t="s">
        <v>49</v>
      </c>
      <c r="O347" s="3" t="n">
        <f aca="false">IFERROR(LEN(C347&amp;D347&amp;E347&amp;F347&amp;G347&amp;H347&amp;I347&amp;J347&amp;K347&amp;L347&amp;M347&amp;N347)/5,0)</f>
        <v>27.4</v>
      </c>
      <c r="P347" s="3" t="str">
        <f aca="false">IF(OR(D347="",C347=""),"",IF((IFERROR(IF(AND(TRIM(D347)=D347,LEN(D347)&gt;0),0,1),1)+IFERROR(IF(AND(LEN(E347)=10,ISNUMBER(VALUE(E347))),0,1),1)+IFERROR(IF(AND(ISNUMBER(SEARCH("@",F347)),ISNUMBER(SEARCH(".",F347))),0,1),1)+IFERROR(IF(AND(LEN(J347)=6,ISNUMBER(VALUE(J347))),0,1),1)+IFERROR(IF(ISNUMBER(MATCH(TRIM(I347),Lists!$A$2:$A$20,0)),0,1),1)+IFERROR(IF(AND(LEN(K347)=10,VALUE(LEFT(K347,FIND("/",K347)-1))&gt;=1,VALUE(LEFT(K347,FIND("/",K347)-1))&lt;=31,VALUE(LEFT(MID(K347,FIND("/",K347)+1,10),FIND("/",MID(K347,FIND("/",K347)+1,10))-1))&gt;=1,VALUE(LEFT(MID(K347,FIND("/",K347)+1,10),FIND("/",MID(K347,FIND("/",K347)+1,10))-1))&lt;=12,VALUE(LEFT(K347,FIND("/",K347)-1))&lt;=DAY(EOMONTH(DATE(VALUE(MID(MID(K347,FIND("/",K347)+1,10),FIND("/",MID(K347,FIND("/",K347)+1,10))+1,4)),VALUE(LEFT(MID(K347,FIND("/",K347)+1,10),FIND("/",MID(K347,FIND("/",K347)+1,10))-1)),1),0))),0,1),1)+IFERROR(IF(M347&gt;=0,0,1),1)+IFERROR(IF(ISNUMBER(MATCH(N347,Lists!$B$2:$B$7,0)),0,1),1))=0,"OK","ERROR"))</f>
        <v>OK</v>
      </c>
      <c r="Q347" s="3" t="str">
        <f aca="false">IF(D347="","",TRIM(IF(IFERROR(IF(AND(TRIM(D347)=D347,LEN(D347)&gt;0),0,1),1)=1,"Name; ","")&amp;IF(IFERROR(IF(AND(LEN(E347)=10,ISNUMBER(VALUE(E347))),0,1),1)=1,"Phone; ","")&amp;IF(IFERROR(IF(AND(ISNUMBER(SEARCH("@",F347)),ISNUMBER(SEARCH(".",F347))),0,1),1)=1,"Email; ","")&amp;IF(IFERROR(IF(AND(LEN(J347)=6,ISNUMBER(VALUE(J347))),0,1),1)=1,"Pincode; ","")&amp;IF(IFERROR(IF(ISNUMBER(MATCH(TRIM(I347),Lists!$A$2:$A$20,0)),0,1),1)=1,"State; ","")&amp;IF(IFERROR(IF(AND(LEN(K347)=10,VALUE(LEFT(K347,FIND("/",K347)-1))&gt;=1,VALUE(LEFT(K347,FIND("/",K347)-1))&lt;=31,VALUE(LEFT(MID(K347,FIND("/",K347)+1,10),FIND("/",MID(K347,FIND("/",K347)+1,10))-1))&gt;=1,VALUE(LEFT(MID(K347,FIND("/",K347)+1,10),FIND("/",MID(K347,FIND("/",K347)+1,10))-1))&lt;=12,VALUE(LEFT(K347,FIND("/",K347)-1))&lt;=DAY(EOMONTH(DATE(VALUE(MID(MID(K347,FIND("/",K347)+1,10),FIND("/",MID(K347,FIND("/",K347)+1,10))+1,4)),VALUE(LEFT(MID(K347,FIND("/",K347)+1,10),FIND("/",MID(K347,FIND("/",K347)+1,10))-1)),1),0))),0,1),1)=1,"Date; ","")&amp;IF(IFERROR(IF(M347&gt;=0,0,1),1)=1,"Amount; ","")&amp;IF(IFERROR(IF(ISNUMBER(MATCH(N347,Lists!$B$2:$B$7,0)),0,1),1)=1,"Payment; ","")))</f>
        <v/>
      </c>
      <c r="R347" s="3" t="str">
        <f aca="false">IF(D347="","",IF(COUNTIFS($D$2:$D$701,D347,$E$2:$E$701,E347)&gt;1,"DUPLICATE","Unique"))</f>
        <v>Unique</v>
      </c>
    </row>
    <row r="348" customFormat="false" ht="15" hidden="false" customHeight="false" outlineLevel="0" collapsed="false">
      <c r="A348" s="3" t="n">
        <v>347</v>
      </c>
      <c r="B348" s="3" t="n">
        <v>7</v>
      </c>
      <c r="C348" s="3" t="s">
        <v>2524</v>
      </c>
      <c r="D348" s="3" t="s">
        <v>2525</v>
      </c>
      <c r="E348" s="3" t="s">
        <v>2526</v>
      </c>
      <c r="F348" s="3" t="s">
        <v>2527</v>
      </c>
      <c r="G348" s="3" t="s">
        <v>2528</v>
      </c>
      <c r="H348" s="3" t="s">
        <v>770</v>
      </c>
      <c r="I348" s="3" t="s">
        <v>57</v>
      </c>
      <c r="J348" s="3" t="s">
        <v>2529</v>
      </c>
      <c r="K348" s="3" t="s">
        <v>2530</v>
      </c>
      <c r="L348" s="3" t="s">
        <v>72</v>
      </c>
      <c r="M348" s="3" t="n">
        <v>10842.04</v>
      </c>
      <c r="N348" s="3" t="s">
        <v>40</v>
      </c>
      <c r="O348" s="3" t="n">
        <f aca="false">IFERROR(LEN(C348&amp;D348&amp;E348&amp;F348&amp;G348&amp;H348&amp;I348&amp;J348&amp;K348&amp;L348&amp;M348&amp;N348)/5,0)</f>
        <v>23.4</v>
      </c>
      <c r="P348" s="3" t="str">
        <f aca="false">IF(OR(D348="",C348=""),"",IF((IFERROR(IF(AND(TRIM(D348)=D348,LEN(D348)&gt;0),0,1),1)+IFERROR(IF(AND(LEN(E348)=10,ISNUMBER(VALUE(E348))),0,1),1)+IFERROR(IF(AND(ISNUMBER(SEARCH("@",F348)),ISNUMBER(SEARCH(".",F348))),0,1),1)+IFERROR(IF(AND(LEN(J348)=6,ISNUMBER(VALUE(J348))),0,1),1)+IFERROR(IF(ISNUMBER(MATCH(TRIM(I348),Lists!$A$2:$A$20,0)),0,1),1)+IFERROR(IF(AND(LEN(K348)=10,VALUE(LEFT(K348,FIND("/",K348)-1))&gt;=1,VALUE(LEFT(K348,FIND("/",K348)-1))&lt;=31,VALUE(LEFT(MID(K348,FIND("/",K348)+1,10),FIND("/",MID(K348,FIND("/",K348)+1,10))-1))&gt;=1,VALUE(LEFT(MID(K348,FIND("/",K348)+1,10),FIND("/",MID(K348,FIND("/",K348)+1,10))-1))&lt;=12,VALUE(LEFT(K348,FIND("/",K348)-1))&lt;=DAY(EOMONTH(DATE(VALUE(MID(MID(K348,FIND("/",K348)+1,10),FIND("/",MID(K348,FIND("/",K348)+1,10))+1,4)),VALUE(LEFT(MID(K348,FIND("/",K348)+1,10),FIND("/",MID(K348,FIND("/",K348)+1,10))-1)),1),0))),0,1),1)+IFERROR(IF(M348&gt;=0,0,1),1)+IFERROR(IF(ISNUMBER(MATCH(N348,Lists!$B$2:$B$7,0)),0,1),1))=0,"OK","ERROR"))</f>
        <v>OK</v>
      </c>
      <c r="Q348" s="3" t="str">
        <f aca="false">IF(D348="","",TRIM(IF(IFERROR(IF(AND(TRIM(D348)=D348,LEN(D348)&gt;0),0,1),1)=1,"Name; ","")&amp;IF(IFERROR(IF(AND(LEN(E348)=10,ISNUMBER(VALUE(E348))),0,1),1)=1,"Phone; ","")&amp;IF(IFERROR(IF(AND(ISNUMBER(SEARCH("@",F348)),ISNUMBER(SEARCH(".",F348))),0,1),1)=1,"Email; ","")&amp;IF(IFERROR(IF(AND(LEN(J348)=6,ISNUMBER(VALUE(J348))),0,1),1)=1,"Pincode; ","")&amp;IF(IFERROR(IF(ISNUMBER(MATCH(TRIM(I348),Lists!$A$2:$A$20,0)),0,1),1)=1,"State; ","")&amp;IF(IFERROR(IF(AND(LEN(K348)=10,VALUE(LEFT(K348,FIND("/",K348)-1))&gt;=1,VALUE(LEFT(K348,FIND("/",K348)-1))&lt;=31,VALUE(LEFT(MID(K348,FIND("/",K348)+1,10),FIND("/",MID(K348,FIND("/",K348)+1,10))-1))&gt;=1,VALUE(LEFT(MID(K348,FIND("/",K348)+1,10),FIND("/",MID(K348,FIND("/",K348)+1,10))-1))&lt;=12,VALUE(LEFT(K348,FIND("/",K348)-1))&lt;=DAY(EOMONTH(DATE(VALUE(MID(MID(K348,FIND("/",K348)+1,10),FIND("/",MID(K348,FIND("/",K348)+1,10))+1,4)),VALUE(LEFT(MID(K348,FIND("/",K348)+1,10),FIND("/",MID(K348,FIND("/",K348)+1,10))-1)),1),0))),0,1),1)=1,"Date; ","")&amp;IF(IFERROR(IF(M348&gt;=0,0,1),1)=1,"Amount; ","")&amp;IF(IFERROR(IF(ISNUMBER(MATCH(N348,Lists!$B$2:$B$7,0)),0,1),1)=1,"Payment; ","")))</f>
        <v/>
      </c>
      <c r="R348" s="3" t="str">
        <f aca="false">IF(D348="","",IF(COUNTIFS($D$2:$D$701,D348,$E$2:$E$701,E348)&gt;1,"DUPLICATE","Unique"))</f>
        <v>Unique</v>
      </c>
    </row>
    <row r="349" customFormat="false" ht="15" hidden="false" customHeight="false" outlineLevel="0" collapsed="false">
      <c r="A349" s="3" t="n">
        <v>348</v>
      </c>
      <c r="B349" s="3" t="n">
        <v>7</v>
      </c>
      <c r="C349" s="3" t="s">
        <v>2531</v>
      </c>
      <c r="D349" s="3" t="s">
        <v>2532</v>
      </c>
      <c r="E349" s="3" t="s">
        <v>2533</v>
      </c>
      <c r="F349" s="3" t="s">
        <v>2534</v>
      </c>
      <c r="G349" s="3" t="s">
        <v>2535</v>
      </c>
      <c r="H349" s="3" t="s">
        <v>641</v>
      </c>
      <c r="I349" s="3" t="s">
        <v>59</v>
      </c>
      <c r="J349" s="3" t="s">
        <v>2536</v>
      </c>
      <c r="K349" s="3" t="s">
        <v>2537</v>
      </c>
      <c r="L349" s="3" t="s">
        <v>53</v>
      </c>
      <c r="M349" s="3" t="n">
        <v>3919.67</v>
      </c>
      <c r="N349" s="3" t="s">
        <v>49</v>
      </c>
      <c r="O349" s="3" t="n">
        <f aca="false">IFERROR(LEN(C349&amp;D349&amp;E349&amp;F349&amp;G349&amp;H349&amp;I349&amp;J349&amp;K349&amp;L349&amp;M349&amp;N349)/5,0)</f>
        <v>26.8</v>
      </c>
      <c r="P349" s="3" t="str">
        <f aca="false">IF(OR(D349="",C349=""),"",IF((IFERROR(IF(AND(TRIM(D349)=D349,LEN(D349)&gt;0),0,1),1)+IFERROR(IF(AND(LEN(E349)=10,ISNUMBER(VALUE(E349))),0,1),1)+IFERROR(IF(AND(ISNUMBER(SEARCH("@",F349)),ISNUMBER(SEARCH(".",F349))),0,1),1)+IFERROR(IF(AND(LEN(J349)=6,ISNUMBER(VALUE(J349))),0,1),1)+IFERROR(IF(ISNUMBER(MATCH(TRIM(I349),Lists!$A$2:$A$20,0)),0,1),1)+IFERROR(IF(AND(LEN(K349)=10,VALUE(LEFT(K349,FIND("/",K349)-1))&gt;=1,VALUE(LEFT(K349,FIND("/",K349)-1))&lt;=31,VALUE(LEFT(MID(K349,FIND("/",K349)+1,10),FIND("/",MID(K349,FIND("/",K349)+1,10))-1))&gt;=1,VALUE(LEFT(MID(K349,FIND("/",K349)+1,10),FIND("/",MID(K349,FIND("/",K349)+1,10))-1))&lt;=12,VALUE(LEFT(K349,FIND("/",K349)-1))&lt;=DAY(EOMONTH(DATE(VALUE(MID(MID(K349,FIND("/",K349)+1,10),FIND("/",MID(K349,FIND("/",K349)+1,10))+1,4)),VALUE(LEFT(MID(K349,FIND("/",K349)+1,10),FIND("/",MID(K349,FIND("/",K349)+1,10))-1)),1),0))),0,1),1)+IFERROR(IF(M349&gt;=0,0,1),1)+IFERROR(IF(ISNUMBER(MATCH(N349,Lists!$B$2:$B$7,0)),0,1),1))=0,"OK","ERROR"))</f>
        <v>OK</v>
      </c>
      <c r="Q349" s="3" t="str">
        <f aca="false">IF(D349="","",TRIM(IF(IFERROR(IF(AND(TRIM(D349)=D349,LEN(D349)&gt;0),0,1),1)=1,"Name; ","")&amp;IF(IFERROR(IF(AND(LEN(E349)=10,ISNUMBER(VALUE(E349))),0,1),1)=1,"Phone; ","")&amp;IF(IFERROR(IF(AND(ISNUMBER(SEARCH("@",F349)),ISNUMBER(SEARCH(".",F349))),0,1),1)=1,"Email; ","")&amp;IF(IFERROR(IF(AND(LEN(J349)=6,ISNUMBER(VALUE(J349))),0,1),1)=1,"Pincode; ","")&amp;IF(IFERROR(IF(ISNUMBER(MATCH(TRIM(I349),Lists!$A$2:$A$20,0)),0,1),1)=1,"State; ","")&amp;IF(IFERROR(IF(AND(LEN(K349)=10,VALUE(LEFT(K349,FIND("/",K349)-1))&gt;=1,VALUE(LEFT(K349,FIND("/",K349)-1))&lt;=31,VALUE(LEFT(MID(K349,FIND("/",K349)+1,10),FIND("/",MID(K349,FIND("/",K349)+1,10))-1))&gt;=1,VALUE(LEFT(MID(K349,FIND("/",K349)+1,10),FIND("/",MID(K349,FIND("/",K349)+1,10))-1))&lt;=12,VALUE(LEFT(K349,FIND("/",K349)-1))&lt;=DAY(EOMONTH(DATE(VALUE(MID(MID(K349,FIND("/",K349)+1,10),FIND("/",MID(K349,FIND("/",K349)+1,10))+1,4)),VALUE(LEFT(MID(K349,FIND("/",K349)+1,10),FIND("/",MID(K349,FIND("/",K349)+1,10))-1)),1),0))),0,1),1)=1,"Date; ","")&amp;IF(IFERROR(IF(M349&gt;=0,0,1),1)=1,"Amount; ","")&amp;IF(IFERROR(IF(ISNUMBER(MATCH(N349,Lists!$B$2:$B$7,0)),0,1),1)=1,"Payment; ","")))</f>
        <v/>
      </c>
      <c r="R349" s="3" t="str">
        <f aca="false">IF(D349="","",IF(COUNTIFS($D$2:$D$701,D349,$E$2:$E$701,E349)&gt;1,"DUPLICATE","Unique"))</f>
        <v>Unique</v>
      </c>
    </row>
    <row r="350" customFormat="false" ht="15" hidden="false" customHeight="false" outlineLevel="0" collapsed="false">
      <c r="A350" s="3" t="n">
        <v>349</v>
      </c>
      <c r="B350" s="3" t="n">
        <v>7</v>
      </c>
      <c r="C350" s="3" t="s">
        <v>2538</v>
      </c>
      <c r="D350" s="3" t="s">
        <v>2539</v>
      </c>
      <c r="E350" s="3" t="s">
        <v>2540</v>
      </c>
      <c r="F350" s="3" t="s">
        <v>2541</v>
      </c>
      <c r="G350" s="3" t="s">
        <v>2542</v>
      </c>
      <c r="H350" s="3" t="s">
        <v>436</v>
      </c>
      <c r="I350" s="3" t="s">
        <v>59</v>
      </c>
      <c r="J350" s="3" t="s">
        <v>2543</v>
      </c>
      <c r="K350" s="3" t="s">
        <v>2544</v>
      </c>
      <c r="L350" s="3" t="s">
        <v>56</v>
      </c>
      <c r="M350" s="3" t="n">
        <v>14909.82</v>
      </c>
      <c r="N350" s="3" t="s">
        <v>49</v>
      </c>
      <c r="O350" s="3" t="n">
        <f aca="false">IFERROR(LEN(C350&amp;D350&amp;E350&amp;F350&amp;G350&amp;H350&amp;I350&amp;J350&amp;K350&amp;L350&amp;M350&amp;N350)/5,0)</f>
        <v>28</v>
      </c>
      <c r="P350" s="3" t="str">
        <f aca="false">IF(OR(D350="",C350=""),"",IF((IFERROR(IF(AND(TRIM(D350)=D350,LEN(D350)&gt;0),0,1),1)+IFERROR(IF(AND(LEN(E350)=10,ISNUMBER(VALUE(E350))),0,1),1)+IFERROR(IF(AND(ISNUMBER(SEARCH("@",F350)),ISNUMBER(SEARCH(".",F350))),0,1),1)+IFERROR(IF(AND(LEN(J350)=6,ISNUMBER(VALUE(J350))),0,1),1)+IFERROR(IF(ISNUMBER(MATCH(TRIM(I350),Lists!$A$2:$A$20,0)),0,1),1)+IFERROR(IF(AND(LEN(K350)=10,VALUE(LEFT(K350,FIND("/",K350)-1))&gt;=1,VALUE(LEFT(K350,FIND("/",K350)-1))&lt;=31,VALUE(LEFT(MID(K350,FIND("/",K350)+1,10),FIND("/",MID(K350,FIND("/",K350)+1,10))-1))&gt;=1,VALUE(LEFT(MID(K350,FIND("/",K350)+1,10),FIND("/",MID(K350,FIND("/",K350)+1,10))-1))&lt;=12,VALUE(LEFT(K350,FIND("/",K350)-1))&lt;=DAY(EOMONTH(DATE(VALUE(MID(MID(K350,FIND("/",K350)+1,10),FIND("/",MID(K350,FIND("/",K350)+1,10))+1,4)),VALUE(LEFT(MID(K350,FIND("/",K350)+1,10),FIND("/",MID(K350,FIND("/",K350)+1,10))-1)),1),0))),0,1),1)+IFERROR(IF(M350&gt;=0,0,1),1)+IFERROR(IF(ISNUMBER(MATCH(N350,Lists!$B$2:$B$7,0)),0,1),1))=0,"OK","ERROR"))</f>
        <v>ERROR</v>
      </c>
      <c r="Q350" s="3" t="str">
        <f aca="false">IF(D350="","",TRIM(IF(IFERROR(IF(AND(TRIM(D350)=D350,LEN(D350)&gt;0),0,1),1)=1,"Name; ","")&amp;IF(IFERROR(IF(AND(LEN(E350)=10,ISNUMBER(VALUE(E350))),0,1),1)=1,"Phone; ","")&amp;IF(IFERROR(IF(AND(ISNUMBER(SEARCH("@",F350)),ISNUMBER(SEARCH(".",F350))),0,1),1)=1,"Email; ","")&amp;IF(IFERROR(IF(AND(LEN(J350)=6,ISNUMBER(VALUE(J350))),0,1),1)=1,"Pincode; ","")&amp;IF(IFERROR(IF(ISNUMBER(MATCH(TRIM(I350),Lists!$A$2:$A$20,0)),0,1),1)=1,"State; ","")&amp;IF(IFERROR(IF(AND(LEN(K350)=10,VALUE(LEFT(K350,FIND("/",K350)-1))&gt;=1,VALUE(LEFT(K350,FIND("/",K350)-1))&lt;=31,VALUE(LEFT(MID(K350,FIND("/",K350)+1,10),FIND("/",MID(K350,FIND("/",K350)+1,10))-1))&gt;=1,VALUE(LEFT(MID(K350,FIND("/",K350)+1,10),FIND("/",MID(K350,FIND("/",K350)+1,10))-1))&lt;=12,VALUE(LEFT(K350,FIND("/",K350)-1))&lt;=DAY(EOMONTH(DATE(VALUE(MID(MID(K350,FIND("/",K350)+1,10),FIND("/",MID(K350,FIND("/",K350)+1,10))+1,4)),VALUE(LEFT(MID(K350,FIND("/",K350)+1,10),FIND("/",MID(K350,FIND("/",K350)+1,10))-1)),1),0))),0,1),1)=1,"Date; ","")&amp;IF(IFERROR(IF(M350&gt;=0,0,1),1)=1,"Amount; ","")&amp;IF(IFERROR(IF(ISNUMBER(MATCH(N350,Lists!$B$2:$B$7,0)),0,1),1)=1,"Payment; ","")))</f>
        <v>Email;</v>
      </c>
      <c r="R350" s="3" t="str">
        <f aca="false">IF(D350="","",IF(COUNTIFS($D$2:$D$701,D350,$E$2:$E$701,E350)&gt;1,"DUPLICATE","Unique"))</f>
        <v>Unique</v>
      </c>
    </row>
    <row r="351" customFormat="false" ht="15" hidden="false" customHeight="false" outlineLevel="0" collapsed="false">
      <c r="A351" s="3" t="n">
        <v>350</v>
      </c>
      <c r="B351" s="3" t="n">
        <v>7</v>
      </c>
      <c r="C351" s="3" t="s">
        <v>2545</v>
      </c>
      <c r="D351" s="3" t="s">
        <v>2546</v>
      </c>
      <c r="E351" s="3" t="s">
        <v>2547</v>
      </c>
      <c r="F351" s="3" t="s">
        <v>2548</v>
      </c>
      <c r="G351" s="3" t="s">
        <v>2549</v>
      </c>
      <c r="H351" s="3" t="s">
        <v>1207</v>
      </c>
      <c r="I351" s="3" t="s">
        <v>67</v>
      </c>
      <c r="J351" s="3" t="s">
        <v>2550</v>
      </c>
      <c r="K351" s="3" t="s">
        <v>2551</v>
      </c>
      <c r="L351" s="3" t="s">
        <v>44</v>
      </c>
      <c r="M351" s="3" t="n">
        <v>5212.61</v>
      </c>
      <c r="N351" s="3" t="s">
        <v>52</v>
      </c>
      <c r="O351" s="3" t="n">
        <f aca="false">IFERROR(LEN(C351&amp;D351&amp;E351&amp;F351&amp;G351&amp;H351&amp;I351&amp;J351&amp;K351&amp;L351&amp;M351&amp;N351)/5,0)</f>
        <v>29.2</v>
      </c>
      <c r="P351" s="3" t="str">
        <f aca="false">IF(OR(D351="",C351=""),"",IF((IFERROR(IF(AND(TRIM(D351)=D351,LEN(D351)&gt;0),0,1),1)+IFERROR(IF(AND(LEN(E351)=10,ISNUMBER(VALUE(E351))),0,1),1)+IFERROR(IF(AND(ISNUMBER(SEARCH("@",F351)),ISNUMBER(SEARCH(".",F351))),0,1),1)+IFERROR(IF(AND(LEN(J351)=6,ISNUMBER(VALUE(J351))),0,1),1)+IFERROR(IF(ISNUMBER(MATCH(TRIM(I351),Lists!$A$2:$A$20,0)),0,1),1)+IFERROR(IF(AND(LEN(K351)=10,VALUE(LEFT(K351,FIND("/",K351)-1))&gt;=1,VALUE(LEFT(K351,FIND("/",K351)-1))&lt;=31,VALUE(LEFT(MID(K351,FIND("/",K351)+1,10),FIND("/",MID(K351,FIND("/",K351)+1,10))-1))&gt;=1,VALUE(LEFT(MID(K351,FIND("/",K351)+1,10),FIND("/",MID(K351,FIND("/",K351)+1,10))-1))&lt;=12,VALUE(LEFT(K351,FIND("/",K351)-1))&lt;=DAY(EOMONTH(DATE(VALUE(MID(MID(K351,FIND("/",K351)+1,10),FIND("/",MID(K351,FIND("/",K351)+1,10))+1,4)),VALUE(LEFT(MID(K351,FIND("/",K351)+1,10),FIND("/",MID(K351,FIND("/",K351)+1,10))-1)),1),0))),0,1),1)+IFERROR(IF(M351&gt;=0,0,1),1)+IFERROR(IF(ISNUMBER(MATCH(N351,Lists!$B$2:$B$7,0)),0,1),1))=0,"OK","ERROR"))</f>
        <v>OK</v>
      </c>
      <c r="Q351" s="3" t="str">
        <f aca="false">IF(D351="","",TRIM(IF(IFERROR(IF(AND(TRIM(D351)=D351,LEN(D351)&gt;0),0,1),1)=1,"Name; ","")&amp;IF(IFERROR(IF(AND(LEN(E351)=10,ISNUMBER(VALUE(E351))),0,1),1)=1,"Phone; ","")&amp;IF(IFERROR(IF(AND(ISNUMBER(SEARCH("@",F351)),ISNUMBER(SEARCH(".",F351))),0,1),1)=1,"Email; ","")&amp;IF(IFERROR(IF(AND(LEN(J351)=6,ISNUMBER(VALUE(J351))),0,1),1)=1,"Pincode; ","")&amp;IF(IFERROR(IF(ISNUMBER(MATCH(TRIM(I351),Lists!$A$2:$A$20,0)),0,1),1)=1,"State; ","")&amp;IF(IFERROR(IF(AND(LEN(K351)=10,VALUE(LEFT(K351,FIND("/",K351)-1))&gt;=1,VALUE(LEFT(K351,FIND("/",K351)-1))&lt;=31,VALUE(LEFT(MID(K351,FIND("/",K351)+1,10),FIND("/",MID(K351,FIND("/",K351)+1,10))-1))&gt;=1,VALUE(LEFT(MID(K351,FIND("/",K351)+1,10),FIND("/",MID(K351,FIND("/",K351)+1,10))-1))&lt;=12,VALUE(LEFT(K351,FIND("/",K351)-1))&lt;=DAY(EOMONTH(DATE(VALUE(MID(MID(K351,FIND("/",K351)+1,10),FIND("/",MID(K351,FIND("/",K351)+1,10))+1,4)),VALUE(LEFT(MID(K351,FIND("/",K351)+1,10),FIND("/",MID(K351,FIND("/",K351)+1,10))-1)),1),0))),0,1),1)=1,"Date; ","")&amp;IF(IFERROR(IF(M351&gt;=0,0,1),1)=1,"Amount; ","")&amp;IF(IFERROR(IF(ISNUMBER(MATCH(N351,Lists!$B$2:$B$7,0)),0,1),1)=1,"Payment; ","")))</f>
        <v/>
      </c>
      <c r="R351" s="3" t="str">
        <f aca="false">IF(D351="","",IF(COUNTIFS($D$2:$D$701,D351,$E$2:$E$701,E351)&gt;1,"DUPLICATE","Unique"))</f>
        <v>Unique</v>
      </c>
    </row>
    <row r="352" customFormat="false" ht="15" hidden="false" customHeight="false" outlineLevel="0" collapsed="false">
      <c r="A352" s="3" t="n">
        <v>351</v>
      </c>
      <c r="B352" s="3" t="n">
        <v>8</v>
      </c>
      <c r="C352" s="3" t="s">
        <v>2552</v>
      </c>
      <c r="D352" s="3" t="s">
        <v>2553</v>
      </c>
      <c r="E352" s="3" t="s">
        <v>2554</v>
      </c>
      <c r="F352" s="3" t="s">
        <v>2555</v>
      </c>
      <c r="G352" s="3" t="s">
        <v>2556</v>
      </c>
      <c r="H352" s="3" t="s">
        <v>110</v>
      </c>
      <c r="I352" s="3" t="s">
        <v>71</v>
      </c>
      <c r="J352" s="3" t="s">
        <v>2557</v>
      </c>
      <c r="K352" s="3" t="s">
        <v>2558</v>
      </c>
      <c r="L352" s="3" t="s">
        <v>62</v>
      </c>
      <c r="M352" s="3" t="n">
        <v>13676.93</v>
      </c>
      <c r="N352" s="3" t="s">
        <v>55</v>
      </c>
      <c r="O352" s="3" t="n">
        <f aca="false">IFERROR(LEN(C352&amp;D352&amp;E352&amp;F352&amp;G352&amp;H352&amp;I352&amp;J352&amp;K352&amp;L352&amp;M352&amp;N352)/5,0)</f>
        <v>28.4</v>
      </c>
      <c r="P352" s="3" t="str">
        <f aca="false">IF(OR(D352="",C352=""),"",IF((IFERROR(IF(AND(TRIM(D352)=D352,LEN(D352)&gt;0),0,1),1)+IFERROR(IF(AND(LEN(E352)=10,ISNUMBER(VALUE(E352))),0,1),1)+IFERROR(IF(AND(ISNUMBER(SEARCH("@",F352)),ISNUMBER(SEARCH(".",F352))),0,1),1)+IFERROR(IF(AND(LEN(J352)=6,ISNUMBER(VALUE(J352))),0,1),1)+IFERROR(IF(ISNUMBER(MATCH(TRIM(I352),Lists!$A$2:$A$20,0)),0,1),1)+IFERROR(IF(AND(LEN(K352)=10,VALUE(LEFT(K352,FIND("/",K352)-1))&gt;=1,VALUE(LEFT(K352,FIND("/",K352)-1))&lt;=31,VALUE(LEFT(MID(K352,FIND("/",K352)+1,10),FIND("/",MID(K352,FIND("/",K352)+1,10))-1))&gt;=1,VALUE(LEFT(MID(K352,FIND("/",K352)+1,10),FIND("/",MID(K352,FIND("/",K352)+1,10))-1))&lt;=12,VALUE(LEFT(K352,FIND("/",K352)-1))&lt;=DAY(EOMONTH(DATE(VALUE(MID(MID(K352,FIND("/",K352)+1,10),FIND("/",MID(K352,FIND("/",K352)+1,10))+1,4)),VALUE(LEFT(MID(K352,FIND("/",K352)+1,10),FIND("/",MID(K352,FIND("/",K352)+1,10))-1)),1),0))),0,1),1)+IFERROR(IF(M352&gt;=0,0,1),1)+IFERROR(IF(ISNUMBER(MATCH(N352,Lists!$B$2:$B$7,0)),0,1),1))=0,"OK","ERROR"))</f>
        <v>OK</v>
      </c>
      <c r="Q352" s="3" t="str">
        <f aca="false">IF(D352="","",TRIM(IF(IFERROR(IF(AND(TRIM(D352)=D352,LEN(D352)&gt;0),0,1),1)=1,"Name; ","")&amp;IF(IFERROR(IF(AND(LEN(E352)=10,ISNUMBER(VALUE(E352))),0,1),1)=1,"Phone; ","")&amp;IF(IFERROR(IF(AND(ISNUMBER(SEARCH("@",F352)),ISNUMBER(SEARCH(".",F352))),0,1),1)=1,"Email; ","")&amp;IF(IFERROR(IF(AND(LEN(J352)=6,ISNUMBER(VALUE(J352))),0,1),1)=1,"Pincode; ","")&amp;IF(IFERROR(IF(ISNUMBER(MATCH(TRIM(I352),Lists!$A$2:$A$20,0)),0,1),1)=1,"State; ","")&amp;IF(IFERROR(IF(AND(LEN(K352)=10,VALUE(LEFT(K352,FIND("/",K352)-1))&gt;=1,VALUE(LEFT(K352,FIND("/",K352)-1))&lt;=31,VALUE(LEFT(MID(K352,FIND("/",K352)+1,10),FIND("/",MID(K352,FIND("/",K352)+1,10))-1))&gt;=1,VALUE(LEFT(MID(K352,FIND("/",K352)+1,10),FIND("/",MID(K352,FIND("/",K352)+1,10))-1))&lt;=12,VALUE(LEFT(K352,FIND("/",K352)-1))&lt;=DAY(EOMONTH(DATE(VALUE(MID(MID(K352,FIND("/",K352)+1,10),FIND("/",MID(K352,FIND("/",K352)+1,10))+1,4)),VALUE(LEFT(MID(K352,FIND("/",K352)+1,10),FIND("/",MID(K352,FIND("/",K352)+1,10))-1)),1),0))),0,1),1)=1,"Date; ","")&amp;IF(IFERROR(IF(M352&gt;=0,0,1),1)=1,"Amount; ","")&amp;IF(IFERROR(IF(ISNUMBER(MATCH(N352,Lists!$B$2:$B$7,0)),0,1),1)=1,"Payment; ","")))</f>
        <v/>
      </c>
      <c r="R352" s="3" t="str">
        <f aca="false">IF(D352="","",IF(COUNTIFS($D$2:$D$701,D352,$E$2:$E$701,E352)&gt;1,"DUPLICATE","Unique"))</f>
        <v>Unique</v>
      </c>
    </row>
    <row r="353" customFormat="false" ht="15" hidden="false" customHeight="false" outlineLevel="0" collapsed="false">
      <c r="A353" s="3" t="n">
        <v>352</v>
      </c>
      <c r="B353" s="3" t="n">
        <v>8</v>
      </c>
      <c r="C353" s="3" t="s">
        <v>2559</v>
      </c>
      <c r="D353" s="3" t="s">
        <v>2560</v>
      </c>
      <c r="E353" s="3" t="s">
        <v>2561</v>
      </c>
      <c r="F353" s="3" t="s">
        <v>2562</v>
      </c>
      <c r="G353" s="3" t="s">
        <v>2563</v>
      </c>
      <c r="H353" s="3" t="s">
        <v>385</v>
      </c>
      <c r="I353" s="3" t="s">
        <v>73</v>
      </c>
      <c r="J353" s="3" t="s">
        <v>2564</v>
      </c>
      <c r="K353" s="3" t="s">
        <v>2565</v>
      </c>
      <c r="L353" s="3" t="s">
        <v>44</v>
      </c>
      <c r="M353" s="3" t="n">
        <v>13563.25</v>
      </c>
      <c r="N353" s="3" t="s">
        <v>43</v>
      </c>
      <c r="O353" s="3" t="n">
        <f aca="false">IFERROR(LEN(C353&amp;D353&amp;E353&amp;F353&amp;G353&amp;H353&amp;I353&amp;J353&amp;K353&amp;L353&amp;M353&amp;N353)/5,0)</f>
        <v>26.6</v>
      </c>
      <c r="P353" s="3" t="str">
        <f aca="false">IF(OR(D353="",C353=""),"",IF((IFERROR(IF(AND(TRIM(D353)=D353,LEN(D353)&gt;0),0,1),1)+IFERROR(IF(AND(LEN(E353)=10,ISNUMBER(VALUE(E353))),0,1),1)+IFERROR(IF(AND(ISNUMBER(SEARCH("@",F353)),ISNUMBER(SEARCH(".",F353))),0,1),1)+IFERROR(IF(AND(LEN(J353)=6,ISNUMBER(VALUE(J353))),0,1),1)+IFERROR(IF(ISNUMBER(MATCH(TRIM(I353),Lists!$A$2:$A$20,0)),0,1),1)+IFERROR(IF(AND(LEN(K353)=10,VALUE(LEFT(K353,FIND("/",K353)-1))&gt;=1,VALUE(LEFT(K353,FIND("/",K353)-1))&lt;=31,VALUE(LEFT(MID(K353,FIND("/",K353)+1,10),FIND("/",MID(K353,FIND("/",K353)+1,10))-1))&gt;=1,VALUE(LEFT(MID(K353,FIND("/",K353)+1,10),FIND("/",MID(K353,FIND("/",K353)+1,10))-1))&lt;=12,VALUE(LEFT(K353,FIND("/",K353)-1))&lt;=DAY(EOMONTH(DATE(VALUE(MID(MID(K353,FIND("/",K353)+1,10),FIND("/",MID(K353,FIND("/",K353)+1,10))+1,4)),VALUE(LEFT(MID(K353,FIND("/",K353)+1,10),FIND("/",MID(K353,FIND("/",K353)+1,10))-1)),1),0))),0,1),1)+IFERROR(IF(M353&gt;=0,0,1),1)+IFERROR(IF(ISNUMBER(MATCH(N353,Lists!$B$2:$B$7,0)),0,1),1))=0,"OK","ERROR"))</f>
        <v>OK</v>
      </c>
      <c r="Q353" s="3" t="str">
        <f aca="false">IF(D353="","",TRIM(IF(IFERROR(IF(AND(TRIM(D353)=D353,LEN(D353)&gt;0),0,1),1)=1,"Name; ","")&amp;IF(IFERROR(IF(AND(LEN(E353)=10,ISNUMBER(VALUE(E353))),0,1),1)=1,"Phone; ","")&amp;IF(IFERROR(IF(AND(ISNUMBER(SEARCH("@",F353)),ISNUMBER(SEARCH(".",F353))),0,1),1)=1,"Email; ","")&amp;IF(IFERROR(IF(AND(LEN(J353)=6,ISNUMBER(VALUE(J353))),0,1),1)=1,"Pincode; ","")&amp;IF(IFERROR(IF(ISNUMBER(MATCH(TRIM(I353),Lists!$A$2:$A$20,0)),0,1),1)=1,"State; ","")&amp;IF(IFERROR(IF(AND(LEN(K353)=10,VALUE(LEFT(K353,FIND("/",K353)-1))&gt;=1,VALUE(LEFT(K353,FIND("/",K353)-1))&lt;=31,VALUE(LEFT(MID(K353,FIND("/",K353)+1,10),FIND("/",MID(K353,FIND("/",K353)+1,10))-1))&gt;=1,VALUE(LEFT(MID(K353,FIND("/",K353)+1,10),FIND("/",MID(K353,FIND("/",K353)+1,10))-1))&lt;=12,VALUE(LEFT(K353,FIND("/",K353)-1))&lt;=DAY(EOMONTH(DATE(VALUE(MID(MID(K353,FIND("/",K353)+1,10),FIND("/",MID(K353,FIND("/",K353)+1,10))+1,4)),VALUE(LEFT(MID(K353,FIND("/",K353)+1,10),FIND("/",MID(K353,FIND("/",K353)+1,10))-1)),1),0))),0,1),1)=1,"Date; ","")&amp;IF(IFERROR(IF(M353&gt;=0,0,1),1)=1,"Amount; ","")&amp;IF(IFERROR(IF(ISNUMBER(MATCH(N353,Lists!$B$2:$B$7,0)),0,1),1)=1,"Payment; ","")))</f>
        <v/>
      </c>
      <c r="R353" s="3" t="str">
        <f aca="false">IF(D353="","",IF(COUNTIFS($D$2:$D$701,D353,$E$2:$E$701,E353)&gt;1,"DUPLICATE","Unique"))</f>
        <v>Unique</v>
      </c>
    </row>
    <row r="354" customFormat="false" ht="15" hidden="false" customHeight="false" outlineLevel="0" collapsed="false">
      <c r="A354" s="3" t="n">
        <v>353</v>
      </c>
      <c r="B354" s="3" t="n">
        <v>8</v>
      </c>
      <c r="C354" s="3" t="s">
        <v>2566</v>
      </c>
      <c r="D354" s="3" t="s">
        <v>2567</v>
      </c>
      <c r="E354" s="3" t="s">
        <v>2568</v>
      </c>
      <c r="F354" s="3" t="s">
        <v>2569</v>
      </c>
      <c r="G354" s="3" t="s">
        <v>2570</v>
      </c>
      <c r="H354" s="3" t="s">
        <v>663</v>
      </c>
      <c r="I354" s="3" t="s">
        <v>48</v>
      </c>
      <c r="J354" s="3" t="s">
        <v>2571</v>
      </c>
      <c r="K354" s="3" t="s">
        <v>1769</v>
      </c>
      <c r="L354" s="3" t="s">
        <v>66</v>
      </c>
      <c r="M354" s="3" t="n">
        <v>1689.02</v>
      </c>
      <c r="N354" s="3" t="s">
        <v>46</v>
      </c>
      <c r="O354" s="3" t="n">
        <f aca="false">IFERROR(LEN(C354&amp;D354&amp;E354&amp;F354&amp;G354&amp;H354&amp;I354&amp;J354&amp;K354&amp;L354&amp;M354&amp;N354)/5,0)</f>
        <v>29.8</v>
      </c>
      <c r="P354" s="3" t="str">
        <f aca="false">IF(OR(D354="",C354=""),"",IF((IFERROR(IF(AND(TRIM(D354)=D354,LEN(D354)&gt;0),0,1),1)+IFERROR(IF(AND(LEN(E354)=10,ISNUMBER(VALUE(E354))),0,1),1)+IFERROR(IF(AND(ISNUMBER(SEARCH("@",F354)),ISNUMBER(SEARCH(".",F354))),0,1),1)+IFERROR(IF(AND(LEN(J354)=6,ISNUMBER(VALUE(J354))),0,1),1)+IFERROR(IF(ISNUMBER(MATCH(TRIM(I354),Lists!$A$2:$A$20,0)),0,1),1)+IFERROR(IF(AND(LEN(K354)=10,VALUE(LEFT(K354,FIND("/",K354)-1))&gt;=1,VALUE(LEFT(K354,FIND("/",K354)-1))&lt;=31,VALUE(LEFT(MID(K354,FIND("/",K354)+1,10),FIND("/",MID(K354,FIND("/",K354)+1,10))-1))&gt;=1,VALUE(LEFT(MID(K354,FIND("/",K354)+1,10),FIND("/",MID(K354,FIND("/",K354)+1,10))-1))&lt;=12,VALUE(LEFT(K354,FIND("/",K354)-1))&lt;=DAY(EOMONTH(DATE(VALUE(MID(MID(K354,FIND("/",K354)+1,10),FIND("/",MID(K354,FIND("/",K354)+1,10))+1,4)),VALUE(LEFT(MID(K354,FIND("/",K354)+1,10),FIND("/",MID(K354,FIND("/",K354)+1,10))-1)),1),0))),0,1),1)+IFERROR(IF(M354&gt;=0,0,1),1)+IFERROR(IF(ISNUMBER(MATCH(N354,Lists!$B$2:$B$7,0)),0,1),1))=0,"OK","ERROR"))</f>
        <v>OK</v>
      </c>
      <c r="Q354" s="3" t="str">
        <f aca="false">IF(D354="","",TRIM(IF(IFERROR(IF(AND(TRIM(D354)=D354,LEN(D354)&gt;0),0,1),1)=1,"Name; ","")&amp;IF(IFERROR(IF(AND(LEN(E354)=10,ISNUMBER(VALUE(E354))),0,1),1)=1,"Phone; ","")&amp;IF(IFERROR(IF(AND(ISNUMBER(SEARCH("@",F354)),ISNUMBER(SEARCH(".",F354))),0,1),1)=1,"Email; ","")&amp;IF(IFERROR(IF(AND(LEN(J354)=6,ISNUMBER(VALUE(J354))),0,1),1)=1,"Pincode; ","")&amp;IF(IFERROR(IF(ISNUMBER(MATCH(TRIM(I354),Lists!$A$2:$A$20,0)),0,1),1)=1,"State; ","")&amp;IF(IFERROR(IF(AND(LEN(K354)=10,VALUE(LEFT(K354,FIND("/",K354)-1))&gt;=1,VALUE(LEFT(K354,FIND("/",K354)-1))&lt;=31,VALUE(LEFT(MID(K354,FIND("/",K354)+1,10),FIND("/",MID(K354,FIND("/",K354)+1,10))-1))&gt;=1,VALUE(LEFT(MID(K354,FIND("/",K354)+1,10),FIND("/",MID(K354,FIND("/",K354)+1,10))-1))&lt;=12,VALUE(LEFT(K354,FIND("/",K354)-1))&lt;=DAY(EOMONTH(DATE(VALUE(MID(MID(K354,FIND("/",K354)+1,10),FIND("/",MID(K354,FIND("/",K354)+1,10))+1,4)),VALUE(LEFT(MID(K354,FIND("/",K354)+1,10),FIND("/",MID(K354,FIND("/",K354)+1,10))-1)),1),0))),0,1),1)=1,"Date; ","")&amp;IF(IFERROR(IF(M354&gt;=0,0,1),1)=1,"Amount; ","")&amp;IF(IFERROR(IF(ISNUMBER(MATCH(N354,Lists!$B$2:$B$7,0)),0,1),1)=1,"Payment; ","")))</f>
        <v/>
      </c>
      <c r="R354" s="3" t="str">
        <f aca="false">IF(D354="","",IF(COUNTIFS($D$2:$D$701,D354,$E$2:$E$701,E354)&gt;1,"DUPLICATE","Unique"))</f>
        <v>Unique</v>
      </c>
    </row>
    <row r="355" customFormat="false" ht="15" hidden="false" customHeight="false" outlineLevel="0" collapsed="false">
      <c r="A355" s="3" t="n">
        <v>354</v>
      </c>
      <c r="B355" s="3" t="n">
        <v>8</v>
      </c>
      <c r="C355" s="3" t="s">
        <v>2572</v>
      </c>
      <c r="D355" s="3" t="s">
        <v>2573</v>
      </c>
      <c r="E355" s="3" t="s">
        <v>2574</v>
      </c>
      <c r="F355" s="3" t="s">
        <v>2575</v>
      </c>
      <c r="G355" s="3" t="s">
        <v>2576</v>
      </c>
      <c r="H355" s="3" t="s">
        <v>2577</v>
      </c>
      <c r="I355" s="3" t="s">
        <v>39</v>
      </c>
      <c r="J355" s="3" t="s">
        <v>2578</v>
      </c>
      <c r="K355" s="3" t="s">
        <v>679</v>
      </c>
      <c r="L355" s="3" t="s">
        <v>66</v>
      </c>
      <c r="M355" s="3" t="n">
        <v>10032.36</v>
      </c>
      <c r="N355" s="3" t="s">
        <v>49</v>
      </c>
      <c r="O355" s="3" t="n">
        <f aca="false">IFERROR(LEN(C355&amp;D355&amp;E355&amp;F355&amp;G355&amp;H355&amp;I355&amp;J355&amp;K355&amp;L355&amp;M355&amp;N355)/5,0)</f>
        <v>30.8</v>
      </c>
      <c r="P355" s="3" t="str">
        <f aca="false">IF(OR(D355="",C355=""),"",IF((IFERROR(IF(AND(TRIM(D355)=D355,LEN(D355)&gt;0),0,1),1)+IFERROR(IF(AND(LEN(E355)=10,ISNUMBER(VALUE(E355))),0,1),1)+IFERROR(IF(AND(ISNUMBER(SEARCH("@",F355)),ISNUMBER(SEARCH(".",F355))),0,1),1)+IFERROR(IF(AND(LEN(J355)=6,ISNUMBER(VALUE(J355))),0,1),1)+IFERROR(IF(ISNUMBER(MATCH(TRIM(I355),Lists!$A$2:$A$20,0)),0,1),1)+IFERROR(IF(AND(LEN(K355)=10,VALUE(LEFT(K355,FIND("/",K355)-1))&gt;=1,VALUE(LEFT(K355,FIND("/",K355)-1))&lt;=31,VALUE(LEFT(MID(K355,FIND("/",K355)+1,10),FIND("/",MID(K355,FIND("/",K355)+1,10))-1))&gt;=1,VALUE(LEFT(MID(K355,FIND("/",K355)+1,10),FIND("/",MID(K355,FIND("/",K355)+1,10))-1))&lt;=12,VALUE(LEFT(K355,FIND("/",K355)-1))&lt;=DAY(EOMONTH(DATE(VALUE(MID(MID(K355,FIND("/",K355)+1,10),FIND("/",MID(K355,FIND("/",K355)+1,10))+1,4)),VALUE(LEFT(MID(K355,FIND("/",K355)+1,10),FIND("/",MID(K355,FIND("/",K355)+1,10))-1)),1),0))),0,1),1)+IFERROR(IF(M355&gt;=0,0,1),1)+IFERROR(IF(ISNUMBER(MATCH(N355,Lists!$B$2:$B$7,0)),0,1),1))=0,"OK","ERROR"))</f>
        <v>OK</v>
      </c>
      <c r="Q355" s="3" t="str">
        <f aca="false">IF(D355="","",TRIM(IF(IFERROR(IF(AND(TRIM(D355)=D355,LEN(D355)&gt;0),0,1),1)=1,"Name; ","")&amp;IF(IFERROR(IF(AND(LEN(E355)=10,ISNUMBER(VALUE(E355))),0,1),1)=1,"Phone; ","")&amp;IF(IFERROR(IF(AND(ISNUMBER(SEARCH("@",F355)),ISNUMBER(SEARCH(".",F355))),0,1),1)=1,"Email; ","")&amp;IF(IFERROR(IF(AND(LEN(J355)=6,ISNUMBER(VALUE(J355))),0,1),1)=1,"Pincode; ","")&amp;IF(IFERROR(IF(ISNUMBER(MATCH(TRIM(I355),Lists!$A$2:$A$20,0)),0,1),1)=1,"State; ","")&amp;IF(IFERROR(IF(AND(LEN(K355)=10,VALUE(LEFT(K355,FIND("/",K355)-1))&gt;=1,VALUE(LEFT(K355,FIND("/",K355)-1))&lt;=31,VALUE(LEFT(MID(K355,FIND("/",K355)+1,10),FIND("/",MID(K355,FIND("/",K355)+1,10))-1))&gt;=1,VALUE(LEFT(MID(K355,FIND("/",K355)+1,10),FIND("/",MID(K355,FIND("/",K355)+1,10))-1))&lt;=12,VALUE(LEFT(K355,FIND("/",K355)-1))&lt;=DAY(EOMONTH(DATE(VALUE(MID(MID(K355,FIND("/",K355)+1,10),FIND("/",MID(K355,FIND("/",K355)+1,10))+1,4)),VALUE(LEFT(MID(K355,FIND("/",K355)+1,10),FIND("/",MID(K355,FIND("/",K355)+1,10))-1)),1),0))),0,1),1)=1,"Date; ","")&amp;IF(IFERROR(IF(M355&gt;=0,0,1),1)=1,"Amount; ","")&amp;IF(IFERROR(IF(ISNUMBER(MATCH(N355,Lists!$B$2:$B$7,0)),0,1),1)=1,"Payment; ","")))</f>
        <v/>
      </c>
      <c r="R355" s="3" t="str">
        <f aca="false">IF(D355="","",IF(COUNTIFS($D$2:$D$701,D355,$E$2:$E$701,E355)&gt;1,"DUPLICATE","Unique"))</f>
        <v>Unique</v>
      </c>
    </row>
    <row r="356" customFormat="false" ht="15" hidden="false" customHeight="false" outlineLevel="0" collapsed="false">
      <c r="A356" s="3" t="n">
        <v>355</v>
      </c>
      <c r="B356" s="3" t="n">
        <v>8</v>
      </c>
      <c r="C356" s="3" t="s">
        <v>2579</v>
      </c>
      <c r="D356" s="3" t="s">
        <v>2580</v>
      </c>
      <c r="E356" s="3" t="s">
        <v>2581</v>
      </c>
      <c r="F356" s="3" t="s">
        <v>2582</v>
      </c>
      <c r="G356" s="3" t="s">
        <v>2583</v>
      </c>
      <c r="H356" s="3" t="s">
        <v>428</v>
      </c>
      <c r="I356" s="3" t="s">
        <v>65</v>
      </c>
      <c r="J356" s="3" t="s">
        <v>2584</v>
      </c>
      <c r="K356" s="3" t="s">
        <v>534</v>
      </c>
      <c r="L356" s="3" t="s">
        <v>44</v>
      </c>
      <c r="M356" s="3" t="n">
        <v>523.09</v>
      </c>
      <c r="N356" s="3" t="s">
        <v>43</v>
      </c>
      <c r="O356" s="3" t="n">
        <f aca="false">IFERROR(LEN(C356&amp;D356&amp;E356&amp;F356&amp;G356&amp;H356&amp;I356&amp;J356&amp;K356&amp;L356&amp;M356&amp;N356)/5,0)</f>
        <v>25.8</v>
      </c>
      <c r="P356" s="3" t="str">
        <f aca="false">IF(OR(D356="",C356=""),"",IF((IFERROR(IF(AND(TRIM(D356)=D356,LEN(D356)&gt;0),0,1),1)+IFERROR(IF(AND(LEN(E356)=10,ISNUMBER(VALUE(E356))),0,1),1)+IFERROR(IF(AND(ISNUMBER(SEARCH("@",F356)),ISNUMBER(SEARCH(".",F356))),0,1),1)+IFERROR(IF(AND(LEN(J356)=6,ISNUMBER(VALUE(J356))),0,1),1)+IFERROR(IF(ISNUMBER(MATCH(TRIM(I356),Lists!$A$2:$A$20,0)),0,1),1)+IFERROR(IF(AND(LEN(K356)=10,VALUE(LEFT(K356,FIND("/",K356)-1))&gt;=1,VALUE(LEFT(K356,FIND("/",K356)-1))&lt;=31,VALUE(LEFT(MID(K356,FIND("/",K356)+1,10),FIND("/",MID(K356,FIND("/",K356)+1,10))-1))&gt;=1,VALUE(LEFT(MID(K356,FIND("/",K356)+1,10),FIND("/",MID(K356,FIND("/",K356)+1,10))-1))&lt;=12,VALUE(LEFT(K356,FIND("/",K356)-1))&lt;=DAY(EOMONTH(DATE(VALUE(MID(MID(K356,FIND("/",K356)+1,10),FIND("/",MID(K356,FIND("/",K356)+1,10))+1,4)),VALUE(LEFT(MID(K356,FIND("/",K356)+1,10),FIND("/",MID(K356,FIND("/",K356)+1,10))-1)),1),0))),0,1),1)+IFERROR(IF(M356&gt;=0,0,1),1)+IFERROR(IF(ISNUMBER(MATCH(N356,Lists!$B$2:$B$7,0)),0,1),1))=0,"OK","ERROR"))</f>
        <v>OK</v>
      </c>
      <c r="Q356" s="3" t="str">
        <f aca="false">IF(D356="","",TRIM(IF(IFERROR(IF(AND(TRIM(D356)=D356,LEN(D356)&gt;0),0,1),1)=1,"Name; ","")&amp;IF(IFERROR(IF(AND(LEN(E356)=10,ISNUMBER(VALUE(E356))),0,1),1)=1,"Phone; ","")&amp;IF(IFERROR(IF(AND(ISNUMBER(SEARCH("@",F356)),ISNUMBER(SEARCH(".",F356))),0,1),1)=1,"Email; ","")&amp;IF(IFERROR(IF(AND(LEN(J356)=6,ISNUMBER(VALUE(J356))),0,1),1)=1,"Pincode; ","")&amp;IF(IFERROR(IF(ISNUMBER(MATCH(TRIM(I356),Lists!$A$2:$A$20,0)),0,1),1)=1,"State; ","")&amp;IF(IFERROR(IF(AND(LEN(K356)=10,VALUE(LEFT(K356,FIND("/",K356)-1))&gt;=1,VALUE(LEFT(K356,FIND("/",K356)-1))&lt;=31,VALUE(LEFT(MID(K356,FIND("/",K356)+1,10),FIND("/",MID(K356,FIND("/",K356)+1,10))-1))&gt;=1,VALUE(LEFT(MID(K356,FIND("/",K356)+1,10),FIND("/",MID(K356,FIND("/",K356)+1,10))-1))&lt;=12,VALUE(LEFT(K356,FIND("/",K356)-1))&lt;=DAY(EOMONTH(DATE(VALUE(MID(MID(K356,FIND("/",K356)+1,10),FIND("/",MID(K356,FIND("/",K356)+1,10))+1,4)),VALUE(LEFT(MID(K356,FIND("/",K356)+1,10),FIND("/",MID(K356,FIND("/",K356)+1,10))-1)),1),0))),0,1),1)=1,"Date; ","")&amp;IF(IFERROR(IF(M356&gt;=0,0,1),1)=1,"Amount; ","")&amp;IF(IFERROR(IF(ISNUMBER(MATCH(N356,Lists!$B$2:$B$7,0)),0,1),1)=1,"Payment; ","")))</f>
        <v/>
      </c>
      <c r="R356" s="3" t="str">
        <f aca="false">IF(D356="","",IF(COUNTIFS($D$2:$D$701,D356,$E$2:$E$701,E356)&gt;1,"DUPLICATE","Unique"))</f>
        <v>Unique</v>
      </c>
    </row>
    <row r="357" customFormat="false" ht="15" hidden="false" customHeight="false" outlineLevel="0" collapsed="false">
      <c r="A357" s="3" t="n">
        <v>356</v>
      </c>
      <c r="B357" s="3" t="n">
        <v>8</v>
      </c>
      <c r="C357" s="3" t="s">
        <v>2585</v>
      </c>
      <c r="D357" s="3" t="s">
        <v>2586</v>
      </c>
      <c r="E357" s="3" t="s">
        <v>2587</v>
      </c>
      <c r="F357" s="3" t="s">
        <v>2588</v>
      </c>
      <c r="G357" s="3" t="s">
        <v>2589</v>
      </c>
      <c r="H357" s="3" t="s">
        <v>720</v>
      </c>
      <c r="I357" s="3" t="s">
        <v>54</v>
      </c>
      <c r="J357" s="3" t="s">
        <v>2590</v>
      </c>
      <c r="K357" s="3" t="s">
        <v>2591</v>
      </c>
      <c r="L357" s="3" t="s">
        <v>60</v>
      </c>
      <c r="M357" s="3" t="n">
        <v>4440.97</v>
      </c>
      <c r="N357" s="3" t="s">
        <v>52</v>
      </c>
      <c r="O357" s="3" t="n">
        <f aca="false">IFERROR(LEN(C357&amp;D357&amp;E357&amp;F357&amp;G357&amp;H357&amp;I357&amp;J357&amp;K357&amp;L357&amp;M357&amp;N357)/5,0)</f>
        <v>26.6</v>
      </c>
      <c r="P357" s="3" t="str">
        <f aca="false">IF(OR(D357="",C357=""),"",IF((IFERROR(IF(AND(TRIM(D357)=D357,LEN(D357)&gt;0),0,1),1)+IFERROR(IF(AND(LEN(E357)=10,ISNUMBER(VALUE(E357))),0,1),1)+IFERROR(IF(AND(ISNUMBER(SEARCH("@",F357)),ISNUMBER(SEARCH(".",F357))),0,1),1)+IFERROR(IF(AND(LEN(J357)=6,ISNUMBER(VALUE(J357))),0,1),1)+IFERROR(IF(ISNUMBER(MATCH(TRIM(I357),Lists!$A$2:$A$20,0)),0,1),1)+IFERROR(IF(AND(LEN(K357)=10,VALUE(LEFT(K357,FIND("/",K357)-1))&gt;=1,VALUE(LEFT(K357,FIND("/",K357)-1))&lt;=31,VALUE(LEFT(MID(K357,FIND("/",K357)+1,10),FIND("/",MID(K357,FIND("/",K357)+1,10))-1))&gt;=1,VALUE(LEFT(MID(K357,FIND("/",K357)+1,10),FIND("/",MID(K357,FIND("/",K357)+1,10))-1))&lt;=12,VALUE(LEFT(K357,FIND("/",K357)-1))&lt;=DAY(EOMONTH(DATE(VALUE(MID(MID(K357,FIND("/",K357)+1,10),FIND("/",MID(K357,FIND("/",K357)+1,10))+1,4)),VALUE(LEFT(MID(K357,FIND("/",K357)+1,10),FIND("/",MID(K357,FIND("/",K357)+1,10))-1)),1),0))),0,1),1)+IFERROR(IF(M357&gt;=0,0,1),1)+IFERROR(IF(ISNUMBER(MATCH(N357,Lists!$B$2:$B$7,0)),0,1),1))=0,"OK","ERROR"))</f>
        <v>OK</v>
      </c>
      <c r="Q357" s="3" t="str">
        <f aca="false">IF(D357="","",TRIM(IF(IFERROR(IF(AND(TRIM(D357)=D357,LEN(D357)&gt;0),0,1),1)=1,"Name; ","")&amp;IF(IFERROR(IF(AND(LEN(E357)=10,ISNUMBER(VALUE(E357))),0,1),1)=1,"Phone; ","")&amp;IF(IFERROR(IF(AND(ISNUMBER(SEARCH("@",F357)),ISNUMBER(SEARCH(".",F357))),0,1),1)=1,"Email; ","")&amp;IF(IFERROR(IF(AND(LEN(J357)=6,ISNUMBER(VALUE(J357))),0,1),1)=1,"Pincode; ","")&amp;IF(IFERROR(IF(ISNUMBER(MATCH(TRIM(I357),Lists!$A$2:$A$20,0)),0,1),1)=1,"State; ","")&amp;IF(IFERROR(IF(AND(LEN(K357)=10,VALUE(LEFT(K357,FIND("/",K357)-1))&gt;=1,VALUE(LEFT(K357,FIND("/",K357)-1))&lt;=31,VALUE(LEFT(MID(K357,FIND("/",K357)+1,10),FIND("/",MID(K357,FIND("/",K357)+1,10))-1))&gt;=1,VALUE(LEFT(MID(K357,FIND("/",K357)+1,10),FIND("/",MID(K357,FIND("/",K357)+1,10))-1))&lt;=12,VALUE(LEFT(K357,FIND("/",K357)-1))&lt;=DAY(EOMONTH(DATE(VALUE(MID(MID(K357,FIND("/",K357)+1,10),FIND("/",MID(K357,FIND("/",K357)+1,10))+1,4)),VALUE(LEFT(MID(K357,FIND("/",K357)+1,10),FIND("/",MID(K357,FIND("/",K357)+1,10))-1)),1),0))),0,1),1)=1,"Date; ","")&amp;IF(IFERROR(IF(M357&gt;=0,0,1),1)=1,"Amount; ","")&amp;IF(IFERROR(IF(ISNUMBER(MATCH(N357,Lists!$B$2:$B$7,0)),0,1),1)=1,"Payment; ","")))</f>
        <v/>
      </c>
      <c r="R357" s="3" t="str">
        <f aca="false">IF(D357="","",IF(COUNTIFS($D$2:$D$701,D357,$E$2:$E$701,E357)&gt;1,"DUPLICATE","Unique"))</f>
        <v>Unique</v>
      </c>
    </row>
    <row r="358" customFormat="false" ht="15" hidden="false" customHeight="false" outlineLevel="0" collapsed="false">
      <c r="A358" s="3" t="n">
        <v>357</v>
      </c>
      <c r="B358" s="3" t="n">
        <v>8</v>
      </c>
      <c r="C358" s="3" t="s">
        <v>2592</v>
      </c>
      <c r="D358" s="3" t="s">
        <v>2593</v>
      </c>
      <c r="E358" s="3" t="s">
        <v>2594</v>
      </c>
      <c r="F358" s="3" t="s">
        <v>2595</v>
      </c>
      <c r="G358" s="3" t="s">
        <v>2596</v>
      </c>
      <c r="H358" s="3" t="s">
        <v>110</v>
      </c>
      <c r="I358" s="3" t="s">
        <v>71</v>
      </c>
      <c r="J358" s="3" t="s">
        <v>2597</v>
      </c>
      <c r="K358" s="3" t="s">
        <v>2598</v>
      </c>
      <c r="L358" s="3" t="s">
        <v>60</v>
      </c>
      <c r="M358" s="3" t="n">
        <v>7109.22</v>
      </c>
      <c r="N358" s="3" t="s">
        <v>49</v>
      </c>
      <c r="O358" s="3" t="n">
        <f aca="false">IFERROR(LEN(C358&amp;D358&amp;E358&amp;F358&amp;G358&amp;H358&amp;I358&amp;J358&amp;K358&amp;L358&amp;M358&amp;N358)/5,0)</f>
        <v>26.6</v>
      </c>
      <c r="P358" s="3" t="str">
        <f aca="false">IF(OR(D358="",C358=""),"",IF((IFERROR(IF(AND(TRIM(D358)=D358,LEN(D358)&gt;0),0,1),1)+IFERROR(IF(AND(LEN(E358)=10,ISNUMBER(VALUE(E358))),0,1),1)+IFERROR(IF(AND(ISNUMBER(SEARCH("@",F358)),ISNUMBER(SEARCH(".",F358))),0,1),1)+IFERROR(IF(AND(LEN(J358)=6,ISNUMBER(VALUE(J358))),0,1),1)+IFERROR(IF(ISNUMBER(MATCH(TRIM(I358),Lists!$A$2:$A$20,0)),0,1),1)+IFERROR(IF(AND(LEN(K358)=10,VALUE(LEFT(K358,FIND("/",K358)-1))&gt;=1,VALUE(LEFT(K358,FIND("/",K358)-1))&lt;=31,VALUE(LEFT(MID(K358,FIND("/",K358)+1,10),FIND("/",MID(K358,FIND("/",K358)+1,10))-1))&gt;=1,VALUE(LEFT(MID(K358,FIND("/",K358)+1,10),FIND("/",MID(K358,FIND("/",K358)+1,10))-1))&lt;=12,VALUE(LEFT(K358,FIND("/",K358)-1))&lt;=DAY(EOMONTH(DATE(VALUE(MID(MID(K358,FIND("/",K358)+1,10),FIND("/",MID(K358,FIND("/",K358)+1,10))+1,4)),VALUE(LEFT(MID(K358,FIND("/",K358)+1,10),FIND("/",MID(K358,FIND("/",K358)+1,10))-1)),1),0))),0,1),1)+IFERROR(IF(M358&gt;=0,0,1),1)+IFERROR(IF(ISNUMBER(MATCH(N358,Lists!$B$2:$B$7,0)),0,1),1))=0,"OK","ERROR"))</f>
        <v>OK</v>
      </c>
      <c r="Q358" s="3" t="str">
        <f aca="false">IF(D358="","",TRIM(IF(IFERROR(IF(AND(TRIM(D358)=D358,LEN(D358)&gt;0),0,1),1)=1,"Name; ","")&amp;IF(IFERROR(IF(AND(LEN(E358)=10,ISNUMBER(VALUE(E358))),0,1),1)=1,"Phone; ","")&amp;IF(IFERROR(IF(AND(ISNUMBER(SEARCH("@",F358)),ISNUMBER(SEARCH(".",F358))),0,1),1)=1,"Email; ","")&amp;IF(IFERROR(IF(AND(LEN(J358)=6,ISNUMBER(VALUE(J358))),0,1),1)=1,"Pincode; ","")&amp;IF(IFERROR(IF(ISNUMBER(MATCH(TRIM(I358),Lists!$A$2:$A$20,0)),0,1),1)=1,"State; ","")&amp;IF(IFERROR(IF(AND(LEN(K358)=10,VALUE(LEFT(K358,FIND("/",K358)-1))&gt;=1,VALUE(LEFT(K358,FIND("/",K358)-1))&lt;=31,VALUE(LEFT(MID(K358,FIND("/",K358)+1,10),FIND("/",MID(K358,FIND("/",K358)+1,10))-1))&gt;=1,VALUE(LEFT(MID(K358,FIND("/",K358)+1,10),FIND("/",MID(K358,FIND("/",K358)+1,10))-1))&lt;=12,VALUE(LEFT(K358,FIND("/",K358)-1))&lt;=DAY(EOMONTH(DATE(VALUE(MID(MID(K358,FIND("/",K358)+1,10),FIND("/",MID(K358,FIND("/",K358)+1,10))+1,4)),VALUE(LEFT(MID(K358,FIND("/",K358)+1,10),FIND("/",MID(K358,FIND("/",K358)+1,10))-1)),1),0))),0,1),1)=1,"Date; ","")&amp;IF(IFERROR(IF(M358&gt;=0,0,1),1)=1,"Amount; ","")&amp;IF(IFERROR(IF(ISNUMBER(MATCH(N358,Lists!$B$2:$B$7,0)),0,1),1)=1,"Payment; ","")))</f>
        <v/>
      </c>
      <c r="R358" s="3" t="str">
        <f aca="false">IF(D358="","",IF(COUNTIFS($D$2:$D$701,D358,$E$2:$E$701,E358)&gt;1,"DUPLICATE","Unique"))</f>
        <v>Unique</v>
      </c>
    </row>
    <row r="359" customFormat="false" ht="15" hidden="false" customHeight="false" outlineLevel="0" collapsed="false">
      <c r="A359" s="3" t="n">
        <v>358</v>
      </c>
      <c r="B359" s="3" t="n">
        <v>8</v>
      </c>
      <c r="C359" s="3" t="s">
        <v>2599</v>
      </c>
      <c r="D359" s="3" t="s">
        <v>2600</v>
      </c>
      <c r="E359" s="3" t="s">
        <v>2601</v>
      </c>
      <c r="F359" s="3" t="s">
        <v>2602</v>
      </c>
      <c r="G359" s="3" t="s">
        <v>2603</v>
      </c>
      <c r="H359" s="3" t="s">
        <v>472</v>
      </c>
      <c r="I359" s="3" t="s">
        <v>63</v>
      </c>
      <c r="J359" s="3" t="s">
        <v>2604</v>
      </c>
      <c r="K359" s="3" t="s">
        <v>2605</v>
      </c>
      <c r="L359" s="3" t="s">
        <v>66</v>
      </c>
      <c r="M359" s="3" t="n">
        <v>11579.9</v>
      </c>
      <c r="N359" s="3" t="s">
        <v>46</v>
      </c>
      <c r="O359" s="3" t="n">
        <f aca="false">IFERROR(LEN(C359&amp;D359&amp;E359&amp;F359&amp;G359&amp;H359&amp;I359&amp;J359&amp;K359&amp;L359&amp;M359&amp;N359)/5,0)</f>
        <v>32.2</v>
      </c>
      <c r="P359" s="3" t="str">
        <f aca="false">IF(OR(D359="",C359=""),"",IF((IFERROR(IF(AND(TRIM(D359)=D359,LEN(D359)&gt;0),0,1),1)+IFERROR(IF(AND(LEN(E359)=10,ISNUMBER(VALUE(E359))),0,1),1)+IFERROR(IF(AND(ISNUMBER(SEARCH("@",F359)),ISNUMBER(SEARCH(".",F359))),0,1),1)+IFERROR(IF(AND(LEN(J359)=6,ISNUMBER(VALUE(J359))),0,1),1)+IFERROR(IF(ISNUMBER(MATCH(TRIM(I359),Lists!$A$2:$A$20,0)),0,1),1)+IFERROR(IF(AND(LEN(K359)=10,VALUE(LEFT(K359,FIND("/",K359)-1))&gt;=1,VALUE(LEFT(K359,FIND("/",K359)-1))&lt;=31,VALUE(LEFT(MID(K359,FIND("/",K359)+1,10),FIND("/",MID(K359,FIND("/",K359)+1,10))-1))&gt;=1,VALUE(LEFT(MID(K359,FIND("/",K359)+1,10),FIND("/",MID(K359,FIND("/",K359)+1,10))-1))&lt;=12,VALUE(LEFT(K359,FIND("/",K359)-1))&lt;=DAY(EOMONTH(DATE(VALUE(MID(MID(K359,FIND("/",K359)+1,10),FIND("/",MID(K359,FIND("/",K359)+1,10))+1,4)),VALUE(LEFT(MID(K359,FIND("/",K359)+1,10),FIND("/",MID(K359,FIND("/",K359)+1,10))-1)),1),0))),0,1),1)+IFERROR(IF(M359&gt;=0,0,1),1)+IFERROR(IF(ISNUMBER(MATCH(N359,Lists!$B$2:$B$7,0)),0,1),1))=0,"OK","ERROR"))</f>
        <v>OK</v>
      </c>
      <c r="Q359" s="3" t="str">
        <f aca="false">IF(D359="","",TRIM(IF(IFERROR(IF(AND(TRIM(D359)=D359,LEN(D359)&gt;0),0,1),1)=1,"Name; ","")&amp;IF(IFERROR(IF(AND(LEN(E359)=10,ISNUMBER(VALUE(E359))),0,1),1)=1,"Phone; ","")&amp;IF(IFERROR(IF(AND(ISNUMBER(SEARCH("@",F359)),ISNUMBER(SEARCH(".",F359))),0,1),1)=1,"Email; ","")&amp;IF(IFERROR(IF(AND(LEN(J359)=6,ISNUMBER(VALUE(J359))),0,1),1)=1,"Pincode; ","")&amp;IF(IFERROR(IF(ISNUMBER(MATCH(TRIM(I359),Lists!$A$2:$A$20,0)),0,1),1)=1,"State; ","")&amp;IF(IFERROR(IF(AND(LEN(K359)=10,VALUE(LEFT(K359,FIND("/",K359)-1))&gt;=1,VALUE(LEFT(K359,FIND("/",K359)-1))&lt;=31,VALUE(LEFT(MID(K359,FIND("/",K359)+1,10),FIND("/",MID(K359,FIND("/",K359)+1,10))-1))&gt;=1,VALUE(LEFT(MID(K359,FIND("/",K359)+1,10),FIND("/",MID(K359,FIND("/",K359)+1,10))-1))&lt;=12,VALUE(LEFT(K359,FIND("/",K359)-1))&lt;=DAY(EOMONTH(DATE(VALUE(MID(MID(K359,FIND("/",K359)+1,10),FIND("/",MID(K359,FIND("/",K359)+1,10))+1,4)),VALUE(LEFT(MID(K359,FIND("/",K359)+1,10),FIND("/",MID(K359,FIND("/",K359)+1,10))-1)),1),0))),0,1),1)=1,"Date; ","")&amp;IF(IFERROR(IF(M359&gt;=0,0,1),1)=1,"Amount; ","")&amp;IF(IFERROR(IF(ISNUMBER(MATCH(N359,Lists!$B$2:$B$7,0)),0,1),1)=1,"Payment; ","")))</f>
        <v/>
      </c>
      <c r="R359" s="3" t="str">
        <f aca="false">IF(D359="","",IF(COUNTIFS($D$2:$D$701,D359,$E$2:$E$701,E359)&gt;1,"DUPLICATE","Unique"))</f>
        <v>Unique</v>
      </c>
    </row>
    <row r="360" customFormat="false" ht="15" hidden="false" customHeight="false" outlineLevel="0" collapsed="false">
      <c r="A360" s="3" t="n">
        <v>359</v>
      </c>
      <c r="B360" s="3" t="n">
        <v>8</v>
      </c>
      <c r="C360" s="3" t="s">
        <v>2606</v>
      </c>
      <c r="D360" s="3" t="s">
        <v>2607</v>
      </c>
      <c r="E360" s="3" t="s">
        <v>2608</v>
      </c>
      <c r="F360" s="3" t="s">
        <v>2609</v>
      </c>
      <c r="G360" s="3" t="s">
        <v>2610</v>
      </c>
      <c r="H360" s="3" t="s">
        <v>548</v>
      </c>
      <c r="I360" s="3" t="s">
        <v>67</v>
      </c>
      <c r="J360" s="3" t="s">
        <v>2611</v>
      </c>
      <c r="K360" s="3" t="s">
        <v>2612</v>
      </c>
      <c r="L360" s="3" t="s">
        <v>56</v>
      </c>
      <c r="M360" s="3" t="n">
        <v>15473.17</v>
      </c>
      <c r="N360" s="3" t="s">
        <v>43</v>
      </c>
      <c r="O360" s="3" t="n">
        <f aca="false">IFERROR(LEN(C360&amp;D360&amp;E360&amp;F360&amp;G360&amp;H360&amp;I360&amp;J360&amp;K360&amp;L360&amp;M360&amp;N360)/5,0)</f>
        <v>26.6</v>
      </c>
      <c r="P360" s="3" t="str">
        <f aca="false">IF(OR(D360="",C360=""),"",IF((IFERROR(IF(AND(TRIM(D360)=D360,LEN(D360)&gt;0),0,1),1)+IFERROR(IF(AND(LEN(E360)=10,ISNUMBER(VALUE(E360))),0,1),1)+IFERROR(IF(AND(ISNUMBER(SEARCH("@",F360)),ISNUMBER(SEARCH(".",F360))),0,1),1)+IFERROR(IF(AND(LEN(J360)=6,ISNUMBER(VALUE(J360))),0,1),1)+IFERROR(IF(ISNUMBER(MATCH(TRIM(I360),Lists!$A$2:$A$20,0)),0,1),1)+IFERROR(IF(AND(LEN(K360)=10,VALUE(LEFT(K360,FIND("/",K360)-1))&gt;=1,VALUE(LEFT(K360,FIND("/",K360)-1))&lt;=31,VALUE(LEFT(MID(K360,FIND("/",K360)+1,10),FIND("/",MID(K360,FIND("/",K360)+1,10))-1))&gt;=1,VALUE(LEFT(MID(K360,FIND("/",K360)+1,10),FIND("/",MID(K360,FIND("/",K360)+1,10))-1))&lt;=12,VALUE(LEFT(K360,FIND("/",K360)-1))&lt;=DAY(EOMONTH(DATE(VALUE(MID(MID(K360,FIND("/",K360)+1,10),FIND("/",MID(K360,FIND("/",K360)+1,10))+1,4)),VALUE(LEFT(MID(K360,FIND("/",K360)+1,10),FIND("/",MID(K360,FIND("/",K360)+1,10))-1)),1),0))),0,1),1)+IFERROR(IF(M360&gt;=0,0,1),1)+IFERROR(IF(ISNUMBER(MATCH(N360,Lists!$B$2:$B$7,0)),0,1),1))=0,"OK","ERROR"))</f>
        <v>OK</v>
      </c>
      <c r="Q360" s="3" t="str">
        <f aca="false">IF(D360="","",TRIM(IF(IFERROR(IF(AND(TRIM(D360)=D360,LEN(D360)&gt;0),0,1),1)=1,"Name; ","")&amp;IF(IFERROR(IF(AND(LEN(E360)=10,ISNUMBER(VALUE(E360))),0,1),1)=1,"Phone; ","")&amp;IF(IFERROR(IF(AND(ISNUMBER(SEARCH("@",F360)),ISNUMBER(SEARCH(".",F360))),0,1),1)=1,"Email; ","")&amp;IF(IFERROR(IF(AND(LEN(J360)=6,ISNUMBER(VALUE(J360))),0,1),1)=1,"Pincode; ","")&amp;IF(IFERROR(IF(ISNUMBER(MATCH(TRIM(I360),Lists!$A$2:$A$20,0)),0,1),1)=1,"State; ","")&amp;IF(IFERROR(IF(AND(LEN(K360)=10,VALUE(LEFT(K360,FIND("/",K360)-1))&gt;=1,VALUE(LEFT(K360,FIND("/",K360)-1))&lt;=31,VALUE(LEFT(MID(K360,FIND("/",K360)+1,10),FIND("/",MID(K360,FIND("/",K360)+1,10))-1))&gt;=1,VALUE(LEFT(MID(K360,FIND("/",K360)+1,10),FIND("/",MID(K360,FIND("/",K360)+1,10))-1))&lt;=12,VALUE(LEFT(K360,FIND("/",K360)-1))&lt;=DAY(EOMONTH(DATE(VALUE(MID(MID(K360,FIND("/",K360)+1,10),FIND("/",MID(K360,FIND("/",K360)+1,10))+1,4)),VALUE(LEFT(MID(K360,FIND("/",K360)+1,10),FIND("/",MID(K360,FIND("/",K360)+1,10))-1)),1),0))),0,1),1)=1,"Date; ","")&amp;IF(IFERROR(IF(M360&gt;=0,0,1),1)=1,"Amount; ","")&amp;IF(IFERROR(IF(ISNUMBER(MATCH(N360,Lists!$B$2:$B$7,0)),0,1),1)=1,"Payment; ","")))</f>
        <v/>
      </c>
      <c r="R360" s="3" t="str">
        <f aca="false">IF(D360="","",IF(COUNTIFS($D$2:$D$701,D360,$E$2:$E$701,E360)&gt;1,"DUPLICATE","Unique"))</f>
        <v>Unique</v>
      </c>
    </row>
    <row r="361" customFormat="false" ht="15" hidden="false" customHeight="false" outlineLevel="0" collapsed="false">
      <c r="A361" s="3" t="n">
        <v>360</v>
      </c>
      <c r="B361" s="3" t="n">
        <v>8</v>
      </c>
      <c r="C361" s="3" t="s">
        <v>2613</v>
      </c>
      <c r="D361" s="3" t="s">
        <v>2614</v>
      </c>
      <c r="E361" s="3" t="s">
        <v>2615</v>
      </c>
      <c r="F361" s="3" t="s">
        <v>2616</v>
      </c>
      <c r="G361" s="3" t="s">
        <v>2617</v>
      </c>
      <c r="H361" s="3" t="s">
        <v>510</v>
      </c>
      <c r="I361" s="3" t="s">
        <v>57</v>
      </c>
      <c r="J361" s="3" t="s">
        <v>2618</v>
      </c>
      <c r="K361" s="3" t="s">
        <v>1304</v>
      </c>
      <c r="L361" s="3" t="s">
        <v>72</v>
      </c>
      <c r="M361" s="3" t="n">
        <v>15586.97</v>
      </c>
      <c r="N361" s="3" t="s">
        <v>46</v>
      </c>
      <c r="O361" s="3" t="n">
        <f aca="false">IFERROR(LEN(C361&amp;D361&amp;E361&amp;F361&amp;G361&amp;H361&amp;I361&amp;J361&amp;K361&amp;L361&amp;M361&amp;N361)/5,0)</f>
        <v>26</v>
      </c>
      <c r="P361" s="3" t="str">
        <f aca="false">IF(OR(D361="",C361=""),"",IF((IFERROR(IF(AND(TRIM(D361)=D361,LEN(D361)&gt;0),0,1),1)+IFERROR(IF(AND(LEN(E361)=10,ISNUMBER(VALUE(E361))),0,1),1)+IFERROR(IF(AND(ISNUMBER(SEARCH("@",F361)),ISNUMBER(SEARCH(".",F361))),0,1),1)+IFERROR(IF(AND(LEN(J361)=6,ISNUMBER(VALUE(J361))),0,1),1)+IFERROR(IF(ISNUMBER(MATCH(TRIM(I361),Lists!$A$2:$A$20,0)),0,1),1)+IFERROR(IF(AND(LEN(K361)=10,VALUE(LEFT(K361,FIND("/",K361)-1))&gt;=1,VALUE(LEFT(K361,FIND("/",K361)-1))&lt;=31,VALUE(LEFT(MID(K361,FIND("/",K361)+1,10),FIND("/",MID(K361,FIND("/",K361)+1,10))-1))&gt;=1,VALUE(LEFT(MID(K361,FIND("/",K361)+1,10),FIND("/",MID(K361,FIND("/",K361)+1,10))-1))&lt;=12,VALUE(LEFT(K361,FIND("/",K361)-1))&lt;=DAY(EOMONTH(DATE(VALUE(MID(MID(K361,FIND("/",K361)+1,10),FIND("/",MID(K361,FIND("/",K361)+1,10))+1,4)),VALUE(LEFT(MID(K361,FIND("/",K361)+1,10),FIND("/",MID(K361,FIND("/",K361)+1,10))-1)),1),0))),0,1),1)+IFERROR(IF(M361&gt;=0,0,1),1)+IFERROR(IF(ISNUMBER(MATCH(N361,Lists!$B$2:$B$7,0)),0,1),1))=0,"OK","ERROR"))</f>
        <v>OK</v>
      </c>
      <c r="Q361" s="3" t="str">
        <f aca="false">IF(D361="","",TRIM(IF(IFERROR(IF(AND(TRIM(D361)=D361,LEN(D361)&gt;0),0,1),1)=1,"Name; ","")&amp;IF(IFERROR(IF(AND(LEN(E361)=10,ISNUMBER(VALUE(E361))),0,1),1)=1,"Phone; ","")&amp;IF(IFERROR(IF(AND(ISNUMBER(SEARCH("@",F361)),ISNUMBER(SEARCH(".",F361))),0,1),1)=1,"Email; ","")&amp;IF(IFERROR(IF(AND(LEN(J361)=6,ISNUMBER(VALUE(J361))),0,1),1)=1,"Pincode; ","")&amp;IF(IFERROR(IF(ISNUMBER(MATCH(TRIM(I361),Lists!$A$2:$A$20,0)),0,1),1)=1,"State; ","")&amp;IF(IFERROR(IF(AND(LEN(K361)=10,VALUE(LEFT(K361,FIND("/",K361)-1))&gt;=1,VALUE(LEFT(K361,FIND("/",K361)-1))&lt;=31,VALUE(LEFT(MID(K361,FIND("/",K361)+1,10),FIND("/",MID(K361,FIND("/",K361)+1,10))-1))&gt;=1,VALUE(LEFT(MID(K361,FIND("/",K361)+1,10),FIND("/",MID(K361,FIND("/",K361)+1,10))-1))&lt;=12,VALUE(LEFT(K361,FIND("/",K361)-1))&lt;=DAY(EOMONTH(DATE(VALUE(MID(MID(K361,FIND("/",K361)+1,10),FIND("/",MID(K361,FIND("/",K361)+1,10))+1,4)),VALUE(LEFT(MID(K361,FIND("/",K361)+1,10),FIND("/",MID(K361,FIND("/",K361)+1,10))-1)),1),0))),0,1),1)=1,"Date; ","")&amp;IF(IFERROR(IF(M361&gt;=0,0,1),1)=1,"Amount; ","")&amp;IF(IFERROR(IF(ISNUMBER(MATCH(N361,Lists!$B$2:$B$7,0)),0,1),1)=1,"Payment; ","")))</f>
        <v/>
      </c>
      <c r="R361" s="3" t="str">
        <f aca="false">IF(D361="","",IF(COUNTIFS($D$2:$D$701,D361,$E$2:$E$701,E361)&gt;1,"DUPLICATE","Unique"))</f>
        <v>Unique</v>
      </c>
    </row>
    <row r="362" customFormat="false" ht="15" hidden="false" customHeight="false" outlineLevel="0" collapsed="false">
      <c r="A362" s="3" t="n">
        <v>361</v>
      </c>
      <c r="B362" s="3" t="n">
        <v>8</v>
      </c>
      <c r="C362" s="3" t="s">
        <v>2619</v>
      </c>
      <c r="D362" s="3" t="s">
        <v>2620</v>
      </c>
      <c r="E362" s="3" t="s">
        <v>2621</v>
      </c>
      <c r="F362" s="3" t="s">
        <v>2622</v>
      </c>
      <c r="G362" s="3" t="s">
        <v>2623</v>
      </c>
      <c r="H362" s="3" t="s">
        <v>310</v>
      </c>
      <c r="I362" s="3" t="s">
        <v>69</v>
      </c>
      <c r="J362" s="3" t="s">
        <v>2624</v>
      </c>
      <c r="K362" s="3" t="s">
        <v>2625</v>
      </c>
      <c r="L362" s="3" t="s">
        <v>47</v>
      </c>
      <c r="M362" s="3" t="n">
        <v>7688.03</v>
      </c>
      <c r="N362" s="3" t="s">
        <v>40</v>
      </c>
      <c r="O362" s="3" t="n">
        <f aca="false">IFERROR(LEN(C362&amp;D362&amp;E362&amp;F362&amp;G362&amp;H362&amp;I362&amp;J362&amp;K362&amp;L362&amp;M362&amp;N362)/5,0)</f>
        <v>26.8</v>
      </c>
      <c r="P362" s="3" t="str">
        <f aca="false">IF(OR(D362="",C362=""),"",IF((IFERROR(IF(AND(TRIM(D362)=D362,LEN(D362)&gt;0),0,1),1)+IFERROR(IF(AND(LEN(E362)=10,ISNUMBER(VALUE(E362))),0,1),1)+IFERROR(IF(AND(ISNUMBER(SEARCH("@",F362)),ISNUMBER(SEARCH(".",F362))),0,1),1)+IFERROR(IF(AND(LEN(J362)=6,ISNUMBER(VALUE(J362))),0,1),1)+IFERROR(IF(ISNUMBER(MATCH(TRIM(I362),Lists!$A$2:$A$20,0)),0,1),1)+IFERROR(IF(AND(LEN(K362)=10,VALUE(LEFT(K362,FIND("/",K362)-1))&gt;=1,VALUE(LEFT(K362,FIND("/",K362)-1))&lt;=31,VALUE(LEFT(MID(K362,FIND("/",K362)+1,10),FIND("/",MID(K362,FIND("/",K362)+1,10))-1))&gt;=1,VALUE(LEFT(MID(K362,FIND("/",K362)+1,10),FIND("/",MID(K362,FIND("/",K362)+1,10))-1))&lt;=12,VALUE(LEFT(K362,FIND("/",K362)-1))&lt;=DAY(EOMONTH(DATE(VALUE(MID(MID(K362,FIND("/",K362)+1,10),FIND("/",MID(K362,FIND("/",K362)+1,10))+1,4)),VALUE(LEFT(MID(K362,FIND("/",K362)+1,10),FIND("/",MID(K362,FIND("/",K362)+1,10))-1)),1),0))),0,1),1)+IFERROR(IF(M362&gt;=0,0,1),1)+IFERROR(IF(ISNUMBER(MATCH(N362,Lists!$B$2:$B$7,0)),0,1),1))=0,"OK","ERROR"))</f>
        <v>OK</v>
      </c>
      <c r="Q362" s="3" t="str">
        <f aca="false">IF(D362="","",TRIM(IF(IFERROR(IF(AND(TRIM(D362)=D362,LEN(D362)&gt;0),0,1),1)=1,"Name; ","")&amp;IF(IFERROR(IF(AND(LEN(E362)=10,ISNUMBER(VALUE(E362))),0,1),1)=1,"Phone; ","")&amp;IF(IFERROR(IF(AND(ISNUMBER(SEARCH("@",F362)),ISNUMBER(SEARCH(".",F362))),0,1),1)=1,"Email; ","")&amp;IF(IFERROR(IF(AND(LEN(J362)=6,ISNUMBER(VALUE(J362))),0,1),1)=1,"Pincode; ","")&amp;IF(IFERROR(IF(ISNUMBER(MATCH(TRIM(I362),Lists!$A$2:$A$20,0)),0,1),1)=1,"State; ","")&amp;IF(IFERROR(IF(AND(LEN(K362)=10,VALUE(LEFT(K362,FIND("/",K362)-1))&gt;=1,VALUE(LEFT(K362,FIND("/",K362)-1))&lt;=31,VALUE(LEFT(MID(K362,FIND("/",K362)+1,10),FIND("/",MID(K362,FIND("/",K362)+1,10))-1))&gt;=1,VALUE(LEFT(MID(K362,FIND("/",K362)+1,10),FIND("/",MID(K362,FIND("/",K362)+1,10))-1))&lt;=12,VALUE(LEFT(K362,FIND("/",K362)-1))&lt;=DAY(EOMONTH(DATE(VALUE(MID(MID(K362,FIND("/",K362)+1,10),FIND("/",MID(K362,FIND("/",K362)+1,10))+1,4)),VALUE(LEFT(MID(K362,FIND("/",K362)+1,10),FIND("/",MID(K362,FIND("/",K362)+1,10))-1)),1),0))),0,1),1)=1,"Date; ","")&amp;IF(IFERROR(IF(M362&gt;=0,0,1),1)=1,"Amount; ","")&amp;IF(IFERROR(IF(ISNUMBER(MATCH(N362,Lists!$B$2:$B$7,0)),0,1),1)=1,"Payment; ","")))</f>
        <v/>
      </c>
      <c r="R362" s="3" t="str">
        <f aca="false">IF(D362="","",IF(COUNTIFS($D$2:$D$701,D362,$E$2:$E$701,E362)&gt;1,"DUPLICATE","Unique"))</f>
        <v>Unique</v>
      </c>
    </row>
    <row r="363" customFormat="false" ht="15" hidden="false" customHeight="false" outlineLevel="0" collapsed="false">
      <c r="A363" s="3" t="n">
        <v>362</v>
      </c>
      <c r="B363" s="3" t="n">
        <v>8</v>
      </c>
      <c r="C363" s="3" t="s">
        <v>2626</v>
      </c>
      <c r="D363" s="3" t="s">
        <v>2627</v>
      </c>
      <c r="E363" s="3" t="s">
        <v>2628</v>
      </c>
      <c r="F363" s="3" t="s">
        <v>2629</v>
      </c>
      <c r="G363" s="3" t="s">
        <v>2630</v>
      </c>
      <c r="H363" s="3" t="s">
        <v>102</v>
      </c>
      <c r="I363" s="3" t="s">
        <v>48</v>
      </c>
      <c r="J363" s="3" t="s">
        <v>2631</v>
      </c>
      <c r="K363" s="3" t="s">
        <v>2632</v>
      </c>
      <c r="L363" s="3" t="s">
        <v>68</v>
      </c>
      <c r="M363" s="3" t="n">
        <v>9341.85</v>
      </c>
      <c r="N363" s="3" t="s">
        <v>55</v>
      </c>
      <c r="O363" s="3" t="n">
        <f aca="false">IFERROR(LEN(C363&amp;D363&amp;E363&amp;F363&amp;G363&amp;H363&amp;I363&amp;J363&amp;K363&amp;L363&amp;M363&amp;N363)/5,0)</f>
        <v>27</v>
      </c>
      <c r="P363" s="3" t="str">
        <f aca="false">IF(OR(D363="",C363=""),"",IF((IFERROR(IF(AND(TRIM(D363)=D363,LEN(D363)&gt;0),0,1),1)+IFERROR(IF(AND(LEN(E363)=10,ISNUMBER(VALUE(E363))),0,1),1)+IFERROR(IF(AND(ISNUMBER(SEARCH("@",F363)),ISNUMBER(SEARCH(".",F363))),0,1),1)+IFERROR(IF(AND(LEN(J363)=6,ISNUMBER(VALUE(J363))),0,1),1)+IFERROR(IF(ISNUMBER(MATCH(TRIM(I363),Lists!$A$2:$A$20,0)),0,1),1)+IFERROR(IF(AND(LEN(K363)=10,VALUE(LEFT(K363,FIND("/",K363)-1))&gt;=1,VALUE(LEFT(K363,FIND("/",K363)-1))&lt;=31,VALUE(LEFT(MID(K363,FIND("/",K363)+1,10),FIND("/",MID(K363,FIND("/",K363)+1,10))-1))&gt;=1,VALUE(LEFT(MID(K363,FIND("/",K363)+1,10),FIND("/",MID(K363,FIND("/",K363)+1,10))-1))&lt;=12,VALUE(LEFT(K363,FIND("/",K363)-1))&lt;=DAY(EOMONTH(DATE(VALUE(MID(MID(K363,FIND("/",K363)+1,10),FIND("/",MID(K363,FIND("/",K363)+1,10))+1,4)),VALUE(LEFT(MID(K363,FIND("/",K363)+1,10),FIND("/",MID(K363,FIND("/",K363)+1,10))-1)),1),0))),0,1),1)+IFERROR(IF(M363&gt;=0,0,1),1)+IFERROR(IF(ISNUMBER(MATCH(N363,Lists!$B$2:$B$7,0)),0,1),1))=0,"OK","ERROR"))</f>
        <v>OK</v>
      </c>
      <c r="Q363" s="3" t="str">
        <f aca="false">IF(D363="","",TRIM(IF(IFERROR(IF(AND(TRIM(D363)=D363,LEN(D363)&gt;0),0,1),1)=1,"Name; ","")&amp;IF(IFERROR(IF(AND(LEN(E363)=10,ISNUMBER(VALUE(E363))),0,1),1)=1,"Phone; ","")&amp;IF(IFERROR(IF(AND(ISNUMBER(SEARCH("@",F363)),ISNUMBER(SEARCH(".",F363))),0,1),1)=1,"Email; ","")&amp;IF(IFERROR(IF(AND(LEN(J363)=6,ISNUMBER(VALUE(J363))),0,1),1)=1,"Pincode; ","")&amp;IF(IFERROR(IF(ISNUMBER(MATCH(TRIM(I363),Lists!$A$2:$A$20,0)),0,1),1)=1,"State; ","")&amp;IF(IFERROR(IF(AND(LEN(K363)=10,VALUE(LEFT(K363,FIND("/",K363)-1))&gt;=1,VALUE(LEFT(K363,FIND("/",K363)-1))&lt;=31,VALUE(LEFT(MID(K363,FIND("/",K363)+1,10),FIND("/",MID(K363,FIND("/",K363)+1,10))-1))&gt;=1,VALUE(LEFT(MID(K363,FIND("/",K363)+1,10),FIND("/",MID(K363,FIND("/",K363)+1,10))-1))&lt;=12,VALUE(LEFT(K363,FIND("/",K363)-1))&lt;=DAY(EOMONTH(DATE(VALUE(MID(MID(K363,FIND("/",K363)+1,10),FIND("/",MID(K363,FIND("/",K363)+1,10))+1,4)),VALUE(LEFT(MID(K363,FIND("/",K363)+1,10),FIND("/",MID(K363,FIND("/",K363)+1,10))-1)),1),0))),0,1),1)=1,"Date; ","")&amp;IF(IFERROR(IF(M363&gt;=0,0,1),1)=1,"Amount; ","")&amp;IF(IFERROR(IF(ISNUMBER(MATCH(N363,Lists!$B$2:$B$7,0)),0,1),1)=1,"Payment; ","")))</f>
        <v/>
      </c>
      <c r="R363" s="3" t="str">
        <f aca="false">IF(D363="","",IF(COUNTIFS($D$2:$D$701,D363,$E$2:$E$701,E363)&gt;1,"DUPLICATE","Unique"))</f>
        <v>Unique</v>
      </c>
    </row>
    <row r="364" customFormat="false" ht="15" hidden="false" customHeight="false" outlineLevel="0" collapsed="false">
      <c r="A364" s="3" t="n">
        <v>363</v>
      </c>
      <c r="B364" s="3" t="n">
        <v>8</v>
      </c>
      <c r="C364" s="3" t="s">
        <v>2633</v>
      </c>
      <c r="D364" s="3" t="s">
        <v>2634</v>
      </c>
      <c r="E364" s="3" t="s">
        <v>2635</v>
      </c>
      <c r="F364" s="3" t="s">
        <v>2636</v>
      </c>
      <c r="G364" s="3" t="s">
        <v>2637</v>
      </c>
      <c r="H364" s="3" t="s">
        <v>227</v>
      </c>
      <c r="I364" s="3" t="s">
        <v>77</v>
      </c>
      <c r="J364" s="3" t="s">
        <v>2638</v>
      </c>
      <c r="K364" s="3" t="s">
        <v>2639</v>
      </c>
      <c r="L364" s="3" t="s">
        <v>44</v>
      </c>
      <c r="M364" s="3" t="n">
        <v>8016.66</v>
      </c>
      <c r="N364" s="3" t="s">
        <v>55</v>
      </c>
      <c r="O364" s="3" t="n">
        <f aca="false">IFERROR(LEN(C364&amp;D364&amp;E364&amp;F364&amp;G364&amp;H364&amp;I364&amp;J364&amp;K364&amp;L364&amp;M364&amp;N364)/5,0)</f>
        <v>25</v>
      </c>
      <c r="P364" s="3" t="str">
        <f aca="false">IF(OR(D364="",C364=""),"",IF((IFERROR(IF(AND(TRIM(D364)=D364,LEN(D364)&gt;0),0,1),1)+IFERROR(IF(AND(LEN(E364)=10,ISNUMBER(VALUE(E364))),0,1),1)+IFERROR(IF(AND(ISNUMBER(SEARCH("@",F364)),ISNUMBER(SEARCH(".",F364))),0,1),1)+IFERROR(IF(AND(LEN(J364)=6,ISNUMBER(VALUE(J364))),0,1),1)+IFERROR(IF(ISNUMBER(MATCH(TRIM(I364),Lists!$A$2:$A$20,0)),0,1),1)+IFERROR(IF(AND(LEN(K364)=10,VALUE(LEFT(K364,FIND("/",K364)-1))&gt;=1,VALUE(LEFT(K364,FIND("/",K364)-1))&lt;=31,VALUE(LEFT(MID(K364,FIND("/",K364)+1,10),FIND("/",MID(K364,FIND("/",K364)+1,10))-1))&gt;=1,VALUE(LEFT(MID(K364,FIND("/",K364)+1,10),FIND("/",MID(K364,FIND("/",K364)+1,10))-1))&lt;=12,VALUE(LEFT(K364,FIND("/",K364)-1))&lt;=DAY(EOMONTH(DATE(VALUE(MID(MID(K364,FIND("/",K364)+1,10),FIND("/",MID(K364,FIND("/",K364)+1,10))+1,4)),VALUE(LEFT(MID(K364,FIND("/",K364)+1,10),FIND("/",MID(K364,FIND("/",K364)+1,10))-1)),1),0))),0,1),1)+IFERROR(IF(M364&gt;=0,0,1),1)+IFERROR(IF(ISNUMBER(MATCH(N364,Lists!$B$2:$B$7,0)),0,1),1))=0,"OK","ERROR"))</f>
        <v>OK</v>
      </c>
      <c r="Q364" s="3" t="str">
        <f aca="false">IF(D364="","",TRIM(IF(IFERROR(IF(AND(TRIM(D364)=D364,LEN(D364)&gt;0),0,1),1)=1,"Name; ","")&amp;IF(IFERROR(IF(AND(LEN(E364)=10,ISNUMBER(VALUE(E364))),0,1),1)=1,"Phone; ","")&amp;IF(IFERROR(IF(AND(ISNUMBER(SEARCH("@",F364)),ISNUMBER(SEARCH(".",F364))),0,1),1)=1,"Email; ","")&amp;IF(IFERROR(IF(AND(LEN(J364)=6,ISNUMBER(VALUE(J364))),0,1),1)=1,"Pincode; ","")&amp;IF(IFERROR(IF(ISNUMBER(MATCH(TRIM(I364),Lists!$A$2:$A$20,0)),0,1),1)=1,"State; ","")&amp;IF(IFERROR(IF(AND(LEN(K364)=10,VALUE(LEFT(K364,FIND("/",K364)-1))&gt;=1,VALUE(LEFT(K364,FIND("/",K364)-1))&lt;=31,VALUE(LEFT(MID(K364,FIND("/",K364)+1,10),FIND("/",MID(K364,FIND("/",K364)+1,10))-1))&gt;=1,VALUE(LEFT(MID(K364,FIND("/",K364)+1,10),FIND("/",MID(K364,FIND("/",K364)+1,10))-1))&lt;=12,VALUE(LEFT(K364,FIND("/",K364)-1))&lt;=DAY(EOMONTH(DATE(VALUE(MID(MID(K364,FIND("/",K364)+1,10),FIND("/",MID(K364,FIND("/",K364)+1,10))+1,4)),VALUE(LEFT(MID(K364,FIND("/",K364)+1,10),FIND("/",MID(K364,FIND("/",K364)+1,10))-1)),1),0))),0,1),1)=1,"Date; ","")&amp;IF(IFERROR(IF(M364&gt;=0,0,1),1)=1,"Amount; ","")&amp;IF(IFERROR(IF(ISNUMBER(MATCH(N364,Lists!$B$2:$B$7,0)),0,1),1)=1,"Payment; ","")))</f>
        <v/>
      </c>
      <c r="R364" s="3" t="str">
        <f aca="false">IF(D364="","",IF(COUNTIFS($D$2:$D$701,D364,$E$2:$E$701,E364)&gt;1,"DUPLICATE","Unique"))</f>
        <v>Unique</v>
      </c>
    </row>
    <row r="365" customFormat="false" ht="15" hidden="false" customHeight="false" outlineLevel="0" collapsed="false">
      <c r="A365" s="3" t="n">
        <v>364</v>
      </c>
      <c r="B365" s="3" t="n">
        <v>8</v>
      </c>
      <c r="C365" s="3" t="s">
        <v>2640</v>
      </c>
      <c r="D365" s="3" t="s">
        <v>2641</v>
      </c>
      <c r="E365" s="3" t="s">
        <v>2642</v>
      </c>
      <c r="F365" s="3" t="s">
        <v>2643</v>
      </c>
      <c r="G365" s="3" t="s">
        <v>2644</v>
      </c>
      <c r="H365" s="3" t="s">
        <v>548</v>
      </c>
      <c r="I365" s="3" t="s">
        <v>67</v>
      </c>
      <c r="J365" s="3" t="s">
        <v>2645</v>
      </c>
      <c r="K365" s="3" t="s">
        <v>1970</v>
      </c>
      <c r="L365" s="3" t="s">
        <v>72</v>
      </c>
      <c r="M365" s="3" t="n">
        <v>15069.91</v>
      </c>
      <c r="N365" s="3" t="s">
        <v>55</v>
      </c>
      <c r="O365" s="3" t="n">
        <f aca="false">IFERROR(LEN(C365&amp;D365&amp;E365&amp;F365&amp;G365&amp;H365&amp;I365&amp;J365&amp;K365&amp;L365&amp;M365&amp;N365)/5,0)</f>
        <v>26.2</v>
      </c>
      <c r="P365" s="3" t="str">
        <f aca="false">IF(OR(D365="",C365=""),"",IF((IFERROR(IF(AND(TRIM(D365)=D365,LEN(D365)&gt;0),0,1),1)+IFERROR(IF(AND(LEN(E365)=10,ISNUMBER(VALUE(E365))),0,1),1)+IFERROR(IF(AND(ISNUMBER(SEARCH("@",F365)),ISNUMBER(SEARCH(".",F365))),0,1),1)+IFERROR(IF(AND(LEN(J365)=6,ISNUMBER(VALUE(J365))),0,1),1)+IFERROR(IF(ISNUMBER(MATCH(TRIM(I365),Lists!$A$2:$A$20,0)),0,1),1)+IFERROR(IF(AND(LEN(K365)=10,VALUE(LEFT(K365,FIND("/",K365)-1))&gt;=1,VALUE(LEFT(K365,FIND("/",K365)-1))&lt;=31,VALUE(LEFT(MID(K365,FIND("/",K365)+1,10),FIND("/",MID(K365,FIND("/",K365)+1,10))-1))&gt;=1,VALUE(LEFT(MID(K365,FIND("/",K365)+1,10),FIND("/",MID(K365,FIND("/",K365)+1,10))-1))&lt;=12,VALUE(LEFT(K365,FIND("/",K365)-1))&lt;=DAY(EOMONTH(DATE(VALUE(MID(MID(K365,FIND("/",K365)+1,10),FIND("/",MID(K365,FIND("/",K365)+1,10))+1,4)),VALUE(LEFT(MID(K365,FIND("/",K365)+1,10),FIND("/",MID(K365,FIND("/",K365)+1,10))-1)),1),0))),0,1),1)+IFERROR(IF(M365&gt;=0,0,1),1)+IFERROR(IF(ISNUMBER(MATCH(N365,Lists!$B$2:$B$7,0)),0,1),1))=0,"OK","ERROR"))</f>
        <v>ERROR</v>
      </c>
      <c r="Q365" s="3" t="str">
        <f aca="false">IF(D365="","",TRIM(IF(IFERROR(IF(AND(TRIM(D365)=D365,LEN(D365)&gt;0),0,1),1)=1,"Name; ","")&amp;IF(IFERROR(IF(AND(LEN(E365)=10,ISNUMBER(VALUE(E365))),0,1),1)=1,"Phone; ","")&amp;IF(IFERROR(IF(AND(ISNUMBER(SEARCH("@",F365)),ISNUMBER(SEARCH(".",F365))),0,1),1)=1,"Email; ","")&amp;IF(IFERROR(IF(AND(LEN(J365)=6,ISNUMBER(VALUE(J365))),0,1),1)=1,"Pincode; ","")&amp;IF(IFERROR(IF(ISNUMBER(MATCH(TRIM(I365),Lists!$A$2:$A$20,0)),0,1),1)=1,"State; ","")&amp;IF(IFERROR(IF(AND(LEN(K365)=10,VALUE(LEFT(K365,FIND("/",K365)-1))&gt;=1,VALUE(LEFT(K365,FIND("/",K365)-1))&lt;=31,VALUE(LEFT(MID(K365,FIND("/",K365)+1,10),FIND("/",MID(K365,FIND("/",K365)+1,10))-1))&gt;=1,VALUE(LEFT(MID(K365,FIND("/",K365)+1,10),FIND("/",MID(K365,FIND("/",K365)+1,10))-1))&lt;=12,VALUE(LEFT(K365,FIND("/",K365)-1))&lt;=DAY(EOMONTH(DATE(VALUE(MID(MID(K365,FIND("/",K365)+1,10),FIND("/",MID(K365,FIND("/",K365)+1,10))+1,4)),VALUE(LEFT(MID(K365,FIND("/",K365)+1,10),FIND("/",MID(K365,FIND("/",K365)+1,10))-1)),1),0))),0,1),1)=1,"Date; ","")&amp;IF(IFERROR(IF(M365&gt;=0,0,1),1)=1,"Amount; ","")&amp;IF(IFERROR(IF(ISNUMBER(MATCH(N365,Lists!$B$2:$B$7,0)),0,1),1)=1,"Payment; ","")))</f>
        <v>Phone;</v>
      </c>
      <c r="R365" s="3" t="str">
        <f aca="false">IF(D365="","",IF(COUNTIFS($D$2:$D$701,D365,$E$2:$E$701,E365)&gt;1,"DUPLICATE","Unique"))</f>
        <v>Unique</v>
      </c>
    </row>
    <row r="366" customFormat="false" ht="15" hidden="false" customHeight="false" outlineLevel="0" collapsed="false">
      <c r="A366" s="3" t="n">
        <v>365</v>
      </c>
      <c r="B366" s="3" t="n">
        <v>8</v>
      </c>
      <c r="C366" s="3" t="s">
        <v>2646</v>
      </c>
      <c r="D366" s="3" t="s">
        <v>2647</v>
      </c>
      <c r="E366" s="3" t="s">
        <v>2648</v>
      </c>
      <c r="F366" s="3" t="s">
        <v>2649</v>
      </c>
      <c r="G366" s="3" t="s">
        <v>2650</v>
      </c>
      <c r="H366" s="3" t="s">
        <v>548</v>
      </c>
      <c r="I366" s="3" t="s">
        <v>67</v>
      </c>
      <c r="J366" s="3" t="s">
        <v>2651</v>
      </c>
      <c r="K366" s="3" t="s">
        <v>2652</v>
      </c>
      <c r="L366" s="3" t="s">
        <v>62</v>
      </c>
      <c r="M366" s="3" t="n">
        <v>942.38</v>
      </c>
      <c r="N366" s="3" t="s">
        <v>40</v>
      </c>
      <c r="O366" s="3" t="n">
        <f aca="false">IFERROR(LEN(C366&amp;D366&amp;E366&amp;F366&amp;G366&amp;H366&amp;I366&amp;J366&amp;K366&amp;L366&amp;M366&amp;N366)/5,0)</f>
        <v>28</v>
      </c>
      <c r="P366" s="3" t="str">
        <f aca="false">IF(OR(D366="",C366=""),"",IF((IFERROR(IF(AND(TRIM(D366)=D366,LEN(D366)&gt;0),0,1),1)+IFERROR(IF(AND(LEN(E366)=10,ISNUMBER(VALUE(E366))),0,1),1)+IFERROR(IF(AND(ISNUMBER(SEARCH("@",F366)),ISNUMBER(SEARCH(".",F366))),0,1),1)+IFERROR(IF(AND(LEN(J366)=6,ISNUMBER(VALUE(J366))),0,1),1)+IFERROR(IF(ISNUMBER(MATCH(TRIM(I366),Lists!$A$2:$A$20,0)),0,1),1)+IFERROR(IF(AND(LEN(K366)=10,VALUE(LEFT(K366,FIND("/",K366)-1))&gt;=1,VALUE(LEFT(K366,FIND("/",K366)-1))&lt;=31,VALUE(LEFT(MID(K366,FIND("/",K366)+1,10),FIND("/",MID(K366,FIND("/",K366)+1,10))-1))&gt;=1,VALUE(LEFT(MID(K366,FIND("/",K366)+1,10),FIND("/",MID(K366,FIND("/",K366)+1,10))-1))&lt;=12,VALUE(LEFT(K366,FIND("/",K366)-1))&lt;=DAY(EOMONTH(DATE(VALUE(MID(MID(K366,FIND("/",K366)+1,10),FIND("/",MID(K366,FIND("/",K366)+1,10))+1,4)),VALUE(LEFT(MID(K366,FIND("/",K366)+1,10),FIND("/",MID(K366,FIND("/",K366)+1,10))-1)),1),0))),0,1),1)+IFERROR(IF(M366&gt;=0,0,1),1)+IFERROR(IF(ISNUMBER(MATCH(N366,Lists!$B$2:$B$7,0)),0,1),1))=0,"OK","ERROR"))</f>
        <v>OK</v>
      </c>
      <c r="Q366" s="3" t="str">
        <f aca="false">IF(D366="","",TRIM(IF(IFERROR(IF(AND(TRIM(D366)=D366,LEN(D366)&gt;0),0,1),1)=1,"Name; ","")&amp;IF(IFERROR(IF(AND(LEN(E366)=10,ISNUMBER(VALUE(E366))),0,1),1)=1,"Phone; ","")&amp;IF(IFERROR(IF(AND(ISNUMBER(SEARCH("@",F366)),ISNUMBER(SEARCH(".",F366))),0,1),1)=1,"Email; ","")&amp;IF(IFERROR(IF(AND(LEN(J366)=6,ISNUMBER(VALUE(J366))),0,1),1)=1,"Pincode; ","")&amp;IF(IFERROR(IF(ISNUMBER(MATCH(TRIM(I366),Lists!$A$2:$A$20,0)),0,1),1)=1,"State; ","")&amp;IF(IFERROR(IF(AND(LEN(K366)=10,VALUE(LEFT(K366,FIND("/",K366)-1))&gt;=1,VALUE(LEFT(K366,FIND("/",K366)-1))&lt;=31,VALUE(LEFT(MID(K366,FIND("/",K366)+1,10),FIND("/",MID(K366,FIND("/",K366)+1,10))-1))&gt;=1,VALUE(LEFT(MID(K366,FIND("/",K366)+1,10),FIND("/",MID(K366,FIND("/",K366)+1,10))-1))&lt;=12,VALUE(LEFT(K366,FIND("/",K366)-1))&lt;=DAY(EOMONTH(DATE(VALUE(MID(MID(K366,FIND("/",K366)+1,10),FIND("/",MID(K366,FIND("/",K366)+1,10))+1,4)),VALUE(LEFT(MID(K366,FIND("/",K366)+1,10),FIND("/",MID(K366,FIND("/",K366)+1,10))-1)),1),0))),0,1),1)=1,"Date; ","")&amp;IF(IFERROR(IF(M366&gt;=0,0,1),1)=1,"Amount; ","")&amp;IF(IFERROR(IF(ISNUMBER(MATCH(N366,Lists!$B$2:$B$7,0)),0,1),1)=1,"Payment; ","")))</f>
        <v/>
      </c>
      <c r="R366" s="3" t="str">
        <f aca="false">IF(D366="","",IF(COUNTIFS($D$2:$D$701,D366,$E$2:$E$701,E366)&gt;1,"DUPLICATE","Unique"))</f>
        <v>Unique</v>
      </c>
    </row>
    <row r="367" customFormat="false" ht="15" hidden="false" customHeight="false" outlineLevel="0" collapsed="false">
      <c r="A367" s="3" t="n">
        <v>366</v>
      </c>
      <c r="B367" s="3" t="n">
        <v>8</v>
      </c>
      <c r="C367" s="3" t="s">
        <v>2653</v>
      </c>
      <c r="D367" s="3" t="s">
        <v>2654</v>
      </c>
      <c r="E367" s="3" t="s">
        <v>2655</v>
      </c>
      <c r="F367" s="3" t="s">
        <v>2656</v>
      </c>
      <c r="G367" s="3" t="s">
        <v>2657</v>
      </c>
      <c r="H367" s="3" t="s">
        <v>548</v>
      </c>
      <c r="I367" s="3" t="s">
        <v>67</v>
      </c>
      <c r="J367" s="3" t="s">
        <v>2658</v>
      </c>
      <c r="K367" s="3" t="s">
        <v>2659</v>
      </c>
      <c r="L367" s="3" t="s">
        <v>70</v>
      </c>
      <c r="M367" s="3" t="n">
        <v>14066.88</v>
      </c>
      <c r="N367" s="3" t="s">
        <v>46</v>
      </c>
      <c r="O367" s="3" t="n">
        <f aca="false">IFERROR(LEN(C367&amp;D367&amp;E367&amp;F367&amp;G367&amp;H367&amp;I367&amp;J367&amp;K367&amp;L367&amp;M367&amp;N367)/5,0)</f>
        <v>29.8</v>
      </c>
      <c r="P367" s="3" t="str">
        <f aca="false">IF(OR(D367="",C367=""),"",IF((IFERROR(IF(AND(TRIM(D367)=D367,LEN(D367)&gt;0),0,1),1)+IFERROR(IF(AND(LEN(E367)=10,ISNUMBER(VALUE(E367))),0,1),1)+IFERROR(IF(AND(ISNUMBER(SEARCH("@",F367)),ISNUMBER(SEARCH(".",F367))),0,1),1)+IFERROR(IF(AND(LEN(J367)=6,ISNUMBER(VALUE(J367))),0,1),1)+IFERROR(IF(ISNUMBER(MATCH(TRIM(I367),Lists!$A$2:$A$20,0)),0,1),1)+IFERROR(IF(AND(LEN(K367)=10,VALUE(LEFT(K367,FIND("/",K367)-1))&gt;=1,VALUE(LEFT(K367,FIND("/",K367)-1))&lt;=31,VALUE(LEFT(MID(K367,FIND("/",K367)+1,10),FIND("/",MID(K367,FIND("/",K367)+1,10))-1))&gt;=1,VALUE(LEFT(MID(K367,FIND("/",K367)+1,10),FIND("/",MID(K367,FIND("/",K367)+1,10))-1))&lt;=12,VALUE(LEFT(K367,FIND("/",K367)-1))&lt;=DAY(EOMONTH(DATE(VALUE(MID(MID(K367,FIND("/",K367)+1,10),FIND("/",MID(K367,FIND("/",K367)+1,10))+1,4)),VALUE(LEFT(MID(K367,FIND("/",K367)+1,10),FIND("/",MID(K367,FIND("/",K367)+1,10))-1)),1),0))),0,1),1)+IFERROR(IF(M367&gt;=0,0,1),1)+IFERROR(IF(ISNUMBER(MATCH(N367,Lists!$B$2:$B$7,0)),0,1),1))=0,"OK","ERROR"))</f>
        <v>OK</v>
      </c>
      <c r="Q367" s="3" t="str">
        <f aca="false">IF(D367="","",TRIM(IF(IFERROR(IF(AND(TRIM(D367)=D367,LEN(D367)&gt;0),0,1),1)=1,"Name; ","")&amp;IF(IFERROR(IF(AND(LEN(E367)=10,ISNUMBER(VALUE(E367))),0,1),1)=1,"Phone; ","")&amp;IF(IFERROR(IF(AND(ISNUMBER(SEARCH("@",F367)),ISNUMBER(SEARCH(".",F367))),0,1),1)=1,"Email; ","")&amp;IF(IFERROR(IF(AND(LEN(J367)=6,ISNUMBER(VALUE(J367))),0,1),1)=1,"Pincode; ","")&amp;IF(IFERROR(IF(ISNUMBER(MATCH(TRIM(I367),Lists!$A$2:$A$20,0)),0,1),1)=1,"State; ","")&amp;IF(IFERROR(IF(AND(LEN(K367)=10,VALUE(LEFT(K367,FIND("/",K367)-1))&gt;=1,VALUE(LEFT(K367,FIND("/",K367)-1))&lt;=31,VALUE(LEFT(MID(K367,FIND("/",K367)+1,10),FIND("/",MID(K367,FIND("/",K367)+1,10))-1))&gt;=1,VALUE(LEFT(MID(K367,FIND("/",K367)+1,10),FIND("/",MID(K367,FIND("/",K367)+1,10))-1))&lt;=12,VALUE(LEFT(K367,FIND("/",K367)-1))&lt;=DAY(EOMONTH(DATE(VALUE(MID(MID(K367,FIND("/",K367)+1,10),FIND("/",MID(K367,FIND("/",K367)+1,10))+1,4)),VALUE(LEFT(MID(K367,FIND("/",K367)+1,10),FIND("/",MID(K367,FIND("/",K367)+1,10))-1)),1),0))),0,1),1)=1,"Date; ","")&amp;IF(IFERROR(IF(M367&gt;=0,0,1),1)=1,"Amount; ","")&amp;IF(IFERROR(IF(ISNUMBER(MATCH(N367,Lists!$B$2:$B$7,0)),0,1),1)=1,"Payment; ","")))</f>
        <v/>
      </c>
      <c r="R367" s="3" t="str">
        <f aca="false">IF(D367="","",IF(COUNTIFS($D$2:$D$701,D367,$E$2:$E$701,E367)&gt;1,"DUPLICATE","Unique"))</f>
        <v>Unique</v>
      </c>
    </row>
    <row r="368" customFormat="false" ht="15" hidden="false" customHeight="false" outlineLevel="0" collapsed="false">
      <c r="A368" s="3" t="n">
        <v>367</v>
      </c>
      <c r="B368" s="3" t="n">
        <v>8</v>
      </c>
      <c r="C368" s="3" t="s">
        <v>2660</v>
      </c>
      <c r="D368" s="3" t="s">
        <v>2661</v>
      </c>
      <c r="E368" s="3" t="s">
        <v>2662</v>
      </c>
      <c r="F368" s="3" t="s">
        <v>2663</v>
      </c>
      <c r="G368" s="3" t="s">
        <v>2664</v>
      </c>
      <c r="H368" s="3" t="s">
        <v>480</v>
      </c>
      <c r="I368" s="3" t="s">
        <v>51</v>
      </c>
      <c r="J368" s="3" t="s">
        <v>2665</v>
      </c>
      <c r="K368" s="3" t="s">
        <v>2666</v>
      </c>
      <c r="L368" s="3" t="s">
        <v>74</v>
      </c>
      <c r="M368" s="3" t="n">
        <v>5912.89</v>
      </c>
      <c r="N368" s="3" t="s">
        <v>55</v>
      </c>
      <c r="O368" s="3" t="n">
        <f aca="false">IFERROR(LEN(C368&amp;D368&amp;E368&amp;F368&amp;G368&amp;H368&amp;I368&amp;J368&amp;K368&amp;L368&amp;M368&amp;N368)/5,0)</f>
        <v>26.4</v>
      </c>
      <c r="P368" s="3" t="str">
        <f aca="false">IF(OR(D368="",C368=""),"",IF((IFERROR(IF(AND(TRIM(D368)=D368,LEN(D368)&gt;0),0,1),1)+IFERROR(IF(AND(LEN(E368)=10,ISNUMBER(VALUE(E368))),0,1),1)+IFERROR(IF(AND(ISNUMBER(SEARCH("@",F368)),ISNUMBER(SEARCH(".",F368))),0,1),1)+IFERROR(IF(AND(LEN(J368)=6,ISNUMBER(VALUE(J368))),0,1),1)+IFERROR(IF(ISNUMBER(MATCH(TRIM(I368),Lists!$A$2:$A$20,0)),0,1),1)+IFERROR(IF(AND(LEN(K368)=10,VALUE(LEFT(K368,FIND("/",K368)-1))&gt;=1,VALUE(LEFT(K368,FIND("/",K368)-1))&lt;=31,VALUE(LEFT(MID(K368,FIND("/",K368)+1,10),FIND("/",MID(K368,FIND("/",K368)+1,10))-1))&gt;=1,VALUE(LEFT(MID(K368,FIND("/",K368)+1,10),FIND("/",MID(K368,FIND("/",K368)+1,10))-1))&lt;=12,VALUE(LEFT(K368,FIND("/",K368)-1))&lt;=DAY(EOMONTH(DATE(VALUE(MID(MID(K368,FIND("/",K368)+1,10),FIND("/",MID(K368,FIND("/",K368)+1,10))+1,4)),VALUE(LEFT(MID(K368,FIND("/",K368)+1,10),FIND("/",MID(K368,FIND("/",K368)+1,10))-1)),1),0))),0,1),1)+IFERROR(IF(M368&gt;=0,0,1),1)+IFERROR(IF(ISNUMBER(MATCH(N368,Lists!$B$2:$B$7,0)),0,1),1))=0,"OK","ERROR"))</f>
        <v>OK</v>
      </c>
      <c r="Q368" s="3" t="str">
        <f aca="false">IF(D368="","",TRIM(IF(IFERROR(IF(AND(TRIM(D368)=D368,LEN(D368)&gt;0),0,1),1)=1,"Name; ","")&amp;IF(IFERROR(IF(AND(LEN(E368)=10,ISNUMBER(VALUE(E368))),0,1),1)=1,"Phone; ","")&amp;IF(IFERROR(IF(AND(ISNUMBER(SEARCH("@",F368)),ISNUMBER(SEARCH(".",F368))),0,1),1)=1,"Email; ","")&amp;IF(IFERROR(IF(AND(LEN(J368)=6,ISNUMBER(VALUE(J368))),0,1),1)=1,"Pincode; ","")&amp;IF(IFERROR(IF(ISNUMBER(MATCH(TRIM(I368),Lists!$A$2:$A$20,0)),0,1),1)=1,"State; ","")&amp;IF(IFERROR(IF(AND(LEN(K368)=10,VALUE(LEFT(K368,FIND("/",K368)-1))&gt;=1,VALUE(LEFT(K368,FIND("/",K368)-1))&lt;=31,VALUE(LEFT(MID(K368,FIND("/",K368)+1,10),FIND("/",MID(K368,FIND("/",K368)+1,10))-1))&gt;=1,VALUE(LEFT(MID(K368,FIND("/",K368)+1,10),FIND("/",MID(K368,FIND("/",K368)+1,10))-1))&lt;=12,VALUE(LEFT(K368,FIND("/",K368)-1))&lt;=DAY(EOMONTH(DATE(VALUE(MID(MID(K368,FIND("/",K368)+1,10),FIND("/",MID(K368,FIND("/",K368)+1,10))+1,4)),VALUE(LEFT(MID(K368,FIND("/",K368)+1,10),FIND("/",MID(K368,FIND("/",K368)+1,10))-1)),1),0))),0,1),1)=1,"Date; ","")&amp;IF(IFERROR(IF(M368&gt;=0,0,1),1)=1,"Amount; ","")&amp;IF(IFERROR(IF(ISNUMBER(MATCH(N368,Lists!$B$2:$B$7,0)),0,1),1)=1,"Payment; ","")))</f>
        <v/>
      </c>
      <c r="R368" s="3" t="str">
        <f aca="false">IF(D368="","",IF(COUNTIFS($D$2:$D$701,D368,$E$2:$E$701,E368)&gt;1,"DUPLICATE","Unique"))</f>
        <v>Unique</v>
      </c>
    </row>
    <row r="369" customFormat="false" ht="15" hidden="false" customHeight="false" outlineLevel="0" collapsed="false">
      <c r="A369" s="3" t="n">
        <v>368</v>
      </c>
      <c r="B369" s="3" t="n">
        <v>8</v>
      </c>
      <c r="C369" s="3" t="s">
        <v>2667</v>
      </c>
      <c r="D369" s="3" t="s">
        <v>2668</v>
      </c>
      <c r="E369" s="3" t="s">
        <v>2669</v>
      </c>
      <c r="F369" s="3" t="s">
        <v>2670</v>
      </c>
      <c r="G369" s="3" t="s">
        <v>2671</v>
      </c>
      <c r="H369" s="3" t="s">
        <v>258</v>
      </c>
      <c r="I369" s="3" t="s">
        <v>63</v>
      </c>
      <c r="J369" s="3" t="s">
        <v>2672</v>
      </c>
      <c r="K369" s="3" t="s">
        <v>2673</v>
      </c>
      <c r="L369" s="3" t="s">
        <v>44</v>
      </c>
      <c r="M369" s="3" t="n">
        <v>4402.05</v>
      </c>
      <c r="N369" s="3" t="s">
        <v>55</v>
      </c>
      <c r="O369" s="3" t="n">
        <f aca="false">IFERROR(LEN(C369&amp;D369&amp;E369&amp;F369&amp;G369&amp;H369&amp;I369&amp;J369&amp;K369&amp;L369&amp;M369&amp;N369)/5,0)</f>
        <v>27.4</v>
      </c>
      <c r="P369" s="3" t="str">
        <f aca="false">IF(OR(D369="",C369=""),"",IF((IFERROR(IF(AND(TRIM(D369)=D369,LEN(D369)&gt;0),0,1),1)+IFERROR(IF(AND(LEN(E369)=10,ISNUMBER(VALUE(E369))),0,1),1)+IFERROR(IF(AND(ISNUMBER(SEARCH("@",F369)),ISNUMBER(SEARCH(".",F369))),0,1),1)+IFERROR(IF(AND(LEN(J369)=6,ISNUMBER(VALUE(J369))),0,1),1)+IFERROR(IF(ISNUMBER(MATCH(TRIM(I369),Lists!$A$2:$A$20,0)),0,1),1)+IFERROR(IF(AND(LEN(K369)=10,VALUE(LEFT(K369,FIND("/",K369)-1))&gt;=1,VALUE(LEFT(K369,FIND("/",K369)-1))&lt;=31,VALUE(LEFT(MID(K369,FIND("/",K369)+1,10),FIND("/",MID(K369,FIND("/",K369)+1,10))-1))&gt;=1,VALUE(LEFT(MID(K369,FIND("/",K369)+1,10),FIND("/",MID(K369,FIND("/",K369)+1,10))-1))&lt;=12,VALUE(LEFT(K369,FIND("/",K369)-1))&lt;=DAY(EOMONTH(DATE(VALUE(MID(MID(K369,FIND("/",K369)+1,10),FIND("/",MID(K369,FIND("/",K369)+1,10))+1,4)),VALUE(LEFT(MID(K369,FIND("/",K369)+1,10),FIND("/",MID(K369,FIND("/",K369)+1,10))-1)),1),0))),0,1),1)+IFERROR(IF(M369&gt;=0,0,1),1)+IFERROR(IF(ISNUMBER(MATCH(N369,Lists!$B$2:$B$7,0)),0,1),1))=0,"OK","ERROR"))</f>
        <v>OK</v>
      </c>
      <c r="Q369" s="3" t="str">
        <f aca="false">IF(D369="","",TRIM(IF(IFERROR(IF(AND(TRIM(D369)=D369,LEN(D369)&gt;0),0,1),1)=1,"Name; ","")&amp;IF(IFERROR(IF(AND(LEN(E369)=10,ISNUMBER(VALUE(E369))),0,1),1)=1,"Phone; ","")&amp;IF(IFERROR(IF(AND(ISNUMBER(SEARCH("@",F369)),ISNUMBER(SEARCH(".",F369))),0,1),1)=1,"Email; ","")&amp;IF(IFERROR(IF(AND(LEN(J369)=6,ISNUMBER(VALUE(J369))),0,1),1)=1,"Pincode; ","")&amp;IF(IFERROR(IF(ISNUMBER(MATCH(TRIM(I369),Lists!$A$2:$A$20,0)),0,1),1)=1,"State; ","")&amp;IF(IFERROR(IF(AND(LEN(K369)=10,VALUE(LEFT(K369,FIND("/",K369)-1))&gt;=1,VALUE(LEFT(K369,FIND("/",K369)-1))&lt;=31,VALUE(LEFT(MID(K369,FIND("/",K369)+1,10),FIND("/",MID(K369,FIND("/",K369)+1,10))-1))&gt;=1,VALUE(LEFT(MID(K369,FIND("/",K369)+1,10),FIND("/",MID(K369,FIND("/",K369)+1,10))-1))&lt;=12,VALUE(LEFT(K369,FIND("/",K369)-1))&lt;=DAY(EOMONTH(DATE(VALUE(MID(MID(K369,FIND("/",K369)+1,10),FIND("/",MID(K369,FIND("/",K369)+1,10))+1,4)),VALUE(LEFT(MID(K369,FIND("/",K369)+1,10),FIND("/",MID(K369,FIND("/",K369)+1,10))-1)),1),0))),0,1),1)=1,"Date; ","")&amp;IF(IFERROR(IF(M369&gt;=0,0,1),1)=1,"Amount; ","")&amp;IF(IFERROR(IF(ISNUMBER(MATCH(N369,Lists!$B$2:$B$7,0)),0,1),1)=1,"Payment; ","")))</f>
        <v/>
      </c>
      <c r="R369" s="3" t="str">
        <f aca="false">IF(D369="","",IF(COUNTIFS($D$2:$D$701,D369,$E$2:$E$701,E369)&gt;1,"DUPLICATE","Unique"))</f>
        <v>Unique</v>
      </c>
    </row>
    <row r="370" customFormat="false" ht="15" hidden="false" customHeight="false" outlineLevel="0" collapsed="false">
      <c r="A370" s="3" t="n">
        <v>369</v>
      </c>
      <c r="B370" s="3" t="n">
        <v>8</v>
      </c>
      <c r="C370" s="3" t="s">
        <v>2674</v>
      </c>
      <c r="D370" s="3" t="s">
        <v>2675</v>
      </c>
      <c r="E370" s="3" t="s">
        <v>2676</v>
      </c>
      <c r="F370" s="3" t="s">
        <v>2677</v>
      </c>
      <c r="G370" s="3" t="s">
        <v>2678</v>
      </c>
      <c r="H370" s="3" t="s">
        <v>540</v>
      </c>
      <c r="I370" s="3" t="s">
        <v>71</v>
      </c>
      <c r="J370" s="3" t="s">
        <v>2679</v>
      </c>
      <c r="K370" s="3" t="s">
        <v>1138</v>
      </c>
      <c r="L370" s="3" t="s">
        <v>44</v>
      </c>
      <c r="M370" s="3" t="n">
        <v>1538.5</v>
      </c>
      <c r="N370" s="3" t="s">
        <v>46</v>
      </c>
      <c r="O370" s="3" t="n">
        <f aca="false">IFERROR(LEN(C370&amp;D370&amp;E370&amp;F370&amp;G370&amp;H370&amp;I370&amp;J370&amp;K370&amp;L370&amp;M370&amp;N370)/5,0)</f>
        <v>28.8</v>
      </c>
      <c r="P370" s="3" t="str">
        <f aca="false">IF(OR(D370="",C370=""),"",IF((IFERROR(IF(AND(TRIM(D370)=D370,LEN(D370)&gt;0),0,1),1)+IFERROR(IF(AND(LEN(E370)=10,ISNUMBER(VALUE(E370))),0,1),1)+IFERROR(IF(AND(ISNUMBER(SEARCH("@",F370)),ISNUMBER(SEARCH(".",F370))),0,1),1)+IFERROR(IF(AND(LEN(J370)=6,ISNUMBER(VALUE(J370))),0,1),1)+IFERROR(IF(ISNUMBER(MATCH(TRIM(I370),Lists!$A$2:$A$20,0)),0,1),1)+IFERROR(IF(AND(LEN(K370)=10,VALUE(LEFT(K370,FIND("/",K370)-1))&gt;=1,VALUE(LEFT(K370,FIND("/",K370)-1))&lt;=31,VALUE(LEFT(MID(K370,FIND("/",K370)+1,10),FIND("/",MID(K370,FIND("/",K370)+1,10))-1))&gt;=1,VALUE(LEFT(MID(K370,FIND("/",K370)+1,10),FIND("/",MID(K370,FIND("/",K370)+1,10))-1))&lt;=12,VALUE(LEFT(K370,FIND("/",K370)-1))&lt;=DAY(EOMONTH(DATE(VALUE(MID(MID(K370,FIND("/",K370)+1,10),FIND("/",MID(K370,FIND("/",K370)+1,10))+1,4)),VALUE(LEFT(MID(K370,FIND("/",K370)+1,10),FIND("/",MID(K370,FIND("/",K370)+1,10))-1)),1),0))),0,1),1)+IFERROR(IF(M370&gt;=0,0,1),1)+IFERROR(IF(ISNUMBER(MATCH(N370,Lists!$B$2:$B$7,0)),0,1),1))=0,"OK","ERROR"))</f>
        <v>OK</v>
      </c>
      <c r="Q370" s="3" t="str">
        <f aca="false">IF(D370="","",TRIM(IF(IFERROR(IF(AND(TRIM(D370)=D370,LEN(D370)&gt;0),0,1),1)=1,"Name; ","")&amp;IF(IFERROR(IF(AND(LEN(E370)=10,ISNUMBER(VALUE(E370))),0,1),1)=1,"Phone; ","")&amp;IF(IFERROR(IF(AND(ISNUMBER(SEARCH("@",F370)),ISNUMBER(SEARCH(".",F370))),0,1),1)=1,"Email; ","")&amp;IF(IFERROR(IF(AND(LEN(J370)=6,ISNUMBER(VALUE(J370))),0,1),1)=1,"Pincode; ","")&amp;IF(IFERROR(IF(ISNUMBER(MATCH(TRIM(I370),Lists!$A$2:$A$20,0)),0,1),1)=1,"State; ","")&amp;IF(IFERROR(IF(AND(LEN(K370)=10,VALUE(LEFT(K370,FIND("/",K370)-1))&gt;=1,VALUE(LEFT(K370,FIND("/",K370)-1))&lt;=31,VALUE(LEFT(MID(K370,FIND("/",K370)+1,10),FIND("/",MID(K370,FIND("/",K370)+1,10))-1))&gt;=1,VALUE(LEFT(MID(K370,FIND("/",K370)+1,10),FIND("/",MID(K370,FIND("/",K370)+1,10))-1))&lt;=12,VALUE(LEFT(K370,FIND("/",K370)-1))&lt;=DAY(EOMONTH(DATE(VALUE(MID(MID(K370,FIND("/",K370)+1,10),FIND("/",MID(K370,FIND("/",K370)+1,10))+1,4)),VALUE(LEFT(MID(K370,FIND("/",K370)+1,10),FIND("/",MID(K370,FIND("/",K370)+1,10))-1)),1),0))),0,1),1)=1,"Date; ","")&amp;IF(IFERROR(IF(M370&gt;=0,0,1),1)=1,"Amount; ","")&amp;IF(IFERROR(IF(ISNUMBER(MATCH(N370,Lists!$B$2:$B$7,0)),0,1),1)=1,"Payment; ","")))</f>
        <v/>
      </c>
      <c r="R370" s="3" t="str">
        <f aca="false">IF(D370="","",IF(COUNTIFS($D$2:$D$701,D370,$E$2:$E$701,E370)&gt;1,"DUPLICATE","Unique"))</f>
        <v>Unique</v>
      </c>
    </row>
    <row r="371" customFormat="false" ht="15" hidden="false" customHeight="false" outlineLevel="0" collapsed="false">
      <c r="A371" s="3" t="n">
        <v>370</v>
      </c>
      <c r="B371" s="3" t="n">
        <v>8</v>
      </c>
      <c r="C371" s="3" t="s">
        <v>2680</v>
      </c>
      <c r="D371" s="3" t="s">
        <v>2681</v>
      </c>
      <c r="E371" s="3" t="s">
        <v>2682</v>
      </c>
      <c r="F371" s="3" t="s">
        <v>2683</v>
      </c>
      <c r="G371" s="3" t="s">
        <v>2684</v>
      </c>
      <c r="H371" s="3" t="s">
        <v>118</v>
      </c>
      <c r="I371" s="3" t="s">
        <v>69</v>
      </c>
      <c r="J371" s="3" t="s">
        <v>2685</v>
      </c>
      <c r="K371" s="3" t="s">
        <v>2686</v>
      </c>
      <c r="L371" s="3" t="s">
        <v>64</v>
      </c>
      <c r="M371" s="3" t="n">
        <v>14742.12</v>
      </c>
      <c r="N371" s="3" t="s">
        <v>55</v>
      </c>
      <c r="O371" s="3" t="n">
        <f aca="false">IFERROR(LEN(C371&amp;D371&amp;E371&amp;F371&amp;G371&amp;H371&amp;I371&amp;J371&amp;K371&amp;L371&amp;M371&amp;N371)/5,0)</f>
        <v>26</v>
      </c>
      <c r="P371" s="3" t="str">
        <f aca="false">IF(OR(D371="",C371=""),"",IF((IFERROR(IF(AND(TRIM(D371)=D371,LEN(D371)&gt;0),0,1),1)+IFERROR(IF(AND(LEN(E371)=10,ISNUMBER(VALUE(E371))),0,1),1)+IFERROR(IF(AND(ISNUMBER(SEARCH("@",F371)),ISNUMBER(SEARCH(".",F371))),0,1),1)+IFERROR(IF(AND(LEN(J371)=6,ISNUMBER(VALUE(J371))),0,1),1)+IFERROR(IF(ISNUMBER(MATCH(TRIM(I371),Lists!$A$2:$A$20,0)),0,1),1)+IFERROR(IF(AND(LEN(K371)=10,VALUE(LEFT(K371,FIND("/",K371)-1))&gt;=1,VALUE(LEFT(K371,FIND("/",K371)-1))&lt;=31,VALUE(LEFT(MID(K371,FIND("/",K371)+1,10),FIND("/",MID(K371,FIND("/",K371)+1,10))-1))&gt;=1,VALUE(LEFT(MID(K371,FIND("/",K371)+1,10),FIND("/",MID(K371,FIND("/",K371)+1,10))-1))&lt;=12,VALUE(LEFT(K371,FIND("/",K371)-1))&lt;=DAY(EOMONTH(DATE(VALUE(MID(MID(K371,FIND("/",K371)+1,10),FIND("/",MID(K371,FIND("/",K371)+1,10))+1,4)),VALUE(LEFT(MID(K371,FIND("/",K371)+1,10),FIND("/",MID(K371,FIND("/",K371)+1,10))-1)),1),0))),0,1),1)+IFERROR(IF(M371&gt;=0,0,1),1)+IFERROR(IF(ISNUMBER(MATCH(N371,Lists!$B$2:$B$7,0)),0,1),1))=0,"OK","ERROR"))</f>
        <v>OK</v>
      </c>
      <c r="Q371" s="3" t="str">
        <f aca="false">IF(D371="","",TRIM(IF(IFERROR(IF(AND(TRIM(D371)=D371,LEN(D371)&gt;0),0,1),1)=1,"Name; ","")&amp;IF(IFERROR(IF(AND(LEN(E371)=10,ISNUMBER(VALUE(E371))),0,1),1)=1,"Phone; ","")&amp;IF(IFERROR(IF(AND(ISNUMBER(SEARCH("@",F371)),ISNUMBER(SEARCH(".",F371))),0,1),1)=1,"Email; ","")&amp;IF(IFERROR(IF(AND(LEN(J371)=6,ISNUMBER(VALUE(J371))),0,1),1)=1,"Pincode; ","")&amp;IF(IFERROR(IF(ISNUMBER(MATCH(TRIM(I371),Lists!$A$2:$A$20,0)),0,1),1)=1,"State; ","")&amp;IF(IFERROR(IF(AND(LEN(K371)=10,VALUE(LEFT(K371,FIND("/",K371)-1))&gt;=1,VALUE(LEFT(K371,FIND("/",K371)-1))&lt;=31,VALUE(LEFT(MID(K371,FIND("/",K371)+1,10),FIND("/",MID(K371,FIND("/",K371)+1,10))-1))&gt;=1,VALUE(LEFT(MID(K371,FIND("/",K371)+1,10),FIND("/",MID(K371,FIND("/",K371)+1,10))-1))&lt;=12,VALUE(LEFT(K371,FIND("/",K371)-1))&lt;=DAY(EOMONTH(DATE(VALUE(MID(MID(K371,FIND("/",K371)+1,10),FIND("/",MID(K371,FIND("/",K371)+1,10))+1,4)),VALUE(LEFT(MID(K371,FIND("/",K371)+1,10),FIND("/",MID(K371,FIND("/",K371)+1,10))-1)),1),0))),0,1),1)=1,"Date; ","")&amp;IF(IFERROR(IF(M371&gt;=0,0,1),1)=1,"Amount; ","")&amp;IF(IFERROR(IF(ISNUMBER(MATCH(N371,Lists!$B$2:$B$7,0)),0,1),1)=1,"Payment; ","")))</f>
        <v/>
      </c>
      <c r="R371" s="3" t="str">
        <f aca="false">IF(D371="","",IF(COUNTIFS($D$2:$D$701,D371,$E$2:$E$701,E371)&gt;1,"DUPLICATE","Unique"))</f>
        <v>Unique</v>
      </c>
    </row>
    <row r="372" customFormat="false" ht="15" hidden="false" customHeight="false" outlineLevel="0" collapsed="false">
      <c r="A372" s="3" t="n">
        <v>371</v>
      </c>
      <c r="B372" s="3" t="n">
        <v>8</v>
      </c>
      <c r="C372" s="3" t="s">
        <v>2687</v>
      </c>
      <c r="D372" s="3" t="s">
        <v>2688</v>
      </c>
      <c r="E372" s="3" t="s">
        <v>2689</v>
      </c>
      <c r="F372" s="3" t="s">
        <v>2690</v>
      </c>
      <c r="G372" s="3" t="s">
        <v>2691</v>
      </c>
      <c r="H372" s="3" t="s">
        <v>310</v>
      </c>
      <c r="I372" s="3" t="s">
        <v>69</v>
      </c>
      <c r="J372" s="3" t="s">
        <v>2692</v>
      </c>
      <c r="K372" s="3" t="s">
        <v>2693</v>
      </c>
      <c r="L372" s="3" t="s">
        <v>44</v>
      </c>
      <c r="M372" s="3" t="n">
        <v>8283.41</v>
      </c>
      <c r="N372" s="3" t="s">
        <v>46</v>
      </c>
      <c r="O372" s="3" t="n">
        <f aca="false">IFERROR(LEN(C372&amp;D372&amp;E372&amp;F372&amp;G372&amp;H372&amp;I372&amp;J372&amp;K372&amp;L372&amp;M372&amp;N372)/5,0)</f>
        <v>30</v>
      </c>
      <c r="P372" s="3" t="str">
        <f aca="false">IF(OR(D372="",C372=""),"",IF((IFERROR(IF(AND(TRIM(D372)=D372,LEN(D372)&gt;0),0,1),1)+IFERROR(IF(AND(LEN(E372)=10,ISNUMBER(VALUE(E372))),0,1),1)+IFERROR(IF(AND(ISNUMBER(SEARCH("@",F372)),ISNUMBER(SEARCH(".",F372))),0,1),1)+IFERROR(IF(AND(LEN(J372)=6,ISNUMBER(VALUE(J372))),0,1),1)+IFERROR(IF(ISNUMBER(MATCH(TRIM(I372),Lists!$A$2:$A$20,0)),0,1),1)+IFERROR(IF(AND(LEN(K372)=10,VALUE(LEFT(K372,FIND("/",K372)-1))&gt;=1,VALUE(LEFT(K372,FIND("/",K372)-1))&lt;=31,VALUE(LEFT(MID(K372,FIND("/",K372)+1,10),FIND("/",MID(K372,FIND("/",K372)+1,10))-1))&gt;=1,VALUE(LEFT(MID(K372,FIND("/",K372)+1,10),FIND("/",MID(K372,FIND("/",K372)+1,10))-1))&lt;=12,VALUE(LEFT(K372,FIND("/",K372)-1))&lt;=DAY(EOMONTH(DATE(VALUE(MID(MID(K372,FIND("/",K372)+1,10),FIND("/",MID(K372,FIND("/",K372)+1,10))+1,4)),VALUE(LEFT(MID(K372,FIND("/",K372)+1,10),FIND("/",MID(K372,FIND("/",K372)+1,10))-1)),1),0))),0,1),1)+IFERROR(IF(M372&gt;=0,0,1),1)+IFERROR(IF(ISNUMBER(MATCH(N372,Lists!$B$2:$B$7,0)),0,1),1))=0,"OK","ERROR"))</f>
        <v>OK</v>
      </c>
      <c r="Q372" s="3" t="str">
        <f aca="false">IF(D372="","",TRIM(IF(IFERROR(IF(AND(TRIM(D372)=D372,LEN(D372)&gt;0),0,1),1)=1,"Name; ","")&amp;IF(IFERROR(IF(AND(LEN(E372)=10,ISNUMBER(VALUE(E372))),0,1),1)=1,"Phone; ","")&amp;IF(IFERROR(IF(AND(ISNUMBER(SEARCH("@",F372)),ISNUMBER(SEARCH(".",F372))),0,1),1)=1,"Email; ","")&amp;IF(IFERROR(IF(AND(LEN(J372)=6,ISNUMBER(VALUE(J372))),0,1),1)=1,"Pincode; ","")&amp;IF(IFERROR(IF(ISNUMBER(MATCH(TRIM(I372),Lists!$A$2:$A$20,0)),0,1),1)=1,"State; ","")&amp;IF(IFERROR(IF(AND(LEN(K372)=10,VALUE(LEFT(K372,FIND("/",K372)-1))&gt;=1,VALUE(LEFT(K372,FIND("/",K372)-1))&lt;=31,VALUE(LEFT(MID(K372,FIND("/",K372)+1,10),FIND("/",MID(K372,FIND("/",K372)+1,10))-1))&gt;=1,VALUE(LEFT(MID(K372,FIND("/",K372)+1,10),FIND("/",MID(K372,FIND("/",K372)+1,10))-1))&lt;=12,VALUE(LEFT(K372,FIND("/",K372)-1))&lt;=DAY(EOMONTH(DATE(VALUE(MID(MID(K372,FIND("/",K372)+1,10),FIND("/",MID(K372,FIND("/",K372)+1,10))+1,4)),VALUE(LEFT(MID(K372,FIND("/",K372)+1,10),FIND("/",MID(K372,FIND("/",K372)+1,10))-1)),1),0))),0,1),1)=1,"Date; ","")&amp;IF(IFERROR(IF(M372&gt;=0,0,1),1)=1,"Amount; ","")&amp;IF(IFERROR(IF(ISNUMBER(MATCH(N372,Lists!$B$2:$B$7,0)),0,1),1)=1,"Payment; ","")))</f>
        <v/>
      </c>
      <c r="R372" s="3" t="str">
        <f aca="false">IF(D372="","",IF(COUNTIFS($D$2:$D$701,D372,$E$2:$E$701,E372)&gt;1,"DUPLICATE","Unique"))</f>
        <v>Unique</v>
      </c>
    </row>
    <row r="373" customFormat="false" ht="15" hidden="false" customHeight="false" outlineLevel="0" collapsed="false">
      <c r="A373" s="3" t="n">
        <v>372</v>
      </c>
      <c r="B373" s="3" t="n">
        <v>8</v>
      </c>
      <c r="C373" s="3" t="s">
        <v>2694</v>
      </c>
      <c r="D373" s="3" t="s">
        <v>2695</v>
      </c>
      <c r="E373" s="3" t="s">
        <v>2696</v>
      </c>
      <c r="F373" s="3" t="s">
        <v>2697</v>
      </c>
      <c r="G373" s="3" t="s">
        <v>2698</v>
      </c>
      <c r="H373" s="3" t="s">
        <v>525</v>
      </c>
      <c r="I373" s="3" t="s">
        <v>76</v>
      </c>
      <c r="J373" s="3" t="s">
        <v>2699</v>
      </c>
      <c r="K373" s="3" t="s">
        <v>2700</v>
      </c>
      <c r="L373" s="3" t="s">
        <v>70</v>
      </c>
      <c r="M373" s="3" t="n">
        <v>10484.21</v>
      </c>
      <c r="N373" s="3" t="s">
        <v>40</v>
      </c>
      <c r="O373" s="3" t="n">
        <f aca="false">IFERROR(LEN(C373&amp;D373&amp;E373&amp;F373&amp;G373&amp;H373&amp;I373&amp;J373&amp;K373&amp;L373&amp;M373&amp;N373)/5,0)</f>
        <v>27</v>
      </c>
      <c r="P373" s="3" t="str">
        <f aca="false">IF(OR(D373="",C373=""),"",IF((IFERROR(IF(AND(TRIM(D373)=D373,LEN(D373)&gt;0),0,1),1)+IFERROR(IF(AND(LEN(E373)=10,ISNUMBER(VALUE(E373))),0,1),1)+IFERROR(IF(AND(ISNUMBER(SEARCH("@",F373)),ISNUMBER(SEARCH(".",F373))),0,1),1)+IFERROR(IF(AND(LEN(J373)=6,ISNUMBER(VALUE(J373))),0,1),1)+IFERROR(IF(ISNUMBER(MATCH(TRIM(I373),Lists!$A$2:$A$20,0)),0,1),1)+IFERROR(IF(AND(LEN(K373)=10,VALUE(LEFT(K373,FIND("/",K373)-1))&gt;=1,VALUE(LEFT(K373,FIND("/",K373)-1))&lt;=31,VALUE(LEFT(MID(K373,FIND("/",K373)+1,10),FIND("/",MID(K373,FIND("/",K373)+1,10))-1))&gt;=1,VALUE(LEFT(MID(K373,FIND("/",K373)+1,10),FIND("/",MID(K373,FIND("/",K373)+1,10))-1))&lt;=12,VALUE(LEFT(K373,FIND("/",K373)-1))&lt;=DAY(EOMONTH(DATE(VALUE(MID(MID(K373,FIND("/",K373)+1,10),FIND("/",MID(K373,FIND("/",K373)+1,10))+1,4)),VALUE(LEFT(MID(K373,FIND("/",K373)+1,10),FIND("/",MID(K373,FIND("/",K373)+1,10))-1)),1),0))),0,1),1)+IFERROR(IF(M373&gt;=0,0,1),1)+IFERROR(IF(ISNUMBER(MATCH(N373,Lists!$B$2:$B$7,0)),0,1),1))=0,"OK","ERROR"))</f>
        <v>OK</v>
      </c>
      <c r="Q373" s="3" t="str">
        <f aca="false">IF(D373="","",TRIM(IF(IFERROR(IF(AND(TRIM(D373)=D373,LEN(D373)&gt;0),0,1),1)=1,"Name; ","")&amp;IF(IFERROR(IF(AND(LEN(E373)=10,ISNUMBER(VALUE(E373))),0,1),1)=1,"Phone; ","")&amp;IF(IFERROR(IF(AND(ISNUMBER(SEARCH("@",F373)),ISNUMBER(SEARCH(".",F373))),0,1),1)=1,"Email; ","")&amp;IF(IFERROR(IF(AND(LEN(J373)=6,ISNUMBER(VALUE(J373))),0,1),1)=1,"Pincode; ","")&amp;IF(IFERROR(IF(ISNUMBER(MATCH(TRIM(I373),Lists!$A$2:$A$20,0)),0,1),1)=1,"State; ","")&amp;IF(IFERROR(IF(AND(LEN(K373)=10,VALUE(LEFT(K373,FIND("/",K373)-1))&gt;=1,VALUE(LEFT(K373,FIND("/",K373)-1))&lt;=31,VALUE(LEFT(MID(K373,FIND("/",K373)+1,10),FIND("/",MID(K373,FIND("/",K373)+1,10))-1))&gt;=1,VALUE(LEFT(MID(K373,FIND("/",K373)+1,10),FIND("/",MID(K373,FIND("/",K373)+1,10))-1))&lt;=12,VALUE(LEFT(K373,FIND("/",K373)-1))&lt;=DAY(EOMONTH(DATE(VALUE(MID(MID(K373,FIND("/",K373)+1,10),FIND("/",MID(K373,FIND("/",K373)+1,10))+1,4)),VALUE(LEFT(MID(K373,FIND("/",K373)+1,10),FIND("/",MID(K373,FIND("/",K373)+1,10))-1)),1),0))),0,1),1)=1,"Date; ","")&amp;IF(IFERROR(IF(M373&gt;=0,0,1),1)=1,"Amount; ","")&amp;IF(IFERROR(IF(ISNUMBER(MATCH(N373,Lists!$B$2:$B$7,0)),0,1),1)=1,"Payment; ","")))</f>
        <v/>
      </c>
      <c r="R373" s="3" t="str">
        <f aca="false">IF(D373="","",IF(COUNTIFS($D$2:$D$701,D373,$E$2:$E$701,E373)&gt;1,"DUPLICATE","Unique"))</f>
        <v>Unique</v>
      </c>
    </row>
    <row r="374" customFormat="false" ht="15" hidden="false" customHeight="false" outlineLevel="0" collapsed="false">
      <c r="A374" s="3" t="n">
        <v>373</v>
      </c>
      <c r="B374" s="3" t="n">
        <v>8</v>
      </c>
      <c r="C374" s="3" t="s">
        <v>2701</v>
      </c>
      <c r="D374" s="3" t="s">
        <v>2702</v>
      </c>
      <c r="E374" s="3" t="s">
        <v>2703</v>
      </c>
      <c r="F374" s="3" t="s">
        <v>2704</v>
      </c>
      <c r="G374" s="3" t="s">
        <v>2705</v>
      </c>
      <c r="H374" s="3" t="s">
        <v>502</v>
      </c>
      <c r="I374" s="3" t="s">
        <v>73</v>
      </c>
      <c r="J374" s="3" t="s">
        <v>2706</v>
      </c>
      <c r="K374" s="3" t="s">
        <v>2707</v>
      </c>
      <c r="L374" s="3" t="s">
        <v>56</v>
      </c>
      <c r="M374" s="3" t="n">
        <v>8358.94</v>
      </c>
      <c r="N374" s="3" t="s">
        <v>43</v>
      </c>
      <c r="O374" s="3" t="n">
        <f aca="false">IFERROR(LEN(C374&amp;D374&amp;E374&amp;F374&amp;G374&amp;H374&amp;I374&amp;J374&amp;K374&amp;L374&amp;M374&amp;N374)/5,0)</f>
        <v>28.8</v>
      </c>
      <c r="P374" s="3" t="str">
        <f aca="false">IF(OR(D374="",C374=""),"",IF((IFERROR(IF(AND(TRIM(D374)=D374,LEN(D374)&gt;0),0,1),1)+IFERROR(IF(AND(LEN(E374)=10,ISNUMBER(VALUE(E374))),0,1),1)+IFERROR(IF(AND(ISNUMBER(SEARCH("@",F374)),ISNUMBER(SEARCH(".",F374))),0,1),1)+IFERROR(IF(AND(LEN(J374)=6,ISNUMBER(VALUE(J374))),0,1),1)+IFERROR(IF(ISNUMBER(MATCH(TRIM(I374),Lists!$A$2:$A$20,0)),0,1),1)+IFERROR(IF(AND(LEN(K374)=10,VALUE(LEFT(K374,FIND("/",K374)-1))&gt;=1,VALUE(LEFT(K374,FIND("/",K374)-1))&lt;=31,VALUE(LEFT(MID(K374,FIND("/",K374)+1,10),FIND("/",MID(K374,FIND("/",K374)+1,10))-1))&gt;=1,VALUE(LEFT(MID(K374,FIND("/",K374)+1,10),FIND("/",MID(K374,FIND("/",K374)+1,10))-1))&lt;=12,VALUE(LEFT(K374,FIND("/",K374)-1))&lt;=DAY(EOMONTH(DATE(VALUE(MID(MID(K374,FIND("/",K374)+1,10),FIND("/",MID(K374,FIND("/",K374)+1,10))+1,4)),VALUE(LEFT(MID(K374,FIND("/",K374)+1,10),FIND("/",MID(K374,FIND("/",K374)+1,10))-1)),1),0))),0,1),1)+IFERROR(IF(M374&gt;=0,0,1),1)+IFERROR(IF(ISNUMBER(MATCH(N374,Lists!$B$2:$B$7,0)),0,1),1))=0,"OK","ERROR"))</f>
        <v>OK</v>
      </c>
      <c r="Q374" s="3" t="str">
        <f aca="false">IF(D374="","",TRIM(IF(IFERROR(IF(AND(TRIM(D374)=D374,LEN(D374)&gt;0),0,1),1)=1,"Name; ","")&amp;IF(IFERROR(IF(AND(LEN(E374)=10,ISNUMBER(VALUE(E374))),0,1),1)=1,"Phone; ","")&amp;IF(IFERROR(IF(AND(ISNUMBER(SEARCH("@",F374)),ISNUMBER(SEARCH(".",F374))),0,1),1)=1,"Email; ","")&amp;IF(IFERROR(IF(AND(LEN(J374)=6,ISNUMBER(VALUE(J374))),0,1),1)=1,"Pincode; ","")&amp;IF(IFERROR(IF(ISNUMBER(MATCH(TRIM(I374),Lists!$A$2:$A$20,0)),0,1),1)=1,"State; ","")&amp;IF(IFERROR(IF(AND(LEN(K374)=10,VALUE(LEFT(K374,FIND("/",K374)-1))&gt;=1,VALUE(LEFT(K374,FIND("/",K374)-1))&lt;=31,VALUE(LEFT(MID(K374,FIND("/",K374)+1,10),FIND("/",MID(K374,FIND("/",K374)+1,10))-1))&gt;=1,VALUE(LEFT(MID(K374,FIND("/",K374)+1,10),FIND("/",MID(K374,FIND("/",K374)+1,10))-1))&lt;=12,VALUE(LEFT(K374,FIND("/",K374)-1))&lt;=DAY(EOMONTH(DATE(VALUE(MID(MID(K374,FIND("/",K374)+1,10),FIND("/",MID(K374,FIND("/",K374)+1,10))+1,4)),VALUE(LEFT(MID(K374,FIND("/",K374)+1,10),FIND("/",MID(K374,FIND("/",K374)+1,10))-1)),1),0))),0,1),1)=1,"Date; ","")&amp;IF(IFERROR(IF(M374&gt;=0,0,1),1)=1,"Amount; ","")&amp;IF(IFERROR(IF(ISNUMBER(MATCH(N374,Lists!$B$2:$B$7,0)),0,1),1)=1,"Payment; ","")))</f>
        <v/>
      </c>
      <c r="R374" s="3" t="str">
        <f aca="false">IF(D374="","",IF(COUNTIFS($D$2:$D$701,D374,$E$2:$E$701,E374)&gt;1,"DUPLICATE","Unique"))</f>
        <v>Unique</v>
      </c>
    </row>
    <row r="375" customFormat="false" ht="15" hidden="false" customHeight="false" outlineLevel="0" collapsed="false">
      <c r="A375" s="3" t="n">
        <v>374</v>
      </c>
      <c r="B375" s="3" t="n">
        <v>8</v>
      </c>
      <c r="C375" s="3" t="s">
        <v>2708</v>
      </c>
      <c r="D375" s="3" t="s">
        <v>2709</v>
      </c>
      <c r="E375" s="3" t="s">
        <v>2710</v>
      </c>
      <c r="F375" s="3" t="s">
        <v>2711</v>
      </c>
      <c r="G375" s="3" t="s">
        <v>2712</v>
      </c>
      <c r="H375" s="3" t="s">
        <v>548</v>
      </c>
      <c r="I375" s="3" t="s">
        <v>67</v>
      </c>
      <c r="J375" s="3" t="s">
        <v>2713</v>
      </c>
      <c r="K375" s="3" t="s">
        <v>2401</v>
      </c>
      <c r="L375" s="3" t="s">
        <v>72</v>
      </c>
      <c r="M375" s="3" t="n">
        <v>4365.36</v>
      </c>
      <c r="N375" s="3" t="s">
        <v>49</v>
      </c>
      <c r="O375" s="3" t="n">
        <f aca="false">IFERROR(LEN(C375&amp;D375&amp;E375&amp;F375&amp;G375&amp;H375&amp;I375&amp;J375&amp;K375&amp;L375&amp;M375&amp;N375)/5,0)</f>
        <v>27.4</v>
      </c>
      <c r="P375" s="3" t="str">
        <f aca="false">IF(OR(D375="",C375=""),"",IF((IFERROR(IF(AND(TRIM(D375)=D375,LEN(D375)&gt;0),0,1),1)+IFERROR(IF(AND(LEN(E375)=10,ISNUMBER(VALUE(E375))),0,1),1)+IFERROR(IF(AND(ISNUMBER(SEARCH("@",F375)),ISNUMBER(SEARCH(".",F375))),0,1),1)+IFERROR(IF(AND(LEN(J375)=6,ISNUMBER(VALUE(J375))),0,1),1)+IFERROR(IF(ISNUMBER(MATCH(TRIM(I375),Lists!$A$2:$A$20,0)),0,1),1)+IFERROR(IF(AND(LEN(K375)=10,VALUE(LEFT(K375,FIND("/",K375)-1))&gt;=1,VALUE(LEFT(K375,FIND("/",K375)-1))&lt;=31,VALUE(LEFT(MID(K375,FIND("/",K375)+1,10),FIND("/",MID(K375,FIND("/",K375)+1,10))-1))&gt;=1,VALUE(LEFT(MID(K375,FIND("/",K375)+1,10),FIND("/",MID(K375,FIND("/",K375)+1,10))-1))&lt;=12,VALUE(LEFT(K375,FIND("/",K375)-1))&lt;=DAY(EOMONTH(DATE(VALUE(MID(MID(K375,FIND("/",K375)+1,10),FIND("/",MID(K375,FIND("/",K375)+1,10))+1,4)),VALUE(LEFT(MID(K375,FIND("/",K375)+1,10),FIND("/",MID(K375,FIND("/",K375)+1,10))-1)),1),0))),0,1),1)+IFERROR(IF(M375&gt;=0,0,1),1)+IFERROR(IF(ISNUMBER(MATCH(N375,Lists!$B$2:$B$7,0)),0,1),1))=0,"OK","ERROR"))</f>
        <v>OK</v>
      </c>
      <c r="Q375" s="3" t="str">
        <f aca="false">IF(D375="","",TRIM(IF(IFERROR(IF(AND(TRIM(D375)=D375,LEN(D375)&gt;0),0,1),1)=1,"Name; ","")&amp;IF(IFERROR(IF(AND(LEN(E375)=10,ISNUMBER(VALUE(E375))),0,1),1)=1,"Phone; ","")&amp;IF(IFERROR(IF(AND(ISNUMBER(SEARCH("@",F375)),ISNUMBER(SEARCH(".",F375))),0,1),1)=1,"Email; ","")&amp;IF(IFERROR(IF(AND(LEN(J375)=6,ISNUMBER(VALUE(J375))),0,1),1)=1,"Pincode; ","")&amp;IF(IFERROR(IF(ISNUMBER(MATCH(TRIM(I375),Lists!$A$2:$A$20,0)),0,1),1)=1,"State; ","")&amp;IF(IFERROR(IF(AND(LEN(K375)=10,VALUE(LEFT(K375,FIND("/",K375)-1))&gt;=1,VALUE(LEFT(K375,FIND("/",K375)-1))&lt;=31,VALUE(LEFT(MID(K375,FIND("/",K375)+1,10),FIND("/",MID(K375,FIND("/",K375)+1,10))-1))&gt;=1,VALUE(LEFT(MID(K375,FIND("/",K375)+1,10),FIND("/",MID(K375,FIND("/",K375)+1,10))-1))&lt;=12,VALUE(LEFT(K375,FIND("/",K375)-1))&lt;=DAY(EOMONTH(DATE(VALUE(MID(MID(K375,FIND("/",K375)+1,10),FIND("/",MID(K375,FIND("/",K375)+1,10))+1,4)),VALUE(LEFT(MID(K375,FIND("/",K375)+1,10),FIND("/",MID(K375,FIND("/",K375)+1,10))-1)),1),0))),0,1),1)=1,"Date; ","")&amp;IF(IFERROR(IF(M375&gt;=0,0,1),1)=1,"Amount; ","")&amp;IF(IFERROR(IF(ISNUMBER(MATCH(N375,Lists!$B$2:$B$7,0)),0,1),1)=1,"Payment; ","")))</f>
        <v/>
      </c>
      <c r="R375" s="3" t="str">
        <f aca="false">IF(D375="","",IF(COUNTIFS($D$2:$D$701,D375,$E$2:$E$701,E375)&gt;1,"DUPLICATE","Unique"))</f>
        <v>Unique</v>
      </c>
    </row>
    <row r="376" customFormat="false" ht="15" hidden="false" customHeight="false" outlineLevel="0" collapsed="false">
      <c r="A376" s="3" t="n">
        <v>375</v>
      </c>
      <c r="B376" s="3" t="n">
        <v>8</v>
      </c>
      <c r="C376" s="3" t="s">
        <v>2714</v>
      </c>
      <c r="D376" s="3" t="s">
        <v>2715</v>
      </c>
      <c r="E376" s="3" t="s">
        <v>2716</v>
      </c>
      <c r="F376" s="3" t="s">
        <v>2717</v>
      </c>
      <c r="G376" s="3" t="s">
        <v>2718</v>
      </c>
      <c r="H376" s="3" t="s">
        <v>540</v>
      </c>
      <c r="I376" s="3" t="s">
        <v>71</v>
      </c>
      <c r="J376" s="3" t="s">
        <v>2719</v>
      </c>
      <c r="K376" s="3" t="s">
        <v>2720</v>
      </c>
      <c r="L376" s="3" t="s">
        <v>68</v>
      </c>
      <c r="M376" s="3" t="n">
        <v>2677.07</v>
      </c>
      <c r="N376" s="3" t="s">
        <v>52</v>
      </c>
      <c r="O376" s="3" t="n">
        <f aca="false">IFERROR(LEN(C376&amp;D376&amp;E376&amp;F376&amp;G376&amp;H376&amp;I376&amp;J376&amp;K376&amp;L376&amp;M376&amp;N376)/5,0)</f>
        <v>27.8</v>
      </c>
      <c r="P376" s="3" t="str">
        <f aca="false">IF(OR(D376="",C376=""),"",IF((IFERROR(IF(AND(TRIM(D376)=D376,LEN(D376)&gt;0),0,1),1)+IFERROR(IF(AND(LEN(E376)=10,ISNUMBER(VALUE(E376))),0,1),1)+IFERROR(IF(AND(ISNUMBER(SEARCH("@",F376)),ISNUMBER(SEARCH(".",F376))),0,1),1)+IFERROR(IF(AND(LEN(J376)=6,ISNUMBER(VALUE(J376))),0,1),1)+IFERROR(IF(ISNUMBER(MATCH(TRIM(I376),Lists!$A$2:$A$20,0)),0,1),1)+IFERROR(IF(AND(LEN(K376)=10,VALUE(LEFT(K376,FIND("/",K376)-1))&gt;=1,VALUE(LEFT(K376,FIND("/",K376)-1))&lt;=31,VALUE(LEFT(MID(K376,FIND("/",K376)+1,10),FIND("/",MID(K376,FIND("/",K376)+1,10))-1))&gt;=1,VALUE(LEFT(MID(K376,FIND("/",K376)+1,10),FIND("/",MID(K376,FIND("/",K376)+1,10))-1))&lt;=12,VALUE(LEFT(K376,FIND("/",K376)-1))&lt;=DAY(EOMONTH(DATE(VALUE(MID(MID(K376,FIND("/",K376)+1,10),FIND("/",MID(K376,FIND("/",K376)+1,10))+1,4)),VALUE(LEFT(MID(K376,FIND("/",K376)+1,10),FIND("/",MID(K376,FIND("/",K376)+1,10))-1)),1),0))),0,1),1)+IFERROR(IF(M376&gt;=0,0,1),1)+IFERROR(IF(ISNUMBER(MATCH(N376,Lists!$B$2:$B$7,0)),0,1),1))=0,"OK","ERROR"))</f>
        <v>OK</v>
      </c>
      <c r="Q376" s="3" t="str">
        <f aca="false">IF(D376="","",TRIM(IF(IFERROR(IF(AND(TRIM(D376)=D376,LEN(D376)&gt;0),0,1),1)=1,"Name; ","")&amp;IF(IFERROR(IF(AND(LEN(E376)=10,ISNUMBER(VALUE(E376))),0,1),1)=1,"Phone; ","")&amp;IF(IFERROR(IF(AND(ISNUMBER(SEARCH("@",F376)),ISNUMBER(SEARCH(".",F376))),0,1),1)=1,"Email; ","")&amp;IF(IFERROR(IF(AND(LEN(J376)=6,ISNUMBER(VALUE(J376))),0,1),1)=1,"Pincode; ","")&amp;IF(IFERROR(IF(ISNUMBER(MATCH(TRIM(I376),Lists!$A$2:$A$20,0)),0,1),1)=1,"State; ","")&amp;IF(IFERROR(IF(AND(LEN(K376)=10,VALUE(LEFT(K376,FIND("/",K376)-1))&gt;=1,VALUE(LEFT(K376,FIND("/",K376)-1))&lt;=31,VALUE(LEFT(MID(K376,FIND("/",K376)+1,10),FIND("/",MID(K376,FIND("/",K376)+1,10))-1))&gt;=1,VALUE(LEFT(MID(K376,FIND("/",K376)+1,10),FIND("/",MID(K376,FIND("/",K376)+1,10))-1))&lt;=12,VALUE(LEFT(K376,FIND("/",K376)-1))&lt;=DAY(EOMONTH(DATE(VALUE(MID(MID(K376,FIND("/",K376)+1,10),FIND("/",MID(K376,FIND("/",K376)+1,10))+1,4)),VALUE(LEFT(MID(K376,FIND("/",K376)+1,10),FIND("/",MID(K376,FIND("/",K376)+1,10))-1)),1),0))),0,1),1)=1,"Date; ","")&amp;IF(IFERROR(IF(M376&gt;=0,0,1),1)=1,"Amount; ","")&amp;IF(IFERROR(IF(ISNUMBER(MATCH(N376,Lists!$B$2:$B$7,0)),0,1),1)=1,"Payment; ","")))</f>
        <v/>
      </c>
      <c r="R376" s="3" t="str">
        <f aca="false">IF(D376="","",IF(COUNTIFS($D$2:$D$701,D376,$E$2:$E$701,E376)&gt;1,"DUPLICATE","Unique"))</f>
        <v>Unique</v>
      </c>
    </row>
    <row r="377" customFormat="false" ht="15" hidden="false" customHeight="false" outlineLevel="0" collapsed="false">
      <c r="A377" s="3" t="n">
        <v>376</v>
      </c>
      <c r="B377" s="3" t="n">
        <v>8</v>
      </c>
      <c r="C377" s="3" t="s">
        <v>2721</v>
      </c>
      <c r="D377" s="3" t="s">
        <v>2722</v>
      </c>
      <c r="E377" s="3" t="s">
        <v>2723</v>
      </c>
      <c r="F377" s="3" t="s">
        <v>2724</v>
      </c>
      <c r="G377" s="3" t="s">
        <v>2725</v>
      </c>
      <c r="H377" s="3" t="s">
        <v>1207</v>
      </c>
      <c r="I377" s="3" t="s">
        <v>67</v>
      </c>
      <c r="J377" s="3" t="s">
        <v>2726</v>
      </c>
      <c r="K377" s="3" t="s">
        <v>2727</v>
      </c>
      <c r="L377" s="3" t="s">
        <v>47</v>
      </c>
      <c r="M377" s="3" t="n">
        <v>12582.92</v>
      </c>
      <c r="N377" s="3" t="s">
        <v>49</v>
      </c>
      <c r="O377" s="3" t="n">
        <f aca="false">IFERROR(LEN(C377&amp;D377&amp;E377&amp;F377&amp;G377&amp;H377&amp;I377&amp;J377&amp;K377&amp;L377&amp;M377&amp;N377)/5,0)</f>
        <v>28.8</v>
      </c>
      <c r="P377" s="3" t="str">
        <f aca="false">IF(OR(D377="",C377=""),"",IF((IFERROR(IF(AND(TRIM(D377)=D377,LEN(D377)&gt;0),0,1),1)+IFERROR(IF(AND(LEN(E377)=10,ISNUMBER(VALUE(E377))),0,1),1)+IFERROR(IF(AND(ISNUMBER(SEARCH("@",F377)),ISNUMBER(SEARCH(".",F377))),0,1),1)+IFERROR(IF(AND(LEN(J377)=6,ISNUMBER(VALUE(J377))),0,1),1)+IFERROR(IF(ISNUMBER(MATCH(TRIM(I377),Lists!$A$2:$A$20,0)),0,1),1)+IFERROR(IF(AND(LEN(K377)=10,VALUE(LEFT(K377,FIND("/",K377)-1))&gt;=1,VALUE(LEFT(K377,FIND("/",K377)-1))&lt;=31,VALUE(LEFT(MID(K377,FIND("/",K377)+1,10),FIND("/",MID(K377,FIND("/",K377)+1,10))-1))&gt;=1,VALUE(LEFT(MID(K377,FIND("/",K377)+1,10),FIND("/",MID(K377,FIND("/",K377)+1,10))-1))&lt;=12,VALUE(LEFT(K377,FIND("/",K377)-1))&lt;=DAY(EOMONTH(DATE(VALUE(MID(MID(K377,FIND("/",K377)+1,10),FIND("/",MID(K377,FIND("/",K377)+1,10))+1,4)),VALUE(LEFT(MID(K377,FIND("/",K377)+1,10),FIND("/",MID(K377,FIND("/",K377)+1,10))-1)),1),0))),0,1),1)+IFERROR(IF(M377&gt;=0,0,1),1)+IFERROR(IF(ISNUMBER(MATCH(N377,Lists!$B$2:$B$7,0)),0,1),1))=0,"OK","ERROR"))</f>
        <v>OK</v>
      </c>
      <c r="Q377" s="3" t="str">
        <f aca="false">IF(D377="","",TRIM(IF(IFERROR(IF(AND(TRIM(D377)=D377,LEN(D377)&gt;0),0,1),1)=1,"Name; ","")&amp;IF(IFERROR(IF(AND(LEN(E377)=10,ISNUMBER(VALUE(E377))),0,1),1)=1,"Phone; ","")&amp;IF(IFERROR(IF(AND(ISNUMBER(SEARCH("@",F377)),ISNUMBER(SEARCH(".",F377))),0,1),1)=1,"Email; ","")&amp;IF(IFERROR(IF(AND(LEN(J377)=6,ISNUMBER(VALUE(J377))),0,1),1)=1,"Pincode; ","")&amp;IF(IFERROR(IF(ISNUMBER(MATCH(TRIM(I377),Lists!$A$2:$A$20,0)),0,1),1)=1,"State; ","")&amp;IF(IFERROR(IF(AND(LEN(K377)=10,VALUE(LEFT(K377,FIND("/",K377)-1))&gt;=1,VALUE(LEFT(K377,FIND("/",K377)-1))&lt;=31,VALUE(LEFT(MID(K377,FIND("/",K377)+1,10),FIND("/",MID(K377,FIND("/",K377)+1,10))-1))&gt;=1,VALUE(LEFT(MID(K377,FIND("/",K377)+1,10),FIND("/",MID(K377,FIND("/",K377)+1,10))-1))&lt;=12,VALUE(LEFT(K377,FIND("/",K377)-1))&lt;=DAY(EOMONTH(DATE(VALUE(MID(MID(K377,FIND("/",K377)+1,10),FIND("/",MID(K377,FIND("/",K377)+1,10))+1,4)),VALUE(LEFT(MID(K377,FIND("/",K377)+1,10),FIND("/",MID(K377,FIND("/",K377)+1,10))-1)),1),0))),0,1),1)=1,"Date; ","")&amp;IF(IFERROR(IF(M377&gt;=0,0,1),1)=1,"Amount; ","")&amp;IF(IFERROR(IF(ISNUMBER(MATCH(N377,Lists!$B$2:$B$7,0)),0,1),1)=1,"Payment; ","")))</f>
        <v/>
      </c>
      <c r="R377" s="3" t="str">
        <f aca="false">IF(D377="","",IF(COUNTIFS($D$2:$D$701,D377,$E$2:$E$701,E377)&gt;1,"DUPLICATE","Unique"))</f>
        <v>Unique</v>
      </c>
    </row>
    <row r="378" customFormat="false" ht="15" hidden="false" customHeight="false" outlineLevel="0" collapsed="false">
      <c r="A378" s="3" t="n">
        <v>377</v>
      </c>
      <c r="B378" s="3" t="n">
        <v>8</v>
      </c>
      <c r="C378" s="3" t="s">
        <v>2728</v>
      </c>
      <c r="D378" s="3" t="s">
        <v>2729</v>
      </c>
      <c r="E378" s="3" t="s">
        <v>2730</v>
      </c>
      <c r="F378" s="3" t="s">
        <v>2731</v>
      </c>
      <c r="G378" s="3" t="s">
        <v>2732</v>
      </c>
      <c r="H378" s="3" t="s">
        <v>1044</v>
      </c>
      <c r="I378" s="3" t="s">
        <v>42</v>
      </c>
      <c r="J378" s="3" t="s">
        <v>2733</v>
      </c>
      <c r="K378" s="3" t="s">
        <v>2734</v>
      </c>
      <c r="L378" s="3" t="s">
        <v>72</v>
      </c>
      <c r="M378" s="3" t="n">
        <v>11575.53</v>
      </c>
      <c r="N378" s="3" t="s">
        <v>52</v>
      </c>
      <c r="O378" s="3" t="n">
        <f aca="false">IFERROR(LEN(C378&amp;D378&amp;E378&amp;F378&amp;G378&amp;H378&amp;I378&amp;J378&amp;K378&amp;L378&amp;M378&amp;N378)/5,0)</f>
        <v>27.2</v>
      </c>
      <c r="P378" s="3" t="str">
        <f aca="false">IF(OR(D378="",C378=""),"",IF((IFERROR(IF(AND(TRIM(D378)=D378,LEN(D378)&gt;0),0,1),1)+IFERROR(IF(AND(LEN(E378)=10,ISNUMBER(VALUE(E378))),0,1),1)+IFERROR(IF(AND(ISNUMBER(SEARCH("@",F378)),ISNUMBER(SEARCH(".",F378))),0,1),1)+IFERROR(IF(AND(LEN(J378)=6,ISNUMBER(VALUE(J378))),0,1),1)+IFERROR(IF(ISNUMBER(MATCH(TRIM(I378),Lists!$A$2:$A$20,0)),0,1),1)+IFERROR(IF(AND(LEN(K378)=10,VALUE(LEFT(K378,FIND("/",K378)-1))&gt;=1,VALUE(LEFT(K378,FIND("/",K378)-1))&lt;=31,VALUE(LEFT(MID(K378,FIND("/",K378)+1,10),FIND("/",MID(K378,FIND("/",K378)+1,10))-1))&gt;=1,VALUE(LEFT(MID(K378,FIND("/",K378)+1,10),FIND("/",MID(K378,FIND("/",K378)+1,10))-1))&lt;=12,VALUE(LEFT(K378,FIND("/",K378)-1))&lt;=DAY(EOMONTH(DATE(VALUE(MID(MID(K378,FIND("/",K378)+1,10),FIND("/",MID(K378,FIND("/",K378)+1,10))+1,4)),VALUE(LEFT(MID(K378,FIND("/",K378)+1,10),FIND("/",MID(K378,FIND("/",K378)+1,10))-1)),1),0))),0,1),1)+IFERROR(IF(M378&gt;=0,0,1),1)+IFERROR(IF(ISNUMBER(MATCH(N378,Lists!$B$2:$B$7,0)),0,1),1))=0,"OK","ERROR"))</f>
        <v>OK</v>
      </c>
      <c r="Q378" s="3" t="str">
        <f aca="false">IF(D378="","",TRIM(IF(IFERROR(IF(AND(TRIM(D378)=D378,LEN(D378)&gt;0),0,1),1)=1,"Name; ","")&amp;IF(IFERROR(IF(AND(LEN(E378)=10,ISNUMBER(VALUE(E378))),0,1),1)=1,"Phone; ","")&amp;IF(IFERROR(IF(AND(ISNUMBER(SEARCH("@",F378)),ISNUMBER(SEARCH(".",F378))),0,1),1)=1,"Email; ","")&amp;IF(IFERROR(IF(AND(LEN(J378)=6,ISNUMBER(VALUE(J378))),0,1),1)=1,"Pincode; ","")&amp;IF(IFERROR(IF(ISNUMBER(MATCH(TRIM(I378),Lists!$A$2:$A$20,0)),0,1),1)=1,"State; ","")&amp;IF(IFERROR(IF(AND(LEN(K378)=10,VALUE(LEFT(K378,FIND("/",K378)-1))&gt;=1,VALUE(LEFT(K378,FIND("/",K378)-1))&lt;=31,VALUE(LEFT(MID(K378,FIND("/",K378)+1,10),FIND("/",MID(K378,FIND("/",K378)+1,10))-1))&gt;=1,VALUE(LEFT(MID(K378,FIND("/",K378)+1,10),FIND("/",MID(K378,FIND("/",K378)+1,10))-1))&lt;=12,VALUE(LEFT(K378,FIND("/",K378)-1))&lt;=DAY(EOMONTH(DATE(VALUE(MID(MID(K378,FIND("/",K378)+1,10),FIND("/",MID(K378,FIND("/",K378)+1,10))+1,4)),VALUE(LEFT(MID(K378,FIND("/",K378)+1,10),FIND("/",MID(K378,FIND("/",K378)+1,10))-1)),1),0))),0,1),1)=1,"Date; ","")&amp;IF(IFERROR(IF(M378&gt;=0,0,1),1)=1,"Amount; ","")&amp;IF(IFERROR(IF(ISNUMBER(MATCH(N378,Lists!$B$2:$B$7,0)),0,1),1)=1,"Payment; ","")))</f>
        <v/>
      </c>
      <c r="R378" s="3" t="str">
        <f aca="false">IF(D378="","",IF(COUNTIFS($D$2:$D$701,D378,$E$2:$E$701,E378)&gt;1,"DUPLICATE","Unique"))</f>
        <v>Unique</v>
      </c>
    </row>
    <row r="379" customFormat="false" ht="15" hidden="false" customHeight="false" outlineLevel="0" collapsed="false">
      <c r="A379" s="3" t="n">
        <v>378</v>
      </c>
      <c r="B379" s="3" t="n">
        <v>8</v>
      </c>
      <c r="C379" s="3" t="s">
        <v>2735</v>
      </c>
      <c r="D379" s="3" t="s">
        <v>2736</v>
      </c>
      <c r="E379" s="3" t="s">
        <v>2737</v>
      </c>
      <c r="F379" s="3" t="s">
        <v>2738</v>
      </c>
      <c r="G379" s="3" t="s">
        <v>2739</v>
      </c>
      <c r="H379" s="3" t="s">
        <v>1690</v>
      </c>
      <c r="I379" s="3" t="s">
        <v>51</v>
      </c>
      <c r="J379" s="3" t="s">
        <v>2740</v>
      </c>
      <c r="K379" s="3" t="s">
        <v>2741</v>
      </c>
      <c r="L379" s="3" t="s">
        <v>72</v>
      </c>
      <c r="M379" s="3" t="n">
        <v>2815.71</v>
      </c>
      <c r="N379" s="3" t="s">
        <v>40</v>
      </c>
      <c r="O379" s="3" t="n">
        <f aca="false">IFERROR(LEN(C379&amp;D379&amp;E379&amp;F379&amp;G379&amp;H379&amp;I379&amp;J379&amp;K379&amp;L379&amp;M379&amp;N379)/5,0)</f>
        <v>27.4</v>
      </c>
      <c r="P379" s="3" t="str">
        <f aca="false">IF(OR(D379="",C379=""),"",IF((IFERROR(IF(AND(TRIM(D379)=D379,LEN(D379)&gt;0),0,1),1)+IFERROR(IF(AND(LEN(E379)=10,ISNUMBER(VALUE(E379))),0,1),1)+IFERROR(IF(AND(ISNUMBER(SEARCH("@",F379)),ISNUMBER(SEARCH(".",F379))),0,1),1)+IFERROR(IF(AND(LEN(J379)=6,ISNUMBER(VALUE(J379))),0,1),1)+IFERROR(IF(ISNUMBER(MATCH(TRIM(I379),Lists!$A$2:$A$20,0)),0,1),1)+IFERROR(IF(AND(LEN(K379)=10,VALUE(LEFT(K379,FIND("/",K379)-1))&gt;=1,VALUE(LEFT(K379,FIND("/",K379)-1))&lt;=31,VALUE(LEFT(MID(K379,FIND("/",K379)+1,10),FIND("/",MID(K379,FIND("/",K379)+1,10))-1))&gt;=1,VALUE(LEFT(MID(K379,FIND("/",K379)+1,10),FIND("/",MID(K379,FIND("/",K379)+1,10))-1))&lt;=12,VALUE(LEFT(K379,FIND("/",K379)-1))&lt;=DAY(EOMONTH(DATE(VALUE(MID(MID(K379,FIND("/",K379)+1,10),FIND("/",MID(K379,FIND("/",K379)+1,10))+1,4)),VALUE(LEFT(MID(K379,FIND("/",K379)+1,10),FIND("/",MID(K379,FIND("/",K379)+1,10))-1)),1),0))),0,1),1)+IFERROR(IF(M379&gt;=0,0,1),1)+IFERROR(IF(ISNUMBER(MATCH(N379,Lists!$B$2:$B$7,0)),0,1),1))=0,"OK","ERROR"))</f>
        <v>OK</v>
      </c>
      <c r="Q379" s="3" t="str">
        <f aca="false">IF(D379="","",TRIM(IF(IFERROR(IF(AND(TRIM(D379)=D379,LEN(D379)&gt;0),0,1),1)=1,"Name; ","")&amp;IF(IFERROR(IF(AND(LEN(E379)=10,ISNUMBER(VALUE(E379))),0,1),1)=1,"Phone; ","")&amp;IF(IFERROR(IF(AND(ISNUMBER(SEARCH("@",F379)),ISNUMBER(SEARCH(".",F379))),0,1),1)=1,"Email; ","")&amp;IF(IFERROR(IF(AND(LEN(J379)=6,ISNUMBER(VALUE(J379))),0,1),1)=1,"Pincode; ","")&amp;IF(IFERROR(IF(ISNUMBER(MATCH(TRIM(I379),Lists!$A$2:$A$20,0)),0,1),1)=1,"State; ","")&amp;IF(IFERROR(IF(AND(LEN(K379)=10,VALUE(LEFT(K379,FIND("/",K379)-1))&gt;=1,VALUE(LEFT(K379,FIND("/",K379)-1))&lt;=31,VALUE(LEFT(MID(K379,FIND("/",K379)+1,10),FIND("/",MID(K379,FIND("/",K379)+1,10))-1))&gt;=1,VALUE(LEFT(MID(K379,FIND("/",K379)+1,10),FIND("/",MID(K379,FIND("/",K379)+1,10))-1))&lt;=12,VALUE(LEFT(K379,FIND("/",K379)-1))&lt;=DAY(EOMONTH(DATE(VALUE(MID(MID(K379,FIND("/",K379)+1,10),FIND("/",MID(K379,FIND("/",K379)+1,10))+1,4)),VALUE(LEFT(MID(K379,FIND("/",K379)+1,10),FIND("/",MID(K379,FIND("/",K379)+1,10))-1)),1),0))),0,1),1)=1,"Date; ","")&amp;IF(IFERROR(IF(M379&gt;=0,0,1),1)=1,"Amount; ","")&amp;IF(IFERROR(IF(ISNUMBER(MATCH(N379,Lists!$B$2:$B$7,0)),0,1),1)=1,"Payment; ","")))</f>
        <v/>
      </c>
      <c r="R379" s="3" t="str">
        <f aca="false">IF(D379="","",IF(COUNTIFS($D$2:$D$701,D379,$E$2:$E$701,E379)&gt;1,"DUPLICATE","Unique"))</f>
        <v>Unique</v>
      </c>
    </row>
    <row r="380" customFormat="false" ht="15" hidden="false" customHeight="false" outlineLevel="0" collapsed="false">
      <c r="A380" s="3" t="n">
        <v>379</v>
      </c>
      <c r="B380" s="3" t="n">
        <v>8</v>
      </c>
      <c r="C380" s="3" t="s">
        <v>2742</v>
      </c>
      <c r="D380" s="3" t="s">
        <v>2743</v>
      </c>
      <c r="E380" s="3" t="s">
        <v>2744</v>
      </c>
      <c r="F380" s="3" t="s">
        <v>2745</v>
      </c>
      <c r="G380" s="3" t="s">
        <v>2746</v>
      </c>
      <c r="H380" s="3" t="s">
        <v>266</v>
      </c>
      <c r="I380" s="3" t="s">
        <v>78</v>
      </c>
      <c r="J380" s="3" t="s">
        <v>2747</v>
      </c>
      <c r="K380" s="3" t="s">
        <v>2748</v>
      </c>
      <c r="L380" s="3" t="s">
        <v>53</v>
      </c>
      <c r="M380" s="3" t="n">
        <v>12629.76</v>
      </c>
      <c r="N380" s="3" t="s">
        <v>43</v>
      </c>
      <c r="O380" s="3" t="n">
        <f aca="false">IFERROR(LEN(C380&amp;D380&amp;E380&amp;F380&amp;G380&amp;H380&amp;I380&amp;J380&amp;K380&amp;L380&amp;M380&amp;N380)/5,0)</f>
        <v>26.6</v>
      </c>
      <c r="P380" s="3" t="str">
        <f aca="false">IF(OR(D380="",C380=""),"",IF((IFERROR(IF(AND(TRIM(D380)=D380,LEN(D380)&gt;0),0,1),1)+IFERROR(IF(AND(LEN(E380)=10,ISNUMBER(VALUE(E380))),0,1),1)+IFERROR(IF(AND(ISNUMBER(SEARCH("@",F380)),ISNUMBER(SEARCH(".",F380))),0,1),1)+IFERROR(IF(AND(LEN(J380)=6,ISNUMBER(VALUE(J380))),0,1),1)+IFERROR(IF(ISNUMBER(MATCH(TRIM(I380),Lists!$A$2:$A$20,0)),0,1),1)+IFERROR(IF(AND(LEN(K380)=10,VALUE(LEFT(K380,FIND("/",K380)-1))&gt;=1,VALUE(LEFT(K380,FIND("/",K380)-1))&lt;=31,VALUE(LEFT(MID(K380,FIND("/",K380)+1,10),FIND("/",MID(K380,FIND("/",K380)+1,10))-1))&gt;=1,VALUE(LEFT(MID(K380,FIND("/",K380)+1,10),FIND("/",MID(K380,FIND("/",K380)+1,10))-1))&lt;=12,VALUE(LEFT(K380,FIND("/",K380)-1))&lt;=DAY(EOMONTH(DATE(VALUE(MID(MID(K380,FIND("/",K380)+1,10),FIND("/",MID(K380,FIND("/",K380)+1,10))+1,4)),VALUE(LEFT(MID(K380,FIND("/",K380)+1,10),FIND("/",MID(K380,FIND("/",K380)+1,10))-1)),1),0))),0,1),1)+IFERROR(IF(M380&gt;=0,0,1),1)+IFERROR(IF(ISNUMBER(MATCH(N380,Lists!$B$2:$B$7,0)),0,1),1))=0,"OK","ERROR"))</f>
        <v>OK</v>
      </c>
      <c r="Q380" s="3" t="str">
        <f aca="false">IF(D380="","",TRIM(IF(IFERROR(IF(AND(TRIM(D380)=D380,LEN(D380)&gt;0),0,1),1)=1,"Name; ","")&amp;IF(IFERROR(IF(AND(LEN(E380)=10,ISNUMBER(VALUE(E380))),0,1),1)=1,"Phone; ","")&amp;IF(IFERROR(IF(AND(ISNUMBER(SEARCH("@",F380)),ISNUMBER(SEARCH(".",F380))),0,1),1)=1,"Email; ","")&amp;IF(IFERROR(IF(AND(LEN(J380)=6,ISNUMBER(VALUE(J380))),0,1),1)=1,"Pincode; ","")&amp;IF(IFERROR(IF(ISNUMBER(MATCH(TRIM(I380),Lists!$A$2:$A$20,0)),0,1),1)=1,"State; ","")&amp;IF(IFERROR(IF(AND(LEN(K380)=10,VALUE(LEFT(K380,FIND("/",K380)-1))&gt;=1,VALUE(LEFT(K380,FIND("/",K380)-1))&lt;=31,VALUE(LEFT(MID(K380,FIND("/",K380)+1,10),FIND("/",MID(K380,FIND("/",K380)+1,10))-1))&gt;=1,VALUE(LEFT(MID(K380,FIND("/",K380)+1,10),FIND("/",MID(K380,FIND("/",K380)+1,10))-1))&lt;=12,VALUE(LEFT(K380,FIND("/",K380)-1))&lt;=DAY(EOMONTH(DATE(VALUE(MID(MID(K380,FIND("/",K380)+1,10),FIND("/",MID(K380,FIND("/",K380)+1,10))+1,4)),VALUE(LEFT(MID(K380,FIND("/",K380)+1,10),FIND("/",MID(K380,FIND("/",K380)+1,10))-1)),1),0))),0,1),1)=1,"Date; ","")&amp;IF(IFERROR(IF(M380&gt;=0,0,1),1)=1,"Amount; ","")&amp;IF(IFERROR(IF(ISNUMBER(MATCH(N380,Lists!$B$2:$B$7,0)),0,1),1)=1,"Payment; ","")))</f>
        <v/>
      </c>
      <c r="R380" s="3" t="str">
        <f aca="false">IF(D380="","",IF(COUNTIFS($D$2:$D$701,D380,$E$2:$E$701,E380)&gt;1,"DUPLICATE","Unique"))</f>
        <v>Unique</v>
      </c>
    </row>
    <row r="381" customFormat="false" ht="15" hidden="false" customHeight="false" outlineLevel="0" collapsed="false">
      <c r="A381" s="3" t="n">
        <v>380</v>
      </c>
      <c r="B381" s="3" t="n">
        <v>8</v>
      </c>
      <c r="C381" s="3" t="s">
        <v>2749</v>
      </c>
      <c r="D381" s="3" t="s">
        <v>2750</v>
      </c>
      <c r="E381" s="3" t="s">
        <v>2751</v>
      </c>
      <c r="F381" s="3" t="s">
        <v>2752</v>
      </c>
      <c r="G381" s="3" t="s">
        <v>2753</v>
      </c>
      <c r="H381" s="3" t="s">
        <v>266</v>
      </c>
      <c r="I381" s="3" t="s">
        <v>78</v>
      </c>
      <c r="J381" s="3" t="s">
        <v>2754</v>
      </c>
      <c r="K381" s="3" t="s">
        <v>1187</v>
      </c>
      <c r="L381" s="3" t="s">
        <v>44</v>
      </c>
      <c r="M381" s="3" t="n">
        <v>15679.62</v>
      </c>
      <c r="N381" s="3" t="s">
        <v>52</v>
      </c>
      <c r="O381" s="3" t="n">
        <f aca="false">IFERROR(LEN(C381&amp;D381&amp;E381&amp;F381&amp;G381&amp;H381&amp;I381&amp;J381&amp;K381&amp;L381&amp;M381&amp;N381)/5,0)</f>
        <v>25.6</v>
      </c>
      <c r="P381" s="3" t="str">
        <f aca="false">IF(OR(D381="",C381=""),"",IF((IFERROR(IF(AND(TRIM(D381)=D381,LEN(D381)&gt;0),0,1),1)+IFERROR(IF(AND(LEN(E381)=10,ISNUMBER(VALUE(E381))),0,1),1)+IFERROR(IF(AND(ISNUMBER(SEARCH("@",F381)),ISNUMBER(SEARCH(".",F381))),0,1),1)+IFERROR(IF(AND(LEN(J381)=6,ISNUMBER(VALUE(J381))),0,1),1)+IFERROR(IF(ISNUMBER(MATCH(TRIM(I381),Lists!$A$2:$A$20,0)),0,1),1)+IFERROR(IF(AND(LEN(K381)=10,VALUE(LEFT(K381,FIND("/",K381)-1))&gt;=1,VALUE(LEFT(K381,FIND("/",K381)-1))&lt;=31,VALUE(LEFT(MID(K381,FIND("/",K381)+1,10),FIND("/",MID(K381,FIND("/",K381)+1,10))-1))&gt;=1,VALUE(LEFT(MID(K381,FIND("/",K381)+1,10),FIND("/",MID(K381,FIND("/",K381)+1,10))-1))&lt;=12,VALUE(LEFT(K381,FIND("/",K381)-1))&lt;=DAY(EOMONTH(DATE(VALUE(MID(MID(K381,FIND("/",K381)+1,10),FIND("/",MID(K381,FIND("/",K381)+1,10))+1,4)),VALUE(LEFT(MID(K381,FIND("/",K381)+1,10),FIND("/",MID(K381,FIND("/",K381)+1,10))-1)),1),0))),0,1),1)+IFERROR(IF(M381&gt;=0,0,1),1)+IFERROR(IF(ISNUMBER(MATCH(N381,Lists!$B$2:$B$7,0)),0,1),1))=0,"OK","ERROR"))</f>
        <v>ERROR</v>
      </c>
      <c r="Q381" s="3" t="str">
        <f aca="false">IF(D381="","",TRIM(IF(IFERROR(IF(AND(TRIM(D381)=D381,LEN(D381)&gt;0),0,1),1)=1,"Name; ","")&amp;IF(IFERROR(IF(AND(LEN(E381)=10,ISNUMBER(VALUE(E381))),0,1),1)=1,"Phone; ","")&amp;IF(IFERROR(IF(AND(ISNUMBER(SEARCH("@",F381)),ISNUMBER(SEARCH(".",F381))),0,1),1)=1,"Email; ","")&amp;IF(IFERROR(IF(AND(LEN(J381)=6,ISNUMBER(VALUE(J381))),0,1),1)=1,"Pincode; ","")&amp;IF(IFERROR(IF(ISNUMBER(MATCH(TRIM(I381),Lists!$A$2:$A$20,0)),0,1),1)=1,"State; ","")&amp;IF(IFERROR(IF(AND(LEN(K381)=10,VALUE(LEFT(K381,FIND("/",K381)-1))&gt;=1,VALUE(LEFT(K381,FIND("/",K381)-1))&lt;=31,VALUE(LEFT(MID(K381,FIND("/",K381)+1,10),FIND("/",MID(K381,FIND("/",K381)+1,10))-1))&gt;=1,VALUE(LEFT(MID(K381,FIND("/",K381)+1,10),FIND("/",MID(K381,FIND("/",K381)+1,10))-1))&lt;=12,VALUE(LEFT(K381,FIND("/",K381)-1))&lt;=DAY(EOMONTH(DATE(VALUE(MID(MID(K381,FIND("/",K381)+1,10),FIND("/",MID(K381,FIND("/",K381)+1,10))+1,4)),VALUE(LEFT(MID(K381,FIND("/",K381)+1,10),FIND("/",MID(K381,FIND("/",K381)+1,10))-1)),1),0))),0,1),1)=1,"Date; ","")&amp;IF(IFERROR(IF(M381&gt;=0,0,1),1)=1,"Amount; ","")&amp;IF(IFERROR(IF(ISNUMBER(MATCH(N381,Lists!$B$2:$B$7,0)),0,1),1)=1,"Payment; ","")))</f>
        <v>Name;</v>
      </c>
      <c r="R381" s="3" t="str">
        <f aca="false">IF(D381="","",IF(COUNTIFS($D$2:$D$701,D381,$E$2:$E$701,E381)&gt;1,"DUPLICATE","Unique"))</f>
        <v>Unique</v>
      </c>
    </row>
    <row r="382" customFormat="false" ht="15" hidden="false" customHeight="false" outlineLevel="0" collapsed="false">
      <c r="A382" s="3" t="n">
        <v>381</v>
      </c>
      <c r="B382" s="3" t="n">
        <v>8</v>
      </c>
      <c r="C382" s="3" t="s">
        <v>2755</v>
      </c>
      <c r="D382" s="3" t="s">
        <v>2756</v>
      </c>
      <c r="E382" s="3" t="s">
        <v>2757</v>
      </c>
      <c r="F382" s="3" t="s">
        <v>2758</v>
      </c>
      <c r="G382" s="3" t="s">
        <v>2759</v>
      </c>
      <c r="H382" s="3" t="s">
        <v>720</v>
      </c>
      <c r="I382" s="3" t="s">
        <v>54</v>
      </c>
      <c r="J382" s="3" t="s">
        <v>2760</v>
      </c>
      <c r="K382" s="3" t="s">
        <v>2761</v>
      </c>
      <c r="L382" s="3" t="s">
        <v>74</v>
      </c>
      <c r="M382" s="3" t="n">
        <v>5321.64</v>
      </c>
      <c r="N382" s="3" t="s">
        <v>49</v>
      </c>
      <c r="O382" s="3" t="n">
        <f aca="false">IFERROR(LEN(C382&amp;D382&amp;E382&amp;F382&amp;G382&amp;H382&amp;I382&amp;J382&amp;K382&amp;L382&amp;M382&amp;N382)/5,0)</f>
        <v>27.2</v>
      </c>
      <c r="P382" s="3" t="str">
        <f aca="false">IF(OR(D382="",C382=""),"",IF((IFERROR(IF(AND(TRIM(D382)=D382,LEN(D382)&gt;0),0,1),1)+IFERROR(IF(AND(LEN(E382)=10,ISNUMBER(VALUE(E382))),0,1),1)+IFERROR(IF(AND(ISNUMBER(SEARCH("@",F382)),ISNUMBER(SEARCH(".",F382))),0,1),1)+IFERROR(IF(AND(LEN(J382)=6,ISNUMBER(VALUE(J382))),0,1),1)+IFERROR(IF(ISNUMBER(MATCH(TRIM(I382),Lists!$A$2:$A$20,0)),0,1),1)+IFERROR(IF(AND(LEN(K382)=10,VALUE(LEFT(K382,FIND("/",K382)-1))&gt;=1,VALUE(LEFT(K382,FIND("/",K382)-1))&lt;=31,VALUE(LEFT(MID(K382,FIND("/",K382)+1,10),FIND("/",MID(K382,FIND("/",K382)+1,10))-1))&gt;=1,VALUE(LEFT(MID(K382,FIND("/",K382)+1,10),FIND("/",MID(K382,FIND("/",K382)+1,10))-1))&lt;=12,VALUE(LEFT(K382,FIND("/",K382)-1))&lt;=DAY(EOMONTH(DATE(VALUE(MID(MID(K382,FIND("/",K382)+1,10),FIND("/",MID(K382,FIND("/",K382)+1,10))+1,4)),VALUE(LEFT(MID(K382,FIND("/",K382)+1,10),FIND("/",MID(K382,FIND("/",K382)+1,10))-1)),1),0))),0,1),1)+IFERROR(IF(M382&gt;=0,0,1),1)+IFERROR(IF(ISNUMBER(MATCH(N382,Lists!$B$2:$B$7,0)),0,1),1))=0,"OK","ERROR"))</f>
        <v>OK</v>
      </c>
      <c r="Q382" s="3" t="str">
        <f aca="false">IF(D382="","",TRIM(IF(IFERROR(IF(AND(TRIM(D382)=D382,LEN(D382)&gt;0),0,1),1)=1,"Name; ","")&amp;IF(IFERROR(IF(AND(LEN(E382)=10,ISNUMBER(VALUE(E382))),0,1),1)=1,"Phone; ","")&amp;IF(IFERROR(IF(AND(ISNUMBER(SEARCH("@",F382)),ISNUMBER(SEARCH(".",F382))),0,1),1)=1,"Email; ","")&amp;IF(IFERROR(IF(AND(LEN(J382)=6,ISNUMBER(VALUE(J382))),0,1),1)=1,"Pincode; ","")&amp;IF(IFERROR(IF(ISNUMBER(MATCH(TRIM(I382),Lists!$A$2:$A$20,0)),0,1),1)=1,"State; ","")&amp;IF(IFERROR(IF(AND(LEN(K382)=10,VALUE(LEFT(K382,FIND("/",K382)-1))&gt;=1,VALUE(LEFT(K382,FIND("/",K382)-1))&lt;=31,VALUE(LEFT(MID(K382,FIND("/",K382)+1,10),FIND("/",MID(K382,FIND("/",K382)+1,10))-1))&gt;=1,VALUE(LEFT(MID(K382,FIND("/",K382)+1,10),FIND("/",MID(K382,FIND("/",K382)+1,10))-1))&lt;=12,VALUE(LEFT(K382,FIND("/",K382)-1))&lt;=DAY(EOMONTH(DATE(VALUE(MID(MID(K382,FIND("/",K382)+1,10),FIND("/",MID(K382,FIND("/",K382)+1,10))+1,4)),VALUE(LEFT(MID(K382,FIND("/",K382)+1,10),FIND("/",MID(K382,FIND("/",K382)+1,10))-1)),1),0))),0,1),1)=1,"Date; ","")&amp;IF(IFERROR(IF(M382&gt;=0,0,1),1)=1,"Amount; ","")&amp;IF(IFERROR(IF(ISNUMBER(MATCH(N382,Lists!$B$2:$B$7,0)),0,1),1)=1,"Payment; ","")))</f>
        <v/>
      </c>
      <c r="R382" s="3" t="str">
        <f aca="false">IF(D382="","",IF(COUNTIFS($D$2:$D$701,D382,$E$2:$E$701,E382)&gt;1,"DUPLICATE","Unique"))</f>
        <v>Unique</v>
      </c>
    </row>
    <row r="383" customFormat="false" ht="15" hidden="false" customHeight="false" outlineLevel="0" collapsed="false">
      <c r="A383" s="3" t="n">
        <v>382</v>
      </c>
      <c r="B383" s="3" t="n">
        <v>8</v>
      </c>
      <c r="C383" s="3" t="s">
        <v>2762</v>
      </c>
      <c r="D383" s="3" t="s">
        <v>2763</v>
      </c>
      <c r="E383" s="3" t="s">
        <v>2764</v>
      </c>
      <c r="F383" s="3" t="s">
        <v>2765</v>
      </c>
      <c r="G383" s="3" t="s">
        <v>2766</v>
      </c>
      <c r="H383" s="3" t="s">
        <v>102</v>
      </c>
      <c r="I383" s="3" t="s">
        <v>48</v>
      </c>
      <c r="J383" s="3" t="s">
        <v>2767</v>
      </c>
      <c r="K383" s="3" t="s">
        <v>1526</v>
      </c>
      <c r="L383" s="3" t="s">
        <v>66</v>
      </c>
      <c r="M383" s="3" t="n">
        <v>3892.1</v>
      </c>
      <c r="N383" s="3" t="s">
        <v>40</v>
      </c>
      <c r="O383" s="3" t="n">
        <f aca="false">IFERROR(LEN(C383&amp;D383&amp;E383&amp;F383&amp;G383&amp;H383&amp;I383&amp;J383&amp;K383&amp;L383&amp;M383&amp;N383)/5,0)</f>
        <v>27.4</v>
      </c>
      <c r="P383" s="3" t="str">
        <f aca="false">IF(OR(D383="",C383=""),"",IF((IFERROR(IF(AND(TRIM(D383)=D383,LEN(D383)&gt;0),0,1),1)+IFERROR(IF(AND(LEN(E383)=10,ISNUMBER(VALUE(E383))),0,1),1)+IFERROR(IF(AND(ISNUMBER(SEARCH("@",F383)),ISNUMBER(SEARCH(".",F383))),0,1),1)+IFERROR(IF(AND(LEN(J383)=6,ISNUMBER(VALUE(J383))),0,1),1)+IFERROR(IF(ISNUMBER(MATCH(TRIM(I383),Lists!$A$2:$A$20,0)),0,1),1)+IFERROR(IF(AND(LEN(K383)=10,VALUE(LEFT(K383,FIND("/",K383)-1))&gt;=1,VALUE(LEFT(K383,FIND("/",K383)-1))&lt;=31,VALUE(LEFT(MID(K383,FIND("/",K383)+1,10),FIND("/",MID(K383,FIND("/",K383)+1,10))-1))&gt;=1,VALUE(LEFT(MID(K383,FIND("/",K383)+1,10),FIND("/",MID(K383,FIND("/",K383)+1,10))-1))&lt;=12,VALUE(LEFT(K383,FIND("/",K383)-1))&lt;=DAY(EOMONTH(DATE(VALUE(MID(MID(K383,FIND("/",K383)+1,10),FIND("/",MID(K383,FIND("/",K383)+1,10))+1,4)),VALUE(LEFT(MID(K383,FIND("/",K383)+1,10),FIND("/",MID(K383,FIND("/",K383)+1,10))-1)),1),0))),0,1),1)+IFERROR(IF(M383&gt;=0,0,1),1)+IFERROR(IF(ISNUMBER(MATCH(N383,Lists!$B$2:$B$7,0)),0,1),1))=0,"OK","ERROR"))</f>
        <v>OK</v>
      </c>
      <c r="Q383" s="3" t="str">
        <f aca="false">IF(D383="","",TRIM(IF(IFERROR(IF(AND(TRIM(D383)=D383,LEN(D383)&gt;0),0,1),1)=1,"Name; ","")&amp;IF(IFERROR(IF(AND(LEN(E383)=10,ISNUMBER(VALUE(E383))),0,1),1)=1,"Phone; ","")&amp;IF(IFERROR(IF(AND(ISNUMBER(SEARCH("@",F383)),ISNUMBER(SEARCH(".",F383))),0,1),1)=1,"Email; ","")&amp;IF(IFERROR(IF(AND(LEN(J383)=6,ISNUMBER(VALUE(J383))),0,1),1)=1,"Pincode; ","")&amp;IF(IFERROR(IF(ISNUMBER(MATCH(TRIM(I383),Lists!$A$2:$A$20,0)),0,1),1)=1,"State; ","")&amp;IF(IFERROR(IF(AND(LEN(K383)=10,VALUE(LEFT(K383,FIND("/",K383)-1))&gt;=1,VALUE(LEFT(K383,FIND("/",K383)-1))&lt;=31,VALUE(LEFT(MID(K383,FIND("/",K383)+1,10),FIND("/",MID(K383,FIND("/",K383)+1,10))-1))&gt;=1,VALUE(LEFT(MID(K383,FIND("/",K383)+1,10),FIND("/",MID(K383,FIND("/",K383)+1,10))-1))&lt;=12,VALUE(LEFT(K383,FIND("/",K383)-1))&lt;=DAY(EOMONTH(DATE(VALUE(MID(MID(K383,FIND("/",K383)+1,10),FIND("/",MID(K383,FIND("/",K383)+1,10))+1,4)),VALUE(LEFT(MID(K383,FIND("/",K383)+1,10),FIND("/",MID(K383,FIND("/",K383)+1,10))-1)),1),0))),0,1),1)=1,"Date; ","")&amp;IF(IFERROR(IF(M383&gt;=0,0,1),1)=1,"Amount; ","")&amp;IF(IFERROR(IF(ISNUMBER(MATCH(N383,Lists!$B$2:$B$7,0)),0,1),1)=1,"Payment; ","")))</f>
        <v/>
      </c>
      <c r="R383" s="3" t="str">
        <f aca="false">IF(D383="","",IF(COUNTIFS($D$2:$D$701,D383,$E$2:$E$701,E383)&gt;1,"DUPLICATE","Unique"))</f>
        <v>Unique</v>
      </c>
    </row>
    <row r="384" customFormat="false" ht="15" hidden="false" customHeight="false" outlineLevel="0" collapsed="false">
      <c r="A384" s="3" t="n">
        <v>383</v>
      </c>
      <c r="B384" s="3" t="n">
        <v>8</v>
      </c>
      <c r="C384" s="3" t="s">
        <v>2768</v>
      </c>
      <c r="D384" s="3" t="s">
        <v>2769</v>
      </c>
      <c r="E384" s="3" t="s">
        <v>2770</v>
      </c>
      <c r="F384" s="3" t="s">
        <v>2771</v>
      </c>
      <c r="G384" s="3" t="s">
        <v>2772</v>
      </c>
      <c r="H384" s="3" t="s">
        <v>149</v>
      </c>
      <c r="I384" s="3" t="s">
        <v>61</v>
      </c>
      <c r="J384" s="3" t="s">
        <v>2773</v>
      </c>
      <c r="K384" s="3" t="s">
        <v>2774</v>
      </c>
      <c r="L384" s="3" t="s">
        <v>62</v>
      </c>
      <c r="M384" s="3" t="n">
        <v>15250.28</v>
      </c>
      <c r="N384" s="3" t="s">
        <v>52</v>
      </c>
      <c r="O384" s="3" t="n">
        <f aca="false">IFERROR(LEN(C384&amp;D384&amp;E384&amp;F384&amp;G384&amp;H384&amp;I384&amp;J384&amp;K384&amp;L384&amp;M384&amp;N384)/5,0)</f>
        <v>28.4</v>
      </c>
      <c r="P384" s="3" t="str">
        <f aca="false">IF(OR(D384="",C384=""),"",IF((IFERROR(IF(AND(TRIM(D384)=D384,LEN(D384)&gt;0),0,1),1)+IFERROR(IF(AND(LEN(E384)=10,ISNUMBER(VALUE(E384))),0,1),1)+IFERROR(IF(AND(ISNUMBER(SEARCH("@",F384)),ISNUMBER(SEARCH(".",F384))),0,1),1)+IFERROR(IF(AND(LEN(J384)=6,ISNUMBER(VALUE(J384))),0,1),1)+IFERROR(IF(ISNUMBER(MATCH(TRIM(I384),Lists!$A$2:$A$20,0)),0,1),1)+IFERROR(IF(AND(LEN(K384)=10,VALUE(LEFT(K384,FIND("/",K384)-1))&gt;=1,VALUE(LEFT(K384,FIND("/",K384)-1))&lt;=31,VALUE(LEFT(MID(K384,FIND("/",K384)+1,10),FIND("/",MID(K384,FIND("/",K384)+1,10))-1))&gt;=1,VALUE(LEFT(MID(K384,FIND("/",K384)+1,10),FIND("/",MID(K384,FIND("/",K384)+1,10))-1))&lt;=12,VALUE(LEFT(K384,FIND("/",K384)-1))&lt;=DAY(EOMONTH(DATE(VALUE(MID(MID(K384,FIND("/",K384)+1,10),FIND("/",MID(K384,FIND("/",K384)+1,10))+1,4)),VALUE(LEFT(MID(K384,FIND("/",K384)+1,10),FIND("/",MID(K384,FIND("/",K384)+1,10))-1)),1),0))),0,1),1)+IFERROR(IF(M384&gt;=0,0,1),1)+IFERROR(IF(ISNUMBER(MATCH(N384,Lists!$B$2:$B$7,0)),0,1),1))=0,"OK","ERROR"))</f>
        <v>OK</v>
      </c>
      <c r="Q384" s="3" t="str">
        <f aca="false">IF(D384="","",TRIM(IF(IFERROR(IF(AND(TRIM(D384)=D384,LEN(D384)&gt;0),0,1),1)=1,"Name; ","")&amp;IF(IFERROR(IF(AND(LEN(E384)=10,ISNUMBER(VALUE(E384))),0,1),1)=1,"Phone; ","")&amp;IF(IFERROR(IF(AND(ISNUMBER(SEARCH("@",F384)),ISNUMBER(SEARCH(".",F384))),0,1),1)=1,"Email; ","")&amp;IF(IFERROR(IF(AND(LEN(J384)=6,ISNUMBER(VALUE(J384))),0,1),1)=1,"Pincode; ","")&amp;IF(IFERROR(IF(ISNUMBER(MATCH(TRIM(I384),Lists!$A$2:$A$20,0)),0,1),1)=1,"State; ","")&amp;IF(IFERROR(IF(AND(LEN(K384)=10,VALUE(LEFT(K384,FIND("/",K384)-1))&gt;=1,VALUE(LEFT(K384,FIND("/",K384)-1))&lt;=31,VALUE(LEFT(MID(K384,FIND("/",K384)+1,10),FIND("/",MID(K384,FIND("/",K384)+1,10))-1))&gt;=1,VALUE(LEFT(MID(K384,FIND("/",K384)+1,10),FIND("/",MID(K384,FIND("/",K384)+1,10))-1))&lt;=12,VALUE(LEFT(K384,FIND("/",K384)-1))&lt;=DAY(EOMONTH(DATE(VALUE(MID(MID(K384,FIND("/",K384)+1,10),FIND("/",MID(K384,FIND("/",K384)+1,10))+1,4)),VALUE(LEFT(MID(K384,FIND("/",K384)+1,10),FIND("/",MID(K384,FIND("/",K384)+1,10))-1)),1),0))),0,1),1)=1,"Date; ","")&amp;IF(IFERROR(IF(M384&gt;=0,0,1),1)=1,"Amount; ","")&amp;IF(IFERROR(IF(ISNUMBER(MATCH(N384,Lists!$B$2:$B$7,0)),0,1),1)=1,"Payment; ","")))</f>
        <v/>
      </c>
      <c r="R384" s="3" t="str">
        <f aca="false">IF(D384="","",IF(COUNTIFS($D$2:$D$701,D384,$E$2:$E$701,E384)&gt;1,"DUPLICATE","Unique"))</f>
        <v>Unique</v>
      </c>
    </row>
    <row r="385" customFormat="false" ht="15" hidden="false" customHeight="false" outlineLevel="0" collapsed="false">
      <c r="A385" s="3" t="n">
        <v>384</v>
      </c>
      <c r="B385" s="3" t="n">
        <v>8</v>
      </c>
      <c r="C385" s="3" t="s">
        <v>2775</v>
      </c>
      <c r="D385" s="3" t="s">
        <v>2776</v>
      </c>
      <c r="E385" s="3" t="s">
        <v>2777</v>
      </c>
      <c r="F385" s="3" t="s">
        <v>2778</v>
      </c>
      <c r="G385" s="3" t="s">
        <v>2779</v>
      </c>
      <c r="H385" s="3" t="s">
        <v>385</v>
      </c>
      <c r="I385" s="3" t="s">
        <v>73</v>
      </c>
      <c r="J385" s="3" t="s">
        <v>2780</v>
      </c>
      <c r="K385" s="3" t="s">
        <v>2781</v>
      </c>
      <c r="L385" s="3" t="s">
        <v>47</v>
      </c>
      <c r="M385" s="3" t="n">
        <v>11878.09</v>
      </c>
      <c r="N385" s="3" t="s">
        <v>52</v>
      </c>
      <c r="O385" s="3" t="n">
        <f aca="false">IFERROR(LEN(C385&amp;D385&amp;E385&amp;F385&amp;G385&amp;H385&amp;I385&amp;J385&amp;K385&amp;L385&amp;M385&amp;N385)/5,0)</f>
        <v>27.4</v>
      </c>
      <c r="P385" s="3" t="str">
        <f aca="false">IF(OR(D385="",C385=""),"",IF((IFERROR(IF(AND(TRIM(D385)=D385,LEN(D385)&gt;0),0,1),1)+IFERROR(IF(AND(LEN(E385)=10,ISNUMBER(VALUE(E385))),0,1),1)+IFERROR(IF(AND(ISNUMBER(SEARCH("@",F385)),ISNUMBER(SEARCH(".",F385))),0,1),1)+IFERROR(IF(AND(LEN(J385)=6,ISNUMBER(VALUE(J385))),0,1),1)+IFERROR(IF(ISNUMBER(MATCH(TRIM(I385),Lists!$A$2:$A$20,0)),0,1),1)+IFERROR(IF(AND(LEN(K385)=10,VALUE(LEFT(K385,FIND("/",K385)-1))&gt;=1,VALUE(LEFT(K385,FIND("/",K385)-1))&lt;=31,VALUE(LEFT(MID(K385,FIND("/",K385)+1,10),FIND("/",MID(K385,FIND("/",K385)+1,10))-1))&gt;=1,VALUE(LEFT(MID(K385,FIND("/",K385)+1,10),FIND("/",MID(K385,FIND("/",K385)+1,10))-1))&lt;=12,VALUE(LEFT(K385,FIND("/",K385)-1))&lt;=DAY(EOMONTH(DATE(VALUE(MID(MID(K385,FIND("/",K385)+1,10),FIND("/",MID(K385,FIND("/",K385)+1,10))+1,4)),VALUE(LEFT(MID(K385,FIND("/",K385)+1,10),FIND("/",MID(K385,FIND("/",K385)+1,10))-1)),1),0))),0,1),1)+IFERROR(IF(M385&gt;=0,0,1),1)+IFERROR(IF(ISNUMBER(MATCH(N385,Lists!$B$2:$B$7,0)),0,1),1))=0,"OK","ERROR"))</f>
        <v>OK</v>
      </c>
      <c r="Q385" s="3" t="str">
        <f aca="false">IF(D385="","",TRIM(IF(IFERROR(IF(AND(TRIM(D385)=D385,LEN(D385)&gt;0),0,1),1)=1,"Name; ","")&amp;IF(IFERROR(IF(AND(LEN(E385)=10,ISNUMBER(VALUE(E385))),0,1),1)=1,"Phone; ","")&amp;IF(IFERROR(IF(AND(ISNUMBER(SEARCH("@",F385)),ISNUMBER(SEARCH(".",F385))),0,1),1)=1,"Email; ","")&amp;IF(IFERROR(IF(AND(LEN(J385)=6,ISNUMBER(VALUE(J385))),0,1),1)=1,"Pincode; ","")&amp;IF(IFERROR(IF(ISNUMBER(MATCH(TRIM(I385),Lists!$A$2:$A$20,0)),0,1),1)=1,"State; ","")&amp;IF(IFERROR(IF(AND(LEN(K385)=10,VALUE(LEFT(K385,FIND("/",K385)-1))&gt;=1,VALUE(LEFT(K385,FIND("/",K385)-1))&lt;=31,VALUE(LEFT(MID(K385,FIND("/",K385)+1,10),FIND("/",MID(K385,FIND("/",K385)+1,10))-1))&gt;=1,VALUE(LEFT(MID(K385,FIND("/",K385)+1,10),FIND("/",MID(K385,FIND("/",K385)+1,10))-1))&lt;=12,VALUE(LEFT(K385,FIND("/",K385)-1))&lt;=DAY(EOMONTH(DATE(VALUE(MID(MID(K385,FIND("/",K385)+1,10),FIND("/",MID(K385,FIND("/",K385)+1,10))+1,4)),VALUE(LEFT(MID(K385,FIND("/",K385)+1,10),FIND("/",MID(K385,FIND("/",K385)+1,10))-1)),1),0))),0,1),1)=1,"Date; ","")&amp;IF(IFERROR(IF(M385&gt;=0,0,1),1)=1,"Amount; ","")&amp;IF(IFERROR(IF(ISNUMBER(MATCH(N385,Lists!$B$2:$B$7,0)),0,1),1)=1,"Payment; ","")))</f>
        <v/>
      </c>
      <c r="R385" s="3" t="str">
        <f aca="false">IF(D385="","",IF(COUNTIFS($D$2:$D$701,D385,$E$2:$E$701,E385)&gt;1,"DUPLICATE","Unique"))</f>
        <v>Unique</v>
      </c>
    </row>
    <row r="386" customFormat="false" ht="15" hidden="false" customHeight="false" outlineLevel="0" collapsed="false">
      <c r="A386" s="3" t="n">
        <v>385</v>
      </c>
      <c r="B386" s="3" t="n">
        <v>8</v>
      </c>
      <c r="C386" s="3" t="s">
        <v>2782</v>
      </c>
      <c r="D386" s="3" t="s">
        <v>2783</v>
      </c>
      <c r="E386" s="3" t="s">
        <v>2784</v>
      </c>
      <c r="F386" s="3" t="s">
        <v>2785</v>
      </c>
      <c r="G386" s="3" t="s">
        <v>2786</v>
      </c>
      <c r="H386" s="3" t="s">
        <v>205</v>
      </c>
      <c r="I386" s="3" t="s">
        <v>45</v>
      </c>
      <c r="J386" s="3" t="s">
        <v>2787</v>
      </c>
      <c r="K386" s="3" t="s">
        <v>1449</v>
      </c>
      <c r="L386" s="3" t="s">
        <v>50</v>
      </c>
      <c r="M386" s="3" t="n">
        <v>7463.83</v>
      </c>
      <c r="N386" s="3" t="s">
        <v>52</v>
      </c>
      <c r="O386" s="3" t="n">
        <f aca="false">IFERROR(LEN(C386&amp;D386&amp;E386&amp;F386&amp;G386&amp;H386&amp;I386&amp;J386&amp;K386&amp;L386&amp;M386&amp;N386)/5,0)</f>
        <v>27.6</v>
      </c>
      <c r="P386" s="3" t="str">
        <f aca="false">IF(OR(D386="",C386=""),"",IF((IFERROR(IF(AND(TRIM(D386)=D386,LEN(D386)&gt;0),0,1),1)+IFERROR(IF(AND(LEN(E386)=10,ISNUMBER(VALUE(E386))),0,1),1)+IFERROR(IF(AND(ISNUMBER(SEARCH("@",F386)),ISNUMBER(SEARCH(".",F386))),0,1),1)+IFERROR(IF(AND(LEN(J386)=6,ISNUMBER(VALUE(J386))),0,1),1)+IFERROR(IF(ISNUMBER(MATCH(TRIM(I386),Lists!$A$2:$A$20,0)),0,1),1)+IFERROR(IF(AND(LEN(K386)=10,VALUE(LEFT(K386,FIND("/",K386)-1))&gt;=1,VALUE(LEFT(K386,FIND("/",K386)-1))&lt;=31,VALUE(LEFT(MID(K386,FIND("/",K386)+1,10),FIND("/",MID(K386,FIND("/",K386)+1,10))-1))&gt;=1,VALUE(LEFT(MID(K386,FIND("/",K386)+1,10),FIND("/",MID(K386,FIND("/",K386)+1,10))-1))&lt;=12,VALUE(LEFT(K386,FIND("/",K386)-1))&lt;=DAY(EOMONTH(DATE(VALUE(MID(MID(K386,FIND("/",K386)+1,10),FIND("/",MID(K386,FIND("/",K386)+1,10))+1,4)),VALUE(LEFT(MID(K386,FIND("/",K386)+1,10),FIND("/",MID(K386,FIND("/",K386)+1,10))-1)),1),0))),0,1),1)+IFERROR(IF(M386&gt;=0,0,1),1)+IFERROR(IF(ISNUMBER(MATCH(N386,Lists!$B$2:$B$7,0)),0,1),1))=0,"OK","ERROR"))</f>
        <v>OK</v>
      </c>
      <c r="Q386" s="3" t="str">
        <f aca="false">IF(D386="","",TRIM(IF(IFERROR(IF(AND(TRIM(D386)=D386,LEN(D386)&gt;0),0,1),1)=1,"Name; ","")&amp;IF(IFERROR(IF(AND(LEN(E386)=10,ISNUMBER(VALUE(E386))),0,1),1)=1,"Phone; ","")&amp;IF(IFERROR(IF(AND(ISNUMBER(SEARCH("@",F386)),ISNUMBER(SEARCH(".",F386))),0,1),1)=1,"Email; ","")&amp;IF(IFERROR(IF(AND(LEN(J386)=6,ISNUMBER(VALUE(J386))),0,1),1)=1,"Pincode; ","")&amp;IF(IFERROR(IF(ISNUMBER(MATCH(TRIM(I386),Lists!$A$2:$A$20,0)),0,1),1)=1,"State; ","")&amp;IF(IFERROR(IF(AND(LEN(K386)=10,VALUE(LEFT(K386,FIND("/",K386)-1))&gt;=1,VALUE(LEFT(K386,FIND("/",K386)-1))&lt;=31,VALUE(LEFT(MID(K386,FIND("/",K386)+1,10),FIND("/",MID(K386,FIND("/",K386)+1,10))-1))&gt;=1,VALUE(LEFT(MID(K386,FIND("/",K386)+1,10),FIND("/",MID(K386,FIND("/",K386)+1,10))-1))&lt;=12,VALUE(LEFT(K386,FIND("/",K386)-1))&lt;=DAY(EOMONTH(DATE(VALUE(MID(MID(K386,FIND("/",K386)+1,10),FIND("/",MID(K386,FIND("/",K386)+1,10))+1,4)),VALUE(LEFT(MID(K386,FIND("/",K386)+1,10),FIND("/",MID(K386,FIND("/",K386)+1,10))-1)),1),0))),0,1),1)=1,"Date; ","")&amp;IF(IFERROR(IF(M386&gt;=0,0,1),1)=1,"Amount; ","")&amp;IF(IFERROR(IF(ISNUMBER(MATCH(N386,Lists!$B$2:$B$7,0)),0,1),1)=1,"Payment; ","")))</f>
        <v/>
      </c>
      <c r="R386" s="3" t="str">
        <f aca="false">IF(D386="","",IF(COUNTIFS($D$2:$D$701,D386,$E$2:$E$701,E386)&gt;1,"DUPLICATE","Unique"))</f>
        <v>Unique</v>
      </c>
    </row>
    <row r="387" customFormat="false" ht="15" hidden="false" customHeight="false" outlineLevel="0" collapsed="false">
      <c r="A387" s="3" t="n">
        <v>386</v>
      </c>
      <c r="B387" s="3" t="n">
        <v>8</v>
      </c>
      <c r="C387" s="3" t="s">
        <v>2788</v>
      </c>
      <c r="D387" s="3" t="s">
        <v>2789</v>
      </c>
      <c r="E387" s="3" t="s">
        <v>2790</v>
      </c>
      <c r="F387" s="3" t="s">
        <v>2791</v>
      </c>
      <c r="G387" s="3" t="s">
        <v>2792</v>
      </c>
      <c r="H387" s="3" t="s">
        <v>134</v>
      </c>
      <c r="I387" s="3" t="s">
        <v>65</v>
      </c>
      <c r="J387" s="3" t="s">
        <v>2793</v>
      </c>
      <c r="K387" s="3" t="s">
        <v>2794</v>
      </c>
      <c r="L387" s="3" t="s">
        <v>74</v>
      </c>
      <c r="M387" s="3" t="n">
        <v>13345.93</v>
      </c>
      <c r="N387" s="3" t="s">
        <v>55</v>
      </c>
      <c r="O387" s="3" t="n">
        <f aca="false">IFERROR(LEN(C387&amp;D387&amp;E387&amp;F387&amp;G387&amp;H387&amp;I387&amp;J387&amp;K387&amp;L387&amp;M387&amp;N387)/5,0)</f>
        <v>27</v>
      </c>
      <c r="P387" s="3" t="str">
        <f aca="false">IF(OR(D387="",C387=""),"",IF((IFERROR(IF(AND(TRIM(D387)=D387,LEN(D387)&gt;0),0,1),1)+IFERROR(IF(AND(LEN(E387)=10,ISNUMBER(VALUE(E387))),0,1),1)+IFERROR(IF(AND(ISNUMBER(SEARCH("@",F387)),ISNUMBER(SEARCH(".",F387))),0,1),1)+IFERROR(IF(AND(LEN(J387)=6,ISNUMBER(VALUE(J387))),0,1),1)+IFERROR(IF(ISNUMBER(MATCH(TRIM(I387),Lists!$A$2:$A$20,0)),0,1),1)+IFERROR(IF(AND(LEN(K387)=10,VALUE(LEFT(K387,FIND("/",K387)-1))&gt;=1,VALUE(LEFT(K387,FIND("/",K387)-1))&lt;=31,VALUE(LEFT(MID(K387,FIND("/",K387)+1,10),FIND("/",MID(K387,FIND("/",K387)+1,10))-1))&gt;=1,VALUE(LEFT(MID(K387,FIND("/",K387)+1,10),FIND("/",MID(K387,FIND("/",K387)+1,10))-1))&lt;=12,VALUE(LEFT(K387,FIND("/",K387)-1))&lt;=DAY(EOMONTH(DATE(VALUE(MID(MID(K387,FIND("/",K387)+1,10),FIND("/",MID(K387,FIND("/",K387)+1,10))+1,4)),VALUE(LEFT(MID(K387,FIND("/",K387)+1,10),FIND("/",MID(K387,FIND("/",K387)+1,10))-1)),1),0))),0,1),1)+IFERROR(IF(M387&gt;=0,0,1),1)+IFERROR(IF(ISNUMBER(MATCH(N387,Lists!$B$2:$B$7,0)),0,1),1))=0,"OK","ERROR"))</f>
        <v>OK</v>
      </c>
      <c r="Q387" s="3" t="str">
        <f aca="false">IF(D387="","",TRIM(IF(IFERROR(IF(AND(TRIM(D387)=D387,LEN(D387)&gt;0),0,1),1)=1,"Name; ","")&amp;IF(IFERROR(IF(AND(LEN(E387)=10,ISNUMBER(VALUE(E387))),0,1),1)=1,"Phone; ","")&amp;IF(IFERROR(IF(AND(ISNUMBER(SEARCH("@",F387)),ISNUMBER(SEARCH(".",F387))),0,1),1)=1,"Email; ","")&amp;IF(IFERROR(IF(AND(LEN(J387)=6,ISNUMBER(VALUE(J387))),0,1),1)=1,"Pincode; ","")&amp;IF(IFERROR(IF(ISNUMBER(MATCH(TRIM(I387),Lists!$A$2:$A$20,0)),0,1),1)=1,"State; ","")&amp;IF(IFERROR(IF(AND(LEN(K387)=10,VALUE(LEFT(K387,FIND("/",K387)-1))&gt;=1,VALUE(LEFT(K387,FIND("/",K387)-1))&lt;=31,VALUE(LEFT(MID(K387,FIND("/",K387)+1,10),FIND("/",MID(K387,FIND("/",K387)+1,10))-1))&gt;=1,VALUE(LEFT(MID(K387,FIND("/",K387)+1,10),FIND("/",MID(K387,FIND("/",K387)+1,10))-1))&lt;=12,VALUE(LEFT(K387,FIND("/",K387)-1))&lt;=DAY(EOMONTH(DATE(VALUE(MID(MID(K387,FIND("/",K387)+1,10),FIND("/",MID(K387,FIND("/",K387)+1,10))+1,4)),VALUE(LEFT(MID(K387,FIND("/",K387)+1,10),FIND("/",MID(K387,FIND("/",K387)+1,10))-1)),1),0))),0,1),1)=1,"Date; ","")&amp;IF(IFERROR(IF(M387&gt;=0,0,1),1)=1,"Amount; ","")&amp;IF(IFERROR(IF(ISNUMBER(MATCH(N387,Lists!$B$2:$B$7,0)),0,1),1)=1,"Payment; ","")))</f>
        <v/>
      </c>
      <c r="R387" s="3" t="str">
        <f aca="false">IF(D387="","",IF(COUNTIFS($D$2:$D$701,D387,$E$2:$E$701,E387)&gt;1,"DUPLICATE","Unique"))</f>
        <v>Unique</v>
      </c>
    </row>
    <row r="388" customFormat="false" ht="15" hidden="false" customHeight="false" outlineLevel="0" collapsed="false">
      <c r="A388" s="3" t="n">
        <v>387</v>
      </c>
      <c r="B388" s="3" t="n">
        <v>8</v>
      </c>
      <c r="C388" s="3" t="s">
        <v>2795</v>
      </c>
      <c r="D388" s="3" t="s">
        <v>2796</v>
      </c>
      <c r="E388" s="3" t="s">
        <v>2797</v>
      </c>
      <c r="F388" s="3" t="s">
        <v>2798</v>
      </c>
      <c r="G388" s="3" t="s">
        <v>2799</v>
      </c>
      <c r="H388" s="3" t="s">
        <v>1738</v>
      </c>
      <c r="I388" s="3" t="s">
        <v>73</v>
      </c>
      <c r="J388" s="3" t="s">
        <v>2800</v>
      </c>
      <c r="K388" s="3" t="s">
        <v>2801</v>
      </c>
      <c r="L388" s="3" t="s">
        <v>44</v>
      </c>
      <c r="M388" s="3" t="n">
        <v>13096.24</v>
      </c>
      <c r="N388" s="3" t="s">
        <v>55</v>
      </c>
      <c r="O388" s="3" t="n">
        <f aca="false">IFERROR(LEN(C388&amp;D388&amp;E388&amp;F388&amp;G388&amp;H388&amp;I388&amp;J388&amp;K388&amp;L388&amp;M388&amp;N388)/5,0)</f>
        <v>27</v>
      </c>
      <c r="P388" s="3" t="str">
        <f aca="false">IF(OR(D388="",C388=""),"",IF((IFERROR(IF(AND(TRIM(D388)=D388,LEN(D388)&gt;0),0,1),1)+IFERROR(IF(AND(LEN(E388)=10,ISNUMBER(VALUE(E388))),0,1),1)+IFERROR(IF(AND(ISNUMBER(SEARCH("@",F388)),ISNUMBER(SEARCH(".",F388))),0,1),1)+IFERROR(IF(AND(LEN(J388)=6,ISNUMBER(VALUE(J388))),0,1),1)+IFERROR(IF(ISNUMBER(MATCH(TRIM(I388),Lists!$A$2:$A$20,0)),0,1),1)+IFERROR(IF(AND(LEN(K388)=10,VALUE(LEFT(K388,FIND("/",K388)-1))&gt;=1,VALUE(LEFT(K388,FIND("/",K388)-1))&lt;=31,VALUE(LEFT(MID(K388,FIND("/",K388)+1,10),FIND("/",MID(K388,FIND("/",K388)+1,10))-1))&gt;=1,VALUE(LEFT(MID(K388,FIND("/",K388)+1,10),FIND("/",MID(K388,FIND("/",K388)+1,10))-1))&lt;=12,VALUE(LEFT(K388,FIND("/",K388)-1))&lt;=DAY(EOMONTH(DATE(VALUE(MID(MID(K388,FIND("/",K388)+1,10),FIND("/",MID(K388,FIND("/",K388)+1,10))+1,4)),VALUE(LEFT(MID(K388,FIND("/",K388)+1,10),FIND("/",MID(K388,FIND("/",K388)+1,10))-1)),1),0))),0,1),1)+IFERROR(IF(M388&gt;=0,0,1),1)+IFERROR(IF(ISNUMBER(MATCH(N388,Lists!$B$2:$B$7,0)),0,1),1))=0,"OK","ERROR"))</f>
        <v>OK</v>
      </c>
      <c r="Q388" s="3" t="str">
        <f aca="false">IF(D388="","",TRIM(IF(IFERROR(IF(AND(TRIM(D388)=D388,LEN(D388)&gt;0),0,1),1)=1,"Name; ","")&amp;IF(IFERROR(IF(AND(LEN(E388)=10,ISNUMBER(VALUE(E388))),0,1),1)=1,"Phone; ","")&amp;IF(IFERROR(IF(AND(ISNUMBER(SEARCH("@",F388)),ISNUMBER(SEARCH(".",F388))),0,1),1)=1,"Email; ","")&amp;IF(IFERROR(IF(AND(LEN(J388)=6,ISNUMBER(VALUE(J388))),0,1),1)=1,"Pincode; ","")&amp;IF(IFERROR(IF(ISNUMBER(MATCH(TRIM(I388),Lists!$A$2:$A$20,0)),0,1),1)=1,"State; ","")&amp;IF(IFERROR(IF(AND(LEN(K388)=10,VALUE(LEFT(K388,FIND("/",K388)-1))&gt;=1,VALUE(LEFT(K388,FIND("/",K388)-1))&lt;=31,VALUE(LEFT(MID(K388,FIND("/",K388)+1,10),FIND("/",MID(K388,FIND("/",K388)+1,10))-1))&gt;=1,VALUE(LEFT(MID(K388,FIND("/",K388)+1,10),FIND("/",MID(K388,FIND("/",K388)+1,10))-1))&lt;=12,VALUE(LEFT(K388,FIND("/",K388)-1))&lt;=DAY(EOMONTH(DATE(VALUE(MID(MID(K388,FIND("/",K388)+1,10),FIND("/",MID(K388,FIND("/",K388)+1,10))+1,4)),VALUE(LEFT(MID(K388,FIND("/",K388)+1,10),FIND("/",MID(K388,FIND("/",K388)+1,10))-1)),1),0))),0,1),1)=1,"Date; ","")&amp;IF(IFERROR(IF(M388&gt;=0,0,1),1)=1,"Amount; ","")&amp;IF(IFERROR(IF(ISNUMBER(MATCH(N388,Lists!$B$2:$B$7,0)),0,1),1)=1,"Payment; ","")))</f>
        <v/>
      </c>
      <c r="R388" s="3" t="str">
        <f aca="false">IF(D388="","",IF(COUNTIFS($D$2:$D$701,D388,$E$2:$E$701,E388)&gt;1,"DUPLICATE","Unique"))</f>
        <v>Unique</v>
      </c>
    </row>
    <row r="389" customFormat="false" ht="15" hidden="false" customHeight="false" outlineLevel="0" collapsed="false">
      <c r="A389" s="3" t="n">
        <v>388</v>
      </c>
      <c r="B389" s="3" t="n">
        <v>8</v>
      </c>
      <c r="C389" s="3" t="s">
        <v>2802</v>
      </c>
      <c r="D389" s="3" t="s">
        <v>2803</v>
      </c>
      <c r="E389" s="3" t="s">
        <v>2804</v>
      </c>
      <c r="F389" s="3" t="s">
        <v>2805</v>
      </c>
      <c r="G389" s="3" t="s">
        <v>2806</v>
      </c>
      <c r="H389" s="3" t="s">
        <v>258</v>
      </c>
      <c r="I389" s="3" t="s">
        <v>2807</v>
      </c>
      <c r="J389" s="3" t="s">
        <v>2808</v>
      </c>
      <c r="K389" s="3" t="s">
        <v>785</v>
      </c>
      <c r="L389" s="3" t="s">
        <v>62</v>
      </c>
      <c r="M389" s="3" t="n">
        <v>3260.57</v>
      </c>
      <c r="N389" s="3" t="s">
        <v>55</v>
      </c>
      <c r="O389" s="3" t="n">
        <f aca="false">IFERROR(LEN(C389&amp;D389&amp;E389&amp;F389&amp;G389&amp;H389&amp;I389&amp;J389&amp;K389&amp;L389&amp;M389&amp;N389)/5,0)</f>
        <v>26.6</v>
      </c>
      <c r="P389" s="3" t="str">
        <f aca="false">IF(OR(D389="",C389=""),"",IF((IFERROR(IF(AND(TRIM(D389)=D389,LEN(D389)&gt;0),0,1),1)+IFERROR(IF(AND(LEN(E389)=10,ISNUMBER(VALUE(E389))),0,1),1)+IFERROR(IF(AND(ISNUMBER(SEARCH("@",F389)),ISNUMBER(SEARCH(".",F389))),0,1),1)+IFERROR(IF(AND(LEN(J389)=6,ISNUMBER(VALUE(J389))),0,1),1)+IFERROR(IF(ISNUMBER(MATCH(TRIM(I389),Lists!$A$2:$A$20,0)),0,1),1)+IFERROR(IF(AND(LEN(K389)=10,VALUE(LEFT(K389,FIND("/",K389)-1))&gt;=1,VALUE(LEFT(K389,FIND("/",K389)-1))&lt;=31,VALUE(LEFT(MID(K389,FIND("/",K389)+1,10),FIND("/",MID(K389,FIND("/",K389)+1,10))-1))&gt;=1,VALUE(LEFT(MID(K389,FIND("/",K389)+1,10),FIND("/",MID(K389,FIND("/",K389)+1,10))-1))&lt;=12,VALUE(LEFT(K389,FIND("/",K389)-1))&lt;=DAY(EOMONTH(DATE(VALUE(MID(MID(K389,FIND("/",K389)+1,10),FIND("/",MID(K389,FIND("/",K389)+1,10))+1,4)),VALUE(LEFT(MID(K389,FIND("/",K389)+1,10),FIND("/",MID(K389,FIND("/",K389)+1,10))-1)),1),0))),0,1),1)+IFERROR(IF(M389&gt;=0,0,1),1)+IFERROR(IF(ISNUMBER(MATCH(N389,Lists!$B$2:$B$7,0)),0,1),1))=0,"OK","ERROR"))</f>
        <v>ERROR</v>
      </c>
      <c r="Q389" s="3" t="str">
        <f aca="false">IF(D389="","",TRIM(IF(IFERROR(IF(AND(TRIM(D389)=D389,LEN(D389)&gt;0),0,1),1)=1,"Name; ","")&amp;IF(IFERROR(IF(AND(LEN(E389)=10,ISNUMBER(VALUE(E389))),0,1),1)=1,"Phone; ","")&amp;IF(IFERROR(IF(AND(ISNUMBER(SEARCH("@",F389)),ISNUMBER(SEARCH(".",F389))),0,1),1)=1,"Email; ","")&amp;IF(IFERROR(IF(AND(LEN(J389)=6,ISNUMBER(VALUE(J389))),0,1),1)=1,"Pincode; ","")&amp;IF(IFERROR(IF(ISNUMBER(MATCH(TRIM(I389),Lists!$A$2:$A$20,0)),0,1),1)=1,"State; ","")&amp;IF(IFERROR(IF(AND(LEN(K389)=10,VALUE(LEFT(K389,FIND("/",K389)-1))&gt;=1,VALUE(LEFT(K389,FIND("/",K389)-1))&lt;=31,VALUE(LEFT(MID(K389,FIND("/",K389)+1,10),FIND("/",MID(K389,FIND("/",K389)+1,10))-1))&gt;=1,VALUE(LEFT(MID(K389,FIND("/",K389)+1,10),FIND("/",MID(K389,FIND("/",K389)+1,10))-1))&lt;=12,VALUE(LEFT(K389,FIND("/",K389)-1))&lt;=DAY(EOMONTH(DATE(VALUE(MID(MID(K389,FIND("/",K389)+1,10),FIND("/",MID(K389,FIND("/",K389)+1,10))+1,4)),VALUE(LEFT(MID(K389,FIND("/",K389)+1,10),FIND("/",MID(K389,FIND("/",K389)+1,10))-1)),1),0))),0,1),1)=1,"Date; ","")&amp;IF(IFERROR(IF(M389&gt;=0,0,1),1)=1,"Amount; ","")&amp;IF(IFERROR(IF(ISNUMBER(MATCH(N389,Lists!$B$2:$B$7,0)),0,1),1)=1,"Payment; ","")))</f>
        <v>State;</v>
      </c>
      <c r="R389" s="3" t="str">
        <f aca="false">IF(D389="","",IF(COUNTIFS($D$2:$D$701,D389,$E$2:$E$701,E389)&gt;1,"DUPLICATE","Unique"))</f>
        <v>Unique</v>
      </c>
    </row>
    <row r="390" customFormat="false" ht="15" hidden="false" customHeight="false" outlineLevel="0" collapsed="false">
      <c r="A390" s="3" t="n">
        <v>389</v>
      </c>
      <c r="B390" s="3" t="n">
        <v>8</v>
      </c>
      <c r="C390" s="3" t="s">
        <v>2809</v>
      </c>
      <c r="D390" s="3" t="s">
        <v>2810</v>
      </c>
      <c r="E390" s="3" t="s">
        <v>2811</v>
      </c>
      <c r="F390" s="3" t="s">
        <v>2812</v>
      </c>
      <c r="G390" s="3" t="s">
        <v>2813</v>
      </c>
      <c r="H390" s="3" t="s">
        <v>826</v>
      </c>
      <c r="I390" s="3" t="s">
        <v>78</v>
      </c>
      <c r="J390" s="3" t="s">
        <v>2814</v>
      </c>
      <c r="K390" s="3" t="s">
        <v>2815</v>
      </c>
      <c r="L390" s="3" t="s">
        <v>58</v>
      </c>
      <c r="M390" s="3" t="n">
        <v>10326.27</v>
      </c>
      <c r="N390" s="3" t="s">
        <v>55</v>
      </c>
      <c r="O390" s="3" t="n">
        <f aca="false">IFERROR(LEN(C390&amp;D390&amp;E390&amp;F390&amp;G390&amp;H390&amp;I390&amp;J390&amp;K390&amp;L390&amp;M390&amp;N390)/5,0)</f>
        <v>26</v>
      </c>
      <c r="P390" s="3" t="str">
        <f aca="false">IF(OR(D390="",C390=""),"",IF((IFERROR(IF(AND(TRIM(D390)=D390,LEN(D390)&gt;0),0,1),1)+IFERROR(IF(AND(LEN(E390)=10,ISNUMBER(VALUE(E390))),0,1),1)+IFERROR(IF(AND(ISNUMBER(SEARCH("@",F390)),ISNUMBER(SEARCH(".",F390))),0,1),1)+IFERROR(IF(AND(LEN(J390)=6,ISNUMBER(VALUE(J390))),0,1),1)+IFERROR(IF(ISNUMBER(MATCH(TRIM(I390),Lists!$A$2:$A$20,0)),0,1),1)+IFERROR(IF(AND(LEN(K390)=10,VALUE(LEFT(K390,FIND("/",K390)-1))&gt;=1,VALUE(LEFT(K390,FIND("/",K390)-1))&lt;=31,VALUE(LEFT(MID(K390,FIND("/",K390)+1,10),FIND("/",MID(K390,FIND("/",K390)+1,10))-1))&gt;=1,VALUE(LEFT(MID(K390,FIND("/",K390)+1,10),FIND("/",MID(K390,FIND("/",K390)+1,10))-1))&lt;=12,VALUE(LEFT(K390,FIND("/",K390)-1))&lt;=DAY(EOMONTH(DATE(VALUE(MID(MID(K390,FIND("/",K390)+1,10),FIND("/",MID(K390,FIND("/",K390)+1,10))+1,4)),VALUE(LEFT(MID(K390,FIND("/",K390)+1,10),FIND("/",MID(K390,FIND("/",K390)+1,10))-1)),1),0))),0,1),1)+IFERROR(IF(M390&gt;=0,0,1),1)+IFERROR(IF(ISNUMBER(MATCH(N390,Lists!$B$2:$B$7,0)),0,1),1))=0,"OK","ERROR"))</f>
        <v>OK</v>
      </c>
      <c r="Q390" s="3" t="str">
        <f aca="false">IF(D390="","",TRIM(IF(IFERROR(IF(AND(TRIM(D390)=D390,LEN(D390)&gt;0),0,1),1)=1,"Name; ","")&amp;IF(IFERROR(IF(AND(LEN(E390)=10,ISNUMBER(VALUE(E390))),0,1),1)=1,"Phone; ","")&amp;IF(IFERROR(IF(AND(ISNUMBER(SEARCH("@",F390)),ISNUMBER(SEARCH(".",F390))),0,1),1)=1,"Email; ","")&amp;IF(IFERROR(IF(AND(LEN(J390)=6,ISNUMBER(VALUE(J390))),0,1),1)=1,"Pincode; ","")&amp;IF(IFERROR(IF(ISNUMBER(MATCH(TRIM(I390),Lists!$A$2:$A$20,0)),0,1),1)=1,"State; ","")&amp;IF(IFERROR(IF(AND(LEN(K390)=10,VALUE(LEFT(K390,FIND("/",K390)-1))&gt;=1,VALUE(LEFT(K390,FIND("/",K390)-1))&lt;=31,VALUE(LEFT(MID(K390,FIND("/",K390)+1,10),FIND("/",MID(K390,FIND("/",K390)+1,10))-1))&gt;=1,VALUE(LEFT(MID(K390,FIND("/",K390)+1,10),FIND("/",MID(K390,FIND("/",K390)+1,10))-1))&lt;=12,VALUE(LEFT(K390,FIND("/",K390)-1))&lt;=DAY(EOMONTH(DATE(VALUE(MID(MID(K390,FIND("/",K390)+1,10),FIND("/",MID(K390,FIND("/",K390)+1,10))+1,4)),VALUE(LEFT(MID(K390,FIND("/",K390)+1,10),FIND("/",MID(K390,FIND("/",K390)+1,10))-1)),1),0))),0,1),1)=1,"Date; ","")&amp;IF(IFERROR(IF(M390&gt;=0,0,1),1)=1,"Amount; ","")&amp;IF(IFERROR(IF(ISNUMBER(MATCH(N390,Lists!$B$2:$B$7,0)),0,1),1)=1,"Payment; ","")))</f>
        <v/>
      </c>
      <c r="R390" s="3" t="str">
        <f aca="false">IF(D390="","",IF(COUNTIFS($D$2:$D$701,D390,$E$2:$E$701,E390)&gt;1,"DUPLICATE","Unique"))</f>
        <v>Unique</v>
      </c>
    </row>
    <row r="391" customFormat="false" ht="15" hidden="false" customHeight="false" outlineLevel="0" collapsed="false">
      <c r="A391" s="3" t="n">
        <v>390</v>
      </c>
      <c r="B391" s="3" t="n">
        <v>8</v>
      </c>
      <c r="C391" s="3" t="s">
        <v>2816</v>
      </c>
      <c r="D391" s="3" t="s">
        <v>2817</v>
      </c>
      <c r="E391" s="3" t="s">
        <v>2818</v>
      </c>
      <c r="F391" s="3" t="s">
        <v>2819</v>
      </c>
      <c r="G391" s="3" t="s">
        <v>2820</v>
      </c>
      <c r="H391" s="3" t="s">
        <v>1044</v>
      </c>
      <c r="I391" s="3" t="s">
        <v>42</v>
      </c>
      <c r="J391" s="3" t="s">
        <v>2821</v>
      </c>
      <c r="K391" s="3" t="s">
        <v>2822</v>
      </c>
      <c r="L391" s="3" t="s">
        <v>41</v>
      </c>
      <c r="M391" s="3" t="n">
        <v>6390.37</v>
      </c>
      <c r="N391" s="3" t="s">
        <v>46</v>
      </c>
      <c r="O391" s="3" t="n">
        <f aca="false">IFERROR(LEN(C391&amp;D391&amp;E391&amp;F391&amp;G391&amp;H391&amp;I391&amp;J391&amp;K391&amp;L391&amp;M391&amp;N391)/5,0)</f>
        <v>29.6</v>
      </c>
      <c r="P391" s="3" t="str">
        <f aca="false">IF(OR(D391="",C391=""),"",IF((IFERROR(IF(AND(TRIM(D391)=D391,LEN(D391)&gt;0),0,1),1)+IFERROR(IF(AND(LEN(E391)=10,ISNUMBER(VALUE(E391))),0,1),1)+IFERROR(IF(AND(ISNUMBER(SEARCH("@",F391)),ISNUMBER(SEARCH(".",F391))),0,1),1)+IFERROR(IF(AND(LEN(J391)=6,ISNUMBER(VALUE(J391))),0,1),1)+IFERROR(IF(ISNUMBER(MATCH(TRIM(I391),Lists!$A$2:$A$20,0)),0,1),1)+IFERROR(IF(AND(LEN(K391)=10,VALUE(LEFT(K391,FIND("/",K391)-1))&gt;=1,VALUE(LEFT(K391,FIND("/",K391)-1))&lt;=31,VALUE(LEFT(MID(K391,FIND("/",K391)+1,10),FIND("/",MID(K391,FIND("/",K391)+1,10))-1))&gt;=1,VALUE(LEFT(MID(K391,FIND("/",K391)+1,10),FIND("/",MID(K391,FIND("/",K391)+1,10))-1))&lt;=12,VALUE(LEFT(K391,FIND("/",K391)-1))&lt;=DAY(EOMONTH(DATE(VALUE(MID(MID(K391,FIND("/",K391)+1,10),FIND("/",MID(K391,FIND("/",K391)+1,10))+1,4)),VALUE(LEFT(MID(K391,FIND("/",K391)+1,10),FIND("/",MID(K391,FIND("/",K391)+1,10))-1)),1),0))),0,1),1)+IFERROR(IF(M391&gt;=0,0,1),1)+IFERROR(IF(ISNUMBER(MATCH(N391,Lists!$B$2:$B$7,0)),0,1),1))=0,"OK","ERROR"))</f>
        <v>OK</v>
      </c>
      <c r="Q391" s="3" t="str">
        <f aca="false">IF(D391="","",TRIM(IF(IFERROR(IF(AND(TRIM(D391)=D391,LEN(D391)&gt;0),0,1),1)=1,"Name; ","")&amp;IF(IFERROR(IF(AND(LEN(E391)=10,ISNUMBER(VALUE(E391))),0,1),1)=1,"Phone; ","")&amp;IF(IFERROR(IF(AND(ISNUMBER(SEARCH("@",F391)),ISNUMBER(SEARCH(".",F391))),0,1),1)=1,"Email; ","")&amp;IF(IFERROR(IF(AND(LEN(J391)=6,ISNUMBER(VALUE(J391))),0,1),1)=1,"Pincode; ","")&amp;IF(IFERROR(IF(ISNUMBER(MATCH(TRIM(I391),Lists!$A$2:$A$20,0)),0,1),1)=1,"State; ","")&amp;IF(IFERROR(IF(AND(LEN(K391)=10,VALUE(LEFT(K391,FIND("/",K391)-1))&gt;=1,VALUE(LEFT(K391,FIND("/",K391)-1))&lt;=31,VALUE(LEFT(MID(K391,FIND("/",K391)+1,10),FIND("/",MID(K391,FIND("/",K391)+1,10))-1))&gt;=1,VALUE(LEFT(MID(K391,FIND("/",K391)+1,10),FIND("/",MID(K391,FIND("/",K391)+1,10))-1))&lt;=12,VALUE(LEFT(K391,FIND("/",K391)-1))&lt;=DAY(EOMONTH(DATE(VALUE(MID(MID(K391,FIND("/",K391)+1,10),FIND("/",MID(K391,FIND("/",K391)+1,10))+1,4)),VALUE(LEFT(MID(K391,FIND("/",K391)+1,10),FIND("/",MID(K391,FIND("/",K391)+1,10))-1)),1),0))),0,1),1)=1,"Date; ","")&amp;IF(IFERROR(IF(M391&gt;=0,0,1),1)=1,"Amount; ","")&amp;IF(IFERROR(IF(ISNUMBER(MATCH(N391,Lists!$B$2:$B$7,0)),0,1),1)=1,"Payment; ","")))</f>
        <v/>
      </c>
      <c r="R391" s="3" t="str">
        <f aca="false">IF(D391="","",IF(COUNTIFS($D$2:$D$701,D391,$E$2:$E$701,E391)&gt;1,"DUPLICATE","Unique"))</f>
        <v>Unique</v>
      </c>
    </row>
    <row r="392" customFormat="false" ht="15" hidden="false" customHeight="false" outlineLevel="0" collapsed="false">
      <c r="A392" s="3" t="n">
        <v>391</v>
      </c>
      <c r="B392" s="3" t="n">
        <v>8</v>
      </c>
      <c r="C392" s="3" t="s">
        <v>2823</v>
      </c>
      <c r="D392" s="3" t="s">
        <v>2824</v>
      </c>
      <c r="E392" s="3" t="s">
        <v>2825</v>
      </c>
      <c r="F392" s="3" t="s">
        <v>2826</v>
      </c>
      <c r="G392" s="3" t="s">
        <v>2827</v>
      </c>
      <c r="H392" s="3" t="s">
        <v>126</v>
      </c>
      <c r="I392" s="3" t="s">
        <v>45</v>
      </c>
      <c r="J392" s="3" t="s">
        <v>2828</v>
      </c>
      <c r="K392" s="3" t="s">
        <v>1956</v>
      </c>
      <c r="L392" s="3" t="s">
        <v>74</v>
      </c>
      <c r="M392" s="3" t="n">
        <v>5480.98</v>
      </c>
      <c r="N392" s="3" t="s">
        <v>46</v>
      </c>
      <c r="O392" s="3" t="n">
        <f aca="false">IFERROR(LEN(C392&amp;D392&amp;E392&amp;F392&amp;G392&amp;H392&amp;I392&amp;J392&amp;K392&amp;L392&amp;M392&amp;N392)/5,0)</f>
        <v>29.2</v>
      </c>
      <c r="P392" s="3" t="str">
        <f aca="false">IF(OR(D392="",C392=""),"",IF((IFERROR(IF(AND(TRIM(D392)=D392,LEN(D392)&gt;0),0,1),1)+IFERROR(IF(AND(LEN(E392)=10,ISNUMBER(VALUE(E392))),0,1),1)+IFERROR(IF(AND(ISNUMBER(SEARCH("@",F392)),ISNUMBER(SEARCH(".",F392))),0,1),1)+IFERROR(IF(AND(LEN(J392)=6,ISNUMBER(VALUE(J392))),0,1),1)+IFERROR(IF(ISNUMBER(MATCH(TRIM(I392),Lists!$A$2:$A$20,0)),0,1),1)+IFERROR(IF(AND(LEN(K392)=10,VALUE(LEFT(K392,FIND("/",K392)-1))&gt;=1,VALUE(LEFT(K392,FIND("/",K392)-1))&lt;=31,VALUE(LEFT(MID(K392,FIND("/",K392)+1,10),FIND("/",MID(K392,FIND("/",K392)+1,10))-1))&gt;=1,VALUE(LEFT(MID(K392,FIND("/",K392)+1,10),FIND("/",MID(K392,FIND("/",K392)+1,10))-1))&lt;=12,VALUE(LEFT(K392,FIND("/",K392)-1))&lt;=DAY(EOMONTH(DATE(VALUE(MID(MID(K392,FIND("/",K392)+1,10),FIND("/",MID(K392,FIND("/",K392)+1,10))+1,4)),VALUE(LEFT(MID(K392,FIND("/",K392)+1,10),FIND("/",MID(K392,FIND("/",K392)+1,10))-1)),1),0))),0,1),1)+IFERROR(IF(M392&gt;=0,0,1),1)+IFERROR(IF(ISNUMBER(MATCH(N392,Lists!$B$2:$B$7,0)),0,1),1))=0,"OK","ERROR"))</f>
        <v>OK</v>
      </c>
      <c r="Q392" s="3" t="str">
        <f aca="false">IF(D392="","",TRIM(IF(IFERROR(IF(AND(TRIM(D392)=D392,LEN(D392)&gt;0),0,1),1)=1,"Name; ","")&amp;IF(IFERROR(IF(AND(LEN(E392)=10,ISNUMBER(VALUE(E392))),0,1),1)=1,"Phone; ","")&amp;IF(IFERROR(IF(AND(ISNUMBER(SEARCH("@",F392)),ISNUMBER(SEARCH(".",F392))),0,1),1)=1,"Email; ","")&amp;IF(IFERROR(IF(AND(LEN(J392)=6,ISNUMBER(VALUE(J392))),0,1),1)=1,"Pincode; ","")&amp;IF(IFERROR(IF(ISNUMBER(MATCH(TRIM(I392),Lists!$A$2:$A$20,0)),0,1),1)=1,"State; ","")&amp;IF(IFERROR(IF(AND(LEN(K392)=10,VALUE(LEFT(K392,FIND("/",K392)-1))&gt;=1,VALUE(LEFT(K392,FIND("/",K392)-1))&lt;=31,VALUE(LEFT(MID(K392,FIND("/",K392)+1,10),FIND("/",MID(K392,FIND("/",K392)+1,10))-1))&gt;=1,VALUE(LEFT(MID(K392,FIND("/",K392)+1,10),FIND("/",MID(K392,FIND("/",K392)+1,10))-1))&lt;=12,VALUE(LEFT(K392,FIND("/",K392)-1))&lt;=DAY(EOMONTH(DATE(VALUE(MID(MID(K392,FIND("/",K392)+1,10),FIND("/",MID(K392,FIND("/",K392)+1,10))+1,4)),VALUE(LEFT(MID(K392,FIND("/",K392)+1,10),FIND("/",MID(K392,FIND("/",K392)+1,10))-1)),1),0))),0,1),1)=1,"Date; ","")&amp;IF(IFERROR(IF(M392&gt;=0,0,1),1)=1,"Amount; ","")&amp;IF(IFERROR(IF(ISNUMBER(MATCH(N392,Lists!$B$2:$B$7,0)),0,1),1)=1,"Payment; ","")))</f>
        <v/>
      </c>
      <c r="R392" s="3" t="str">
        <f aca="false">IF(D392="","",IF(COUNTIFS($D$2:$D$701,D392,$E$2:$E$701,E392)&gt;1,"DUPLICATE","Unique"))</f>
        <v>Unique</v>
      </c>
    </row>
    <row r="393" customFormat="false" ht="15" hidden="false" customHeight="false" outlineLevel="0" collapsed="false">
      <c r="A393" s="3" t="n">
        <v>392</v>
      </c>
      <c r="B393" s="3" t="n">
        <v>8</v>
      </c>
      <c r="C393" s="3" t="s">
        <v>2829</v>
      </c>
      <c r="D393" s="3" t="s">
        <v>2830</v>
      </c>
      <c r="E393" s="3" t="s">
        <v>2831</v>
      </c>
      <c r="F393" s="3" t="s">
        <v>2832</v>
      </c>
      <c r="G393" s="3" t="s">
        <v>2833</v>
      </c>
      <c r="H393" s="3" t="s">
        <v>157</v>
      </c>
      <c r="I393" s="3" t="s">
        <v>59</v>
      </c>
      <c r="J393" s="3" t="s">
        <v>2834</v>
      </c>
      <c r="K393" s="3" t="s">
        <v>1663</v>
      </c>
      <c r="L393" s="3" t="s">
        <v>56</v>
      </c>
      <c r="M393" s="3" t="n">
        <v>14262.32</v>
      </c>
      <c r="N393" s="3" t="s">
        <v>55</v>
      </c>
      <c r="O393" s="3" t="n">
        <f aca="false">IFERROR(LEN(C393&amp;D393&amp;E393&amp;F393&amp;G393&amp;H393&amp;I393&amp;J393&amp;K393&amp;L393&amp;M393&amp;N393)/5,0)</f>
        <v>31.4</v>
      </c>
      <c r="P393" s="3" t="str">
        <f aca="false">IF(OR(D393="",C393=""),"",IF((IFERROR(IF(AND(TRIM(D393)=D393,LEN(D393)&gt;0),0,1),1)+IFERROR(IF(AND(LEN(E393)=10,ISNUMBER(VALUE(E393))),0,1),1)+IFERROR(IF(AND(ISNUMBER(SEARCH("@",F393)),ISNUMBER(SEARCH(".",F393))),0,1),1)+IFERROR(IF(AND(LEN(J393)=6,ISNUMBER(VALUE(J393))),0,1),1)+IFERROR(IF(ISNUMBER(MATCH(TRIM(I393),Lists!$A$2:$A$20,0)),0,1),1)+IFERROR(IF(AND(LEN(K393)=10,VALUE(LEFT(K393,FIND("/",K393)-1))&gt;=1,VALUE(LEFT(K393,FIND("/",K393)-1))&lt;=31,VALUE(LEFT(MID(K393,FIND("/",K393)+1,10),FIND("/",MID(K393,FIND("/",K393)+1,10))-1))&gt;=1,VALUE(LEFT(MID(K393,FIND("/",K393)+1,10),FIND("/",MID(K393,FIND("/",K393)+1,10))-1))&lt;=12,VALUE(LEFT(K393,FIND("/",K393)-1))&lt;=DAY(EOMONTH(DATE(VALUE(MID(MID(K393,FIND("/",K393)+1,10),FIND("/",MID(K393,FIND("/",K393)+1,10))+1,4)),VALUE(LEFT(MID(K393,FIND("/",K393)+1,10),FIND("/",MID(K393,FIND("/",K393)+1,10))-1)),1),0))),0,1),1)+IFERROR(IF(M393&gt;=0,0,1),1)+IFERROR(IF(ISNUMBER(MATCH(N393,Lists!$B$2:$B$7,0)),0,1),1))=0,"OK","ERROR"))</f>
        <v>OK</v>
      </c>
      <c r="Q393" s="3" t="str">
        <f aca="false">IF(D393="","",TRIM(IF(IFERROR(IF(AND(TRIM(D393)=D393,LEN(D393)&gt;0),0,1),1)=1,"Name; ","")&amp;IF(IFERROR(IF(AND(LEN(E393)=10,ISNUMBER(VALUE(E393))),0,1),1)=1,"Phone; ","")&amp;IF(IFERROR(IF(AND(ISNUMBER(SEARCH("@",F393)),ISNUMBER(SEARCH(".",F393))),0,1),1)=1,"Email; ","")&amp;IF(IFERROR(IF(AND(LEN(J393)=6,ISNUMBER(VALUE(J393))),0,1),1)=1,"Pincode; ","")&amp;IF(IFERROR(IF(ISNUMBER(MATCH(TRIM(I393),Lists!$A$2:$A$20,0)),0,1),1)=1,"State; ","")&amp;IF(IFERROR(IF(AND(LEN(K393)=10,VALUE(LEFT(K393,FIND("/",K393)-1))&gt;=1,VALUE(LEFT(K393,FIND("/",K393)-1))&lt;=31,VALUE(LEFT(MID(K393,FIND("/",K393)+1,10),FIND("/",MID(K393,FIND("/",K393)+1,10))-1))&gt;=1,VALUE(LEFT(MID(K393,FIND("/",K393)+1,10),FIND("/",MID(K393,FIND("/",K393)+1,10))-1))&lt;=12,VALUE(LEFT(K393,FIND("/",K393)-1))&lt;=DAY(EOMONTH(DATE(VALUE(MID(MID(K393,FIND("/",K393)+1,10),FIND("/",MID(K393,FIND("/",K393)+1,10))+1,4)),VALUE(LEFT(MID(K393,FIND("/",K393)+1,10),FIND("/",MID(K393,FIND("/",K393)+1,10))-1)),1),0))),0,1),1)=1,"Date; ","")&amp;IF(IFERROR(IF(M393&gt;=0,0,1),1)=1,"Amount; ","")&amp;IF(IFERROR(IF(ISNUMBER(MATCH(N393,Lists!$B$2:$B$7,0)),0,1),1)=1,"Payment; ","")))</f>
        <v/>
      </c>
      <c r="R393" s="3" t="str">
        <f aca="false">IF(D393="","",IF(COUNTIFS($D$2:$D$701,D393,$E$2:$E$701,E393)&gt;1,"DUPLICATE","Unique"))</f>
        <v>Unique</v>
      </c>
    </row>
    <row r="394" customFormat="false" ht="15" hidden="false" customHeight="false" outlineLevel="0" collapsed="false">
      <c r="A394" s="3" t="n">
        <v>393</v>
      </c>
      <c r="B394" s="3" t="n">
        <v>8</v>
      </c>
      <c r="C394" s="3" t="s">
        <v>2835</v>
      </c>
      <c r="D394" s="3" t="s">
        <v>2836</v>
      </c>
      <c r="E394" s="3" t="s">
        <v>2837</v>
      </c>
      <c r="F394" s="3" t="s">
        <v>2838</v>
      </c>
      <c r="G394" s="3" t="s">
        <v>2839</v>
      </c>
      <c r="H394" s="3" t="s">
        <v>189</v>
      </c>
      <c r="I394" s="3" t="s">
        <v>45</v>
      </c>
      <c r="J394" s="3" t="s">
        <v>2840</v>
      </c>
      <c r="K394" s="3" t="s">
        <v>2841</v>
      </c>
      <c r="L394" s="3" t="s">
        <v>70</v>
      </c>
      <c r="M394" s="3" t="n">
        <v>10622.64</v>
      </c>
      <c r="N394" s="3" t="s">
        <v>40</v>
      </c>
      <c r="O394" s="3" t="n">
        <f aca="false">IFERROR(LEN(C394&amp;D394&amp;E394&amp;F394&amp;G394&amp;H394&amp;I394&amp;J394&amp;K394&amp;L394&amp;M394&amp;N394)/5,0)</f>
        <v>26.4</v>
      </c>
      <c r="P394" s="3" t="str">
        <f aca="false">IF(OR(D394="",C394=""),"",IF((IFERROR(IF(AND(TRIM(D394)=D394,LEN(D394)&gt;0),0,1),1)+IFERROR(IF(AND(LEN(E394)=10,ISNUMBER(VALUE(E394))),0,1),1)+IFERROR(IF(AND(ISNUMBER(SEARCH("@",F394)),ISNUMBER(SEARCH(".",F394))),0,1),1)+IFERROR(IF(AND(LEN(J394)=6,ISNUMBER(VALUE(J394))),0,1),1)+IFERROR(IF(ISNUMBER(MATCH(TRIM(I394),Lists!$A$2:$A$20,0)),0,1),1)+IFERROR(IF(AND(LEN(K394)=10,VALUE(LEFT(K394,FIND("/",K394)-1))&gt;=1,VALUE(LEFT(K394,FIND("/",K394)-1))&lt;=31,VALUE(LEFT(MID(K394,FIND("/",K394)+1,10),FIND("/",MID(K394,FIND("/",K394)+1,10))-1))&gt;=1,VALUE(LEFT(MID(K394,FIND("/",K394)+1,10),FIND("/",MID(K394,FIND("/",K394)+1,10))-1))&lt;=12,VALUE(LEFT(K394,FIND("/",K394)-1))&lt;=DAY(EOMONTH(DATE(VALUE(MID(MID(K394,FIND("/",K394)+1,10),FIND("/",MID(K394,FIND("/",K394)+1,10))+1,4)),VALUE(LEFT(MID(K394,FIND("/",K394)+1,10),FIND("/",MID(K394,FIND("/",K394)+1,10))-1)),1),0))),0,1),1)+IFERROR(IF(M394&gt;=0,0,1),1)+IFERROR(IF(ISNUMBER(MATCH(N394,Lists!$B$2:$B$7,0)),0,1),1))=0,"OK","ERROR"))</f>
        <v>OK</v>
      </c>
      <c r="Q394" s="3" t="str">
        <f aca="false">IF(D394="","",TRIM(IF(IFERROR(IF(AND(TRIM(D394)=D394,LEN(D394)&gt;0),0,1),1)=1,"Name; ","")&amp;IF(IFERROR(IF(AND(LEN(E394)=10,ISNUMBER(VALUE(E394))),0,1),1)=1,"Phone; ","")&amp;IF(IFERROR(IF(AND(ISNUMBER(SEARCH("@",F394)),ISNUMBER(SEARCH(".",F394))),0,1),1)=1,"Email; ","")&amp;IF(IFERROR(IF(AND(LEN(J394)=6,ISNUMBER(VALUE(J394))),0,1),1)=1,"Pincode; ","")&amp;IF(IFERROR(IF(ISNUMBER(MATCH(TRIM(I394),Lists!$A$2:$A$20,0)),0,1),1)=1,"State; ","")&amp;IF(IFERROR(IF(AND(LEN(K394)=10,VALUE(LEFT(K394,FIND("/",K394)-1))&gt;=1,VALUE(LEFT(K394,FIND("/",K394)-1))&lt;=31,VALUE(LEFT(MID(K394,FIND("/",K394)+1,10),FIND("/",MID(K394,FIND("/",K394)+1,10))-1))&gt;=1,VALUE(LEFT(MID(K394,FIND("/",K394)+1,10),FIND("/",MID(K394,FIND("/",K394)+1,10))-1))&lt;=12,VALUE(LEFT(K394,FIND("/",K394)-1))&lt;=DAY(EOMONTH(DATE(VALUE(MID(MID(K394,FIND("/",K394)+1,10),FIND("/",MID(K394,FIND("/",K394)+1,10))+1,4)),VALUE(LEFT(MID(K394,FIND("/",K394)+1,10),FIND("/",MID(K394,FIND("/",K394)+1,10))-1)),1),0))),0,1),1)=1,"Date; ","")&amp;IF(IFERROR(IF(M394&gt;=0,0,1),1)=1,"Amount; ","")&amp;IF(IFERROR(IF(ISNUMBER(MATCH(N394,Lists!$B$2:$B$7,0)),0,1),1)=1,"Payment; ","")))</f>
        <v/>
      </c>
      <c r="R394" s="3" t="str">
        <f aca="false">IF(D394="","",IF(COUNTIFS($D$2:$D$701,D394,$E$2:$E$701,E394)&gt;1,"DUPLICATE","Unique"))</f>
        <v>Unique</v>
      </c>
    </row>
    <row r="395" customFormat="false" ht="15" hidden="false" customHeight="false" outlineLevel="0" collapsed="false">
      <c r="A395" s="3" t="n">
        <v>394</v>
      </c>
      <c r="B395" s="3" t="n">
        <v>8</v>
      </c>
      <c r="C395" s="3" t="s">
        <v>2842</v>
      </c>
      <c r="D395" s="3" t="s">
        <v>2843</v>
      </c>
      <c r="E395" s="3" t="s">
        <v>2844</v>
      </c>
      <c r="F395" s="3" t="s">
        <v>2845</v>
      </c>
      <c r="G395" s="3" t="s">
        <v>2846</v>
      </c>
      <c r="H395" s="3" t="s">
        <v>502</v>
      </c>
      <c r="I395" s="3" t="s">
        <v>73</v>
      </c>
      <c r="J395" s="3" t="s">
        <v>2847</v>
      </c>
      <c r="K395" s="3" t="s">
        <v>1491</v>
      </c>
      <c r="L395" s="3" t="s">
        <v>74</v>
      </c>
      <c r="M395" s="3" t="n">
        <v>9255.75</v>
      </c>
      <c r="N395" s="3" t="s">
        <v>55</v>
      </c>
      <c r="O395" s="3" t="n">
        <f aca="false">IFERROR(LEN(C395&amp;D395&amp;E395&amp;F395&amp;G395&amp;H395&amp;I395&amp;J395&amp;K395&amp;L395&amp;M395&amp;N395)/5,0)</f>
        <v>24.8</v>
      </c>
      <c r="P395" s="3" t="str">
        <f aca="false">IF(OR(D395="",C395=""),"",IF((IFERROR(IF(AND(TRIM(D395)=D395,LEN(D395)&gt;0),0,1),1)+IFERROR(IF(AND(LEN(E395)=10,ISNUMBER(VALUE(E395))),0,1),1)+IFERROR(IF(AND(ISNUMBER(SEARCH("@",F395)),ISNUMBER(SEARCH(".",F395))),0,1),1)+IFERROR(IF(AND(LEN(J395)=6,ISNUMBER(VALUE(J395))),0,1),1)+IFERROR(IF(ISNUMBER(MATCH(TRIM(I395),Lists!$A$2:$A$20,0)),0,1),1)+IFERROR(IF(AND(LEN(K395)=10,VALUE(LEFT(K395,FIND("/",K395)-1))&gt;=1,VALUE(LEFT(K395,FIND("/",K395)-1))&lt;=31,VALUE(LEFT(MID(K395,FIND("/",K395)+1,10),FIND("/",MID(K395,FIND("/",K395)+1,10))-1))&gt;=1,VALUE(LEFT(MID(K395,FIND("/",K395)+1,10),FIND("/",MID(K395,FIND("/",K395)+1,10))-1))&lt;=12,VALUE(LEFT(K395,FIND("/",K395)-1))&lt;=DAY(EOMONTH(DATE(VALUE(MID(MID(K395,FIND("/",K395)+1,10),FIND("/",MID(K395,FIND("/",K395)+1,10))+1,4)),VALUE(LEFT(MID(K395,FIND("/",K395)+1,10),FIND("/",MID(K395,FIND("/",K395)+1,10))-1)),1),0))),0,1),1)+IFERROR(IF(M395&gt;=0,0,1),1)+IFERROR(IF(ISNUMBER(MATCH(N395,Lists!$B$2:$B$7,0)),0,1),1))=0,"OK","ERROR"))</f>
        <v>OK</v>
      </c>
      <c r="Q395" s="3" t="str">
        <f aca="false">IF(D395="","",TRIM(IF(IFERROR(IF(AND(TRIM(D395)=D395,LEN(D395)&gt;0),0,1),1)=1,"Name; ","")&amp;IF(IFERROR(IF(AND(LEN(E395)=10,ISNUMBER(VALUE(E395))),0,1),1)=1,"Phone; ","")&amp;IF(IFERROR(IF(AND(ISNUMBER(SEARCH("@",F395)),ISNUMBER(SEARCH(".",F395))),0,1),1)=1,"Email; ","")&amp;IF(IFERROR(IF(AND(LEN(J395)=6,ISNUMBER(VALUE(J395))),0,1),1)=1,"Pincode; ","")&amp;IF(IFERROR(IF(ISNUMBER(MATCH(TRIM(I395),Lists!$A$2:$A$20,0)),0,1),1)=1,"State; ","")&amp;IF(IFERROR(IF(AND(LEN(K395)=10,VALUE(LEFT(K395,FIND("/",K395)-1))&gt;=1,VALUE(LEFT(K395,FIND("/",K395)-1))&lt;=31,VALUE(LEFT(MID(K395,FIND("/",K395)+1,10),FIND("/",MID(K395,FIND("/",K395)+1,10))-1))&gt;=1,VALUE(LEFT(MID(K395,FIND("/",K395)+1,10),FIND("/",MID(K395,FIND("/",K395)+1,10))-1))&lt;=12,VALUE(LEFT(K395,FIND("/",K395)-1))&lt;=DAY(EOMONTH(DATE(VALUE(MID(MID(K395,FIND("/",K395)+1,10),FIND("/",MID(K395,FIND("/",K395)+1,10))+1,4)),VALUE(LEFT(MID(K395,FIND("/",K395)+1,10),FIND("/",MID(K395,FIND("/",K395)+1,10))-1)),1),0))),0,1),1)=1,"Date; ","")&amp;IF(IFERROR(IF(M395&gt;=0,0,1),1)=1,"Amount; ","")&amp;IF(IFERROR(IF(ISNUMBER(MATCH(N395,Lists!$B$2:$B$7,0)),0,1),1)=1,"Payment; ","")))</f>
        <v/>
      </c>
      <c r="R395" s="3" t="str">
        <f aca="false">IF(D395="","",IF(COUNTIFS($D$2:$D$701,D395,$E$2:$E$701,E395)&gt;1,"DUPLICATE","Unique"))</f>
        <v>Unique</v>
      </c>
    </row>
    <row r="396" customFormat="false" ht="15" hidden="false" customHeight="false" outlineLevel="0" collapsed="false">
      <c r="A396" s="3" t="n">
        <v>395</v>
      </c>
      <c r="B396" s="3" t="n">
        <v>8</v>
      </c>
      <c r="C396" s="3" t="s">
        <v>2848</v>
      </c>
      <c r="D396" s="3" t="s">
        <v>2849</v>
      </c>
      <c r="E396" s="3" t="s">
        <v>2850</v>
      </c>
      <c r="F396" s="3" t="s">
        <v>2851</v>
      </c>
      <c r="G396" s="3" t="s">
        <v>2852</v>
      </c>
      <c r="H396" s="3" t="s">
        <v>525</v>
      </c>
      <c r="I396" s="3" t="s">
        <v>76</v>
      </c>
      <c r="J396" s="3" t="s">
        <v>2853</v>
      </c>
      <c r="K396" s="3" t="s">
        <v>2854</v>
      </c>
      <c r="L396" s="3" t="s">
        <v>47</v>
      </c>
      <c r="M396" s="3" t="n">
        <v>7617.48</v>
      </c>
      <c r="N396" s="3" t="s">
        <v>52</v>
      </c>
      <c r="O396" s="3" t="n">
        <f aca="false">IFERROR(LEN(C396&amp;D396&amp;E396&amp;F396&amp;G396&amp;H396&amp;I396&amp;J396&amp;K396&amp;L396&amp;M396&amp;N396)/5,0)</f>
        <v>28.2</v>
      </c>
      <c r="P396" s="3" t="str">
        <f aca="false">IF(OR(D396="",C396=""),"",IF((IFERROR(IF(AND(TRIM(D396)=D396,LEN(D396)&gt;0),0,1),1)+IFERROR(IF(AND(LEN(E396)=10,ISNUMBER(VALUE(E396))),0,1),1)+IFERROR(IF(AND(ISNUMBER(SEARCH("@",F396)),ISNUMBER(SEARCH(".",F396))),0,1),1)+IFERROR(IF(AND(LEN(J396)=6,ISNUMBER(VALUE(J396))),0,1),1)+IFERROR(IF(ISNUMBER(MATCH(TRIM(I396),Lists!$A$2:$A$20,0)),0,1),1)+IFERROR(IF(AND(LEN(K396)=10,VALUE(LEFT(K396,FIND("/",K396)-1))&gt;=1,VALUE(LEFT(K396,FIND("/",K396)-1))&lt;=31,VALUE(LEFT(MID(K396,FIND("/",K396)+1,10),FIND("/",MID(K396,FIND("/",K396)+1,10))-1))&gt;=1,VALUE(LEFT(MID(K396,FIND("/",K396)+1,10),FIND("/",MID(K396,FIND("/",K396)+1,10))-1))&lt;=12,VALUE(LEFT(K396,FIND("/",K396)-1))&lt;=DAY(EOMONTH(DATE(VALUE(MID(MID(K396,FIND("/",K396)+1,10),FIND("/",MID(K396,FIND("/",K396)+1,10))+1,4)),VALUE(LEFT(MID(K396,FIND("/",K396)+1,10),FIND("/",MID(K396,FIND("/",K396)+1,10))-1)),1),0))),0,1),1)+IFERROR(IF(M396&gt;=0,0,1),1)+IFERROR(IF(ISNUMBER(MATCH(N396,Lists!$B$2:$B$7,0)),0,1),1))=0,"OK","ERROR"))</f>
        <v>OK</v>
      </c>
      <c r="Q396" s="3" t="str">
        <f aca="false">IF(D396="","",TRIM(IF(IFERROR(IF(AND(TRIM(D396)=D396,LEN(D396)&gt;0),0,1),1)=1,"Name; ","")&amp;IF(IFERROR(IF(AND(LEN(E396)=10,ISNUMBER(VALUE(E396))),0,1),1)=1,"Phone; ","")&amp;IF(IFERROR(IF(AND(ISNUMBER(SEARCH("@",F396)),ISNUMBER(SEARCH(".",F396))),0,1),1)=1,"Email; ","")&amp;IF(IFERROR(IF(AND(LEN(J396)=6,ISNUMBER(VALUE(J396))),0,1),1)=1,"Pincode; ","")&amp;IF(IFERROR(IF(ISNUMBER(MATCH(TRIM(I396),Lists!$A$2:$A$20,0)),0,1),1)=1,"State; ","")&amp;IF(IFERROR(IF(AND(LEN(K396)=10,VALUE(LEFT(K396,FIND("/",K396)-1))&gt;=1,VALUE(LEFT(K396,FIND("/",K396)-1))&lt;=31,VALUE(LEFT(MID(K396,FIND("/",K396)+1,10),FIND("/",MID(K396,FIND("/",K396)+1,10))-1))&gt;=1,VALUE(LEFT(MID(K396,FIND("/",K396)+1,10),FIND("/",MID(K396,FIND("/",K396)+1,10))-1))&lt;=12,VALUE(LEFT(K396,FIND("/",K396)-1))&lt;=DAY(EOMONTH(DATE(VALUE(MID(MID(K396,FIND("/",K396)+1,10),FIND("/",MID(K396,FIND("/",K396)+1,10))+1,4)),VALUE(LEFT(MID(K396,FIND("/",K396)+1,10),FIND("/",MID(K396,FIND("/",K396)+1,10))-1)),1),0))),0,1),1)=1,"Date; ","")&amp;IF(IFERROR(IF(M396&gt;=0,0,1),1)=1,"Amount; ","")&amp;IF(IFERROR(IF(ISNUMBER(MATCH(N396,Lists!$B$2:$B$7,0)),0,1),1)=1,"Payment; ","")))</f>
        <v/>
      </c>
      <c r="R396" s="3" t="str">
        <f aca="false">IF(D396="","",IF(COUNTIFS($D$2:$D$701,D396,$E$2:$E$701,E396)&gt;1,"DUPLICATE","Unique"))</f>
        <v>Unique</v>
      </c>
    </row>
    <row r="397" customFormat="false" ht="15" hidden="false" customHeight="false" outlineLevel="0" collapsed="false">
      <c r="A397" s="3" t="n">
        <v>396</v>
      </c>
      <c r="B397" s="3" t="n">
        <v>8</v>
      </c>
      <c r="C397" s="3" t="s">
        <v>2855</v>
      </c>
      <c r="D397" s="3" t="s">
        <v>2856</v>
      </c>
      <c r="E397" s="3" t="s">
        <v>2857</v>
      </c>
      <c r="F397" s="3" t="s">
        <v>2858</v>
      </c>
      <c r="G397" s="3" t="s">
        <v>2859</v>
      </c>
      <c r="H397" s="3" t="s">
        <v>250</v>
      </c>
      <c r="I397" s="3" t="s">
        <v>65</v>
      </c>
      <c r="J397" s="3" t="s">
        <v>2860</v>
      </c>
      <c r="K397" s="3" t="s">
        <v>606</v>
      </c>
      <c r="L397" s="3" t="s">
        <v>68</v>
      </c>
      <c r="M397" s="3" t="n">
        <v>11130.09</v>
      </c>
      <c r="N397" s="3" t="s">
        <v>49</v>
      </c>
      <c r="O397" s="3" t="n">
        <f aca="false">IFERROR(LEN(C397&amp;D397&amp;E397&amp;F397&amp;G397&amp;H397&amp;I397&amp;J397&amp;K397&amp;L397&amp;M397&amp;N397)/5,0)</f>
        <v>26.2</v>
      </c>
      <c r="P397" s="3" t="str">
        <f aca="false">IF(OR(D397="",C397=""),"",IF((IFERROR(IF(AND(TRIM(D397)=D397,LEN(D397)&gt;0),0,1),1)+IFERROR(IF(AND(LEN(E397)=10,ISNUMBER(VALUE(E397))),0,1),1)+IFERROR(IF(AND(ISNUMBER(SEARCH("@",F397)),ISNUMBER(SEARCH(".",F397))),0,1),1)+IFERROR(IF(AND(LEN(J397)=6,ISNUMBER(VALUE(J397))),0,1),1)+IFERROR(IF(ISNUMBER(MATCH(TRIM(I397),Lists!$A$2:$A$20,0)),0,1),1)+IFERROR(IF(AND(LEN(K397)=10,VALUE(LEFT(K397,FIND("/",K397)-1))&gt;=1,VALUE(LEFT(K397,FIND("/",K397)-1))&lt;=31,VALUE(LEFT(MID(K397,FIND("/",K397)+1,10),FIND("/",MID(K397,FIND("/",K397)+1,10))-1))&gt;=1,VALUE(LEFT(MID(K397,FIND("/",K397)+1,10),FIND("/",MID(K397,FIND("/",K397)+1,10))-1))&lt;=12,VALUE(LEFT(K397,FIND("/",K397)-1))&lt;=DAY(EOMONTH(DATE(VALUE(MID(MID(K397,FIND("/",K397)+1,10),FIND("/",MID(K397,FIND("/",K397)+1,10))+1,4)),VALUE(LEFT(MID(K397,FIND("/",K397)+1,10),FIND("/",MID(K397,FIND("/",K397)+1,10))-1)),1),0))),0,1),1)+IFERROR(IF(M397&gt;=0,0,1),1)+IFERROR(IF(ISNUMBER(MATCH(N397,Lists!$B$2:$B$7,0)),0,1),1))=0,"OK","ERROR"))</f>
        <v>OK</v>
      </c>
      <c r="Q397" s="3" t="str">
        <f aca="false">IF(D397="","",TRIM(IF(IFERROR(IF(AND(TRIM(D397)=D397,LEN(D397)&gt;0),0,1),1)=1,"Name; ","")&amp;IF(IFERROR(IF(AND(LEN(E397)=10,ISNUMBER(VALUE(E397))),0,1),1)=1,"Phone; ","")&amp;IF(IFERROR(IF(AND(ISNUMBER(SEARCH("@",F397)),ISNUMBER(SEARCH(".",F397))),0,1),1)=1,"Email; ","")&amp;IF(IFERROR(IF(AND(LEN(J397)=6,ISNUMBER(VALUE(J397))),0,1),1)=1,"Pincode; ","")&amp;IF(IFERROR(IF(ISNUMBER(MATCH(TRIM(I397),Lists!$A$2:$A$20,0)),0,1),1)=1,"State; ","")&amp;IF(IFERROR(IF(AND(LEN(K397)=10,VALUE(LEFT(K397,FIND("/",K397)-1))&gt;=1,VALUE(LEFT(K397,FIND("/",K397)-1))&lt;=31,VALUE(LEFT(MID(K397,FIND("/",K397)+1,10),FIND("/",MID(K397,FIND("/",K397)+1,10))-1))&gt;=1,VALUE(LEFT(MID(K397,FIND("/",K397)+1,10),FIND("/",MID(K397,FIND("/",K397)+1,10))-1))&lt;=12,VALUE(LEFT(K397,FIND("/",K397)-1))&lt;=DAY(EOMONTH(DATE(VALUE(MID(MID(K397,FIND("/",K397)+1,10),FIND("/",MID(K397,FIND("/",K397)+1,10))+1,4)),VALUE(LEFT(MID(K397,FIND("/",K397)+1,10),FIND("/",MID(K397,FIND("/",K397)+1,10))-1)),1),0))),0,1),1)=1,"Date; ","")&amp;IF(IFERROR(IF(M397&gt;=0,0,1),1)=1,"Amount; ","")&amp;IF(IFERROR(IF(ISNUMBER(MATCH(N397,Lists!$B$2:$B$7,0)),0,1),1)=1,"Payment; ","")))</f>
        <v/>
      </c>
      <c r="R397" s="3" t="str">
        <f aca="false">IF(D397="","",IF(COUNTIFS($D$2:$D$701,D397,$E$2:$E$701,E397)&gt;1,"DUPLICATE","Unique"))</f>
        <v>Unique</v>
      </c>
    </row>
    <row r="398" customFormat="false" ht="15" hidden="false" customHeight="false" outlineLevel="0" collapsed="false">
      <c r="A398" s="3" t="n">
        <v>397</v>
      </c>
      <c r="B398" s="3" t="n">
        <v>8</v>
      </c>
      <c r="C398" s="3" t="s">
        <v>2861</v>
      </c>
      <c r="D398" s="3" t="s">
        <v>2862</v>
      </c>
      <c r="E398" s="3" t="s">
        <v>2863</v>
      </c>
      <c r="F398" s="3" t="s">
        <v>2864</v>
      </c>
      <c r="G398" s="3" t="s">
        <v>2865</v>
      </c>
      <c r="H398" s="3" t="s">
        <v>428</v>
      </c>
      <c r="I398" s="3" t="s">
        <v>65</v>
      </c>
      <c r="J398" s="3" t="s">
        <v>2866</v>
      </c>
      <c r="K398" s="3" t="s">
        <v>2867</v>
      </c>
      <c r="L398" s="3" t="s">
        <v>60</v>
      </c>
      <c r="M398" s="3" t="n">
        <v>11805.46</v>
      </c>
      <c r="N398" s="3" t="s">
        <v>46</v>
      </c>
      <c r="O398" s="3" t="n">
        <f aca="false">IFERROR(LEN(C398&amp;D398&amp;E398&amp;F398&amp;G398&amp;H398&amp;I398&amp;J398&amp;K398&amp;L398&amp;M398&amp;N398)/5,0)</f>
        <v>28.8</v>
      </c>
      <c r="P398" s="3" t="str">
        <f aca="false">IF(OR(D398="",C398=""),"",IF((IFERROR(IF(AND(TRIM(D398)=D398,LEN(D398)&gt;0),0,1),1)+IFERROR(IF(AND(LEN(E398)=10,ISNUMBER(VALUE(E398))),0,1),1)+IFERROR(IF(AND(ISNUMBER(SEARCH("@",F398)),ISNUMBER(SEARCH(".",F398))),0,1),1)+IFERROR(IF(AND(LEN(J398)=6,ISNUMBER(VALUE(J398))),0,1),1)+IFERROR(IF(ISNUMBER(MATCH(TRIM(I398),Lists!$A$2:$A$20,0)),0,1),1)+IFERROR(IF(AND(LEN(K398)=10,VALUE(LEFT(K398,FIND("/",K398)-1))&gt;=1,VALUE(LEFT(K398,FIND("/",K398)-1))&lt;=31,VALUE(LEFT(MID(K398,FIND("/",K398)+1,10),FIND("/",MID(K398,FIND("/",K398)+1,10))-1))&gt;=1,VALUE(LEFT(MID(K398,FIND("/",K398)+1,10),FIND("/",MID(K398,FIND("/",K398)+1,10))-1))&lt;=12,VALUE(LEFT(K398,FIND("/",K398)-1))&lt;=DAY(EOMONTH(DATE(VALUE(MID(MID(K398,FIND("/",K398)+1,10),FIND("/",MID(K398,FIND("/",K398)+1,10))+1,4)),VALUE(LEFT(MID(K398,FIND("/",K398)+1,10),FIND("/",MID(K398,FIND("/",K398)+1,10))-1)),1),0))),0,1),1)+IFERROR(IF(M398&gt;=0,0,1),1)+IFERROR(IF(ISNUMBER(MATCH(N398,Lists!$B$2:$B$7,0)),0,1),1))=0,"OK","ERROR"))</f>
        <v>OK</v>
      </c>
      <c r="Q398" s="3" t="str">
        <f aca="false">IF(D398="","",TRIM(IF(IFERROR(IF(AND(TRIM(D398)=D398,LEN(D398)&gt;0),0,1),1)=1,"Name; ","")&amp;IF(IFERROR(IF(AND(LEN(E398)=10,ISNUMBER(VALUE(E398))),0,1),1)=1,"Phone; ","")&amp;IF(IFERROR(IF(AND(ISNUMBER(SEARCH("@",F398)),ISNUMBER(SEARCH(".",F398))),0,1),1)=1,"Email; ","")&amp;IF(IFERROR(IF(AND(LEN(J398)=6,ISNUMBER(VALUE(J398))),0,1),1)=1,"Pincode; ","")&amp;IF(IFERROR(IF(ISNUMBER(MATCH(TRIM(I398),Lists!$A$2:$A$20,0)),0,1),1)=1,"State; ","")&amp;IF(IFERROR(IF(AND(LEN(K398)=10,VALUE(LEFT(K398,FIND("/",K398)-1))&gt;=1,VALUE(LEFT(K398,FIND("/",K398)-1))&lt;=31,VALUE(LEFT(MID(K398,FIND("/",K398)+1,10),FIND("/",MID(K398,FIND("/",K398)+1,10))-1))&gt;=1,VALUE(LEFT(MID(K398,FIND("/",K398)+1,10),FIND("/",MID(K398,FIND("/",K398)+1,10))-1))&lt;=12,VALUE(LEFT(K398,FIND("/",K398)-1))&lt;=DAY(EOMONTH(DATE(VALUE(MID(MID(K398,FIND("/",K398)+1,10),FIND("/",MID(K398,FIND("/",K398)+1,10))+1,4)),VALUE(LEFT(MID(K398,FIND("/",K398)+1,10),FIND("/",MID(K398,FIND("/",K398)+1,10))-1)),1),0))),0,1),1)=1,"Date; ","")&amp;IF(IFERROR(IF(M398&gt;=0,0,1),1)=1,"Amount; ","")&amp;IF(IFERROR(IF(ISNUMBER(MATCH(N398,Lists!$B$2:$B$7,0)),0,1),1)=1,"Payment; ","")))</f>
        <v/>
      </c>
      <c r="R398" s="3" t="str">
        <f aca="false">IF(D398="","",IF(COUNTIFS($D$2:$D$701,D398,$E$2:$E$701,E398)&gt;1,"DUPLICATE","Unique"))</f>
        <v>Unique</v>
      </c>
    </row>
    <row r="399" customFormat="false" ht="15" hidden="false" customHeight="false" outlineLevel="0" collapsed="false">
      <c r="A399" s="3" t="n">
        <v>398</v>
      </c>
      <c r="B399" s="3" t="n">
        <v>8</v>
      </c>
      <c r="C399" s="3" t="s">
        <v>2868</v>
      </c>
      <c r="D399" s="3" t="s">
        <v>2869</v>
      </c>
      <c r="E399" s="3" t="s">
        <v>2870</v>
      </c>
      <c r="F399" s="3" t="s">
        <v>2871</v>
      </c>
      <c r="G399" s="3" t="s">
        <v>2872</v>
      </c>
      <c r="H399" s="3" t="s">
        <v>118</v>
      </c>
      <c r="I399" s="3" t="s">
        <v>69</v>
      </c>
      <c r="J399" s="3" t="s">
        <v>2873</v>
      </c>
      <c r="K399" s="3" t="s">
        <v>2874</v>
      </c>
      <c r="L399" s="3" t="s">
        <v>53</v>
      </c>
      <c r="M399" s="3" t="n">
        <v>2950.52</v>
      </c>
      <c r="N399" s="3" t="s">
        <v>46</v>
      </c>
      <c r="O399" s="3" t="n">
        <f aca="false">IFERROR(LEN(C399&amp;D399&amp;E399&amp;F399&amp;G399&amp;H399&amp;I399&amp;J399&amp;K399&amp;L399&amp;M399&amp;N399)/5,0)</f>
        <v>30.4</v>
      </c>
      <c r="P399" s="3" t="str">
        <f aca="false">IF(OR(D399="",C399=""),"",IF((IFERROR(IF(AND(TRIM(D399)=D399,LEN(D399)&gt;0),0,1),1)+IFERROR(IF(AND(LEN(E399)=10,ISNUMBER(VALUE(E399))),0,1),1)+IFERROR(IF(AND(ISNUMBER(SEARCH("@",F399)),ISNUMBER(SEARCH(".",F399))),0,1),1)+IFERROR(IF(AND(LEN(J399)=6,ISNUMBER(VALUE(J399))),0,1),1)+IFERROR(IF(ISNUMBER(MATCH(TRIM(I399),Lists!$A$2:$A$20,0)),0,1),1)+IFERROR(IF(AND(LEN(K399)=10,VALUE(LEFT(K399,FIND("/",K399)-1))&gt;=1,VALUE(LEFT(K399,FIND("/",K399)-1))&lt;=31,VALUE(LEFT(MID(K399,FIND("/",K399)+1,10),FIND("/",MID(K399,FIND("/",K399)+1,10))-1))&gt;=1,VALUE(LEFT(MID(K399,FIND("/",K399)+1,10),FIND("/",MID(K399,FIND("/",K399)+1,10))-1))&lt;=12,VALUE(LEFT(K399,FIND("/",K399)-1))&lt;=DAY(EOMONTH(DATE(VALUE(MID(MID(K399,FIND("/",K399)+1,10),FIND("/",MID(K399,FIND("/",K399)+1,10))+1,4)),VALUE(LEFT(MID(K399,FIND("/",K399)+1,10),FIND("/",MID(K399,FIND("/",K399)+1,10))-1)),1),0))),0,1),1)+IFERROR(IF(M399&gt;=0,0,1),1)+IFERROR(IF(ISNUMBER(MATCH(N399,Lists!$B$2:$B$7,0)),0,1),1))=0,"OK","ERROR"))</f>
        <v>OK</v>
      </c>
      <c r="Q399" s="3" t="str">
        <f aca="false">IF(D399="","",TRIM(IF(IFERROR(IF(AND(TRIM(D399)=D399,LEN(D399)&gt;0),0,1),1)=1,"Name; ","")&amp;IF(IFERROR(IF(AND(LEN(E399)=10,ISNUMBER(VALUE(E399))),0,1),1)=1,"Phone; ","")&amp;IF(IFERROR(IF(AND(ISNUMBER(SEARCH("@",F399)),ISNUMBER(SEARCH(".",F399))),0,1),1)=1,"Email; ","")&amp;IF(IFERROR(IF(AND(LEN(J399)=6,ISNUMBER(VALUE(J399))),0,1),1)=1,"Pincode; ","")&amp;IF(IFERROR(IF(ISNUMBER(MATCH(TRIM(I399),Lists!$A$2:$A$20,0)),0,1),1)=1,"State; ","")&amp;IF(IFERROR(IF(AND(LEN(K399)=10,VALUE(LEFT(K399,FIND("/",K399)-1))&gt;=1,VALUE(LEFT(K399,FIND("/",K399)-1))&lt;=31,VALUE(LEFT(MID(K399,FIND("/",K399)+1,10),FIND("/",MID(K399,FIND("/",K399)+1,10))-1))&gt;=1,VALUE(LEFT(MID(K399,FIND("/",K399)+1,10),FIND("/",MID(K399,FIND("/",K399)+1,10))-1))&lt;=12,VALUE(LEFT(K399,FIND("/",K399)-1))&lt;=DAY(EOMONTH(DATE(VALUE(MID(MID(K399,FIND("/",K399)+1,10),FIND("/",MID(K399,FIND("/",K399)+1,10))+1,4)),VALUE(LEFT(MID(K399,FIND("/",K399)+1,10),FIND("/",MID(K399,FIND("/",K399)+1,10))-1)),1),0))),0,1),1)=1,"Date; ","")&amp;IF(IFERROR(IF(M399&gt;=0,0,1),1)=1,"Amount; ","")&amp;IF(IFERROR(IF(ISNUMBER(MATCH(N399,Lists!$B$2:$B$7,0)),0,1),1)=1,"Payment; ","")))</f>
        <v/>
      </c>
      <c r="R399" s="3" t="str">
        <f aca="false">IF(D399="","",IF(COUNTIFS($D$2:$D$701,D399,$E$2:$E$701,E399)&gt;1,"DUPLICATE","Unique"))</f>
        <v>Unique</v>
      </c>
    </row>
    <row r="400" customFormat="false" ht="15" hidden="false" customHeight="false" outlineLevel="0" collapsed="false">
      <c r="A400" s="3" t="n">
        <v>399</v>
      </c>
      <c r="B400" s="3" t="n">
        <v>8</v>
      </c>
      <c r="C400" s="3" t="s">
        <v>2875</v>
      </c>
      <c r="D400" s="3" t="s">
        <v>2876</v>
      </c>
      <c r="E400" s="3" t="s">
        <v>2877</v>
      </c>
      <c r="F400" s="3" t="s">
        <v>2878</v>
      </c>
      <c r="G400" s="3" t="s">
        <v>2879</v>
      </c>
      <c r="H400" s="3" t="s">
        <v>720</v>
      </c>
      <c r="I400" s="3" t="s">
        <v>54</v>
      </c>
      <c r="J400" s="3" t="s">
        <v>2880</v>
      </c>
      <c r="K400" s="3" t="s">
        <v>2881</v>
      </c>
      <c r="L400" s="3" t="s">
        <v>70</v>
      </c>
      <c r="M400" s="3" t="n">
        <v>6082.13</v>
      </c>
      <c r="N400" s="3" t="s">
        <v>43</v>
      </c>
      <c r="O400" s="3" t="n">
        <f aca="false">IFERROR(LEN(C400&amp;D400&amp;E400&amp;F400&amp;G400&amp;H400&amp;I400&amp;J400&amp;K400&amp;L400&amp;M400&amp;N400)/5,0)</f>
        <v>25</v>
      </c>
      <c r="P400" s="3" t="str">
        <f aca="false">IF(OR(D400="",C400=""),"",IF((IFERROR(IF(AND(TRIM(D400)=D400,LEN(D400)&gt;0),0,1),1)+IFERROR(IF(AND(LEN(E400)=10,ISNUMBER(VALUE(E400))),0,1),1)+IFERROR(IF(AND(ISNUMBER(SEARCH("@",F400)),ISNUMBER(SEARCH(".",F400))),0,1),1)+IFERROR(IF(AND(LEN(J400)=6,ISNUMBER(VALUE(J400))),0,1),1)+IFERROR(IF(ISNUMBER(MATCH(TRIM(I400),Lists!$A$2:$A$20,0)),0,1),1)+IFERROR(IF(AND(LEN(K400)=10,VALUE(LEFT(K400,FIND("/",K400)-1))&gt;=1,VALUE(LEFT(K400,FIND("/",K400)-1))&lt;=31,VALUE(LEFT(MID(K400,FIND("/",K400)+1,10),FIND("/",MID(K400,FIND("/",K400)+1,10))-1))&gt;=1,VALUE(LEFT(MID(K400,FIND("/",K400)+1,10),FIND("/",MID(K400,FIND("/",K400)+1,10))-1))&lt;=12,VALUE(LEFT(K400,FIND("/",K400)-1))&lt;=DAY(EOMONTH(DATE(VALUE(MID(MID(K400,FIND("/",K400)+1,10),FIND("/",MID(K400,FIND("/",K400)+1,10))+1,4)),VALUE(LEFT(MID(K400,FIND("/",K400)+1,10),FIND("/",MID(K400,FIND("/",K400)+1,10))-1)),1),0))),0,1),1)+IFERROR(IF(M400&gt;=0,0,1),1)+IFERROR(IF(ISNUMBER(MATCH(N400,Lists!$B$2:$B$7,0)),0,1),1))=0,"OK","ERROR"))</f>
        <v>OK</v>
      </c>
      <c r="Q400" s="3" t="str">
        <f aca="false">IF(D400="","",TRIM(IF(IFERROR(IF(AND(TRIM(D400)=D400,LEN(D400)&gt;0),0,1),1)=1,"Name; ","")&amp;IF(IFERROR(IF(AND(LEN(E400)=10,ISNUMBER(VALUE(E400))),0,1),1)=1,"Phone; ","")&amp;IF(IFERROR(IF(AND(ISNUMBER(SEARCH("@",F400)),ISNUMBER(SEARCH(".",F400))),0,1),1)=1,"Email; ","")&amp;IF(IFERROR(IF(AND(LEN(J400)=6,ISNUMBER(VALUE(J400))),0,1),1)=1,"Pincode; ","")&amp;IF(IFERROR(IF(ISNUMBER(MATCH(TRIM(I400),Lists!$A$2:$A$20,0)),0,1),1)=1,"State; ","")&amp;IF(IFERROR(IF(AND(LEN(K400)=10,VALUE(LEFT(K400,FIND("/",K400)-1))&gt;=1,VALUE(LEFT(K400,FIND("/",K400)-1))&lt;=31,VALUE(LEFT(MID(K400,FIND("/",K400)+1,10),FIND("/",MID(K400,FIND("/",K400)+1,10))-1))&gt;=1,VALUE(LEFT(MID(K400,FIND("/",K400)+1,10),FIND("/",MID(K400,FIND("/",K400)+1,10))-1))&lt;=12,VALUE(LEFT(K400,FIND("/",K400)-1))&lt;=DAY(EOMONTH(DATE(VALUE(MID(MID(K400,FIND("/",K400)+1,10),FIND("/",MID(K400,FIND("/",K400)+1,10))+1,4)),VALUE(LEFT(MID(K400,FIND("/",K400)+1,10),FIND("/",MID(K400,FIND("/",K400)+1,10))-1)),1),0))),0,1),1)=1,"Date; ","")&amp;IF(IFERROR(IF(M400&gt;=0,0,1),1)=1,"Amount; ","")&amp;IF(IFERROR(IF(ISNUMBER(MATCH(N400,Lists!$B$2:$B$7,0)),0,1),1)=1,"Payment; ","")))</f>
        <v/>
      </c>
      <c r="R400" s="3" t="str">
        <f aca="false">IF(D400="","",IF(COUNTIFS($D$2:$D$701,D400,$E$2:$E$701,E400)&gt;1,"DUPLICATE","Unique"))</f>
        <v>Unique</v>
      </c>
    </row>
    <row r="401" customFormat="false" ht="15" hidden="false" customHeight="false" outlineLevel="0" collapsed="false">
      <c r="A401" s="3" t="n">
        <v>400</v>
      </c>
      <c r="B401" s="3" t="n">
        <v>8</v>
      </c>
      <c r="C401" s="3" t="s">
        <v>2882</v>
      </c>
      <c r="D401" s="3" t="s">
        <v>2883</v>
      </c>
      <c r="E401" s="3" t="s">
        <v>2884</v>
      </c>
      <c r="F401" s="3" t="s">
        <v>2885</v>
      </c>
      <c r="G401" s="3" t="s">
        <v>2886</v>
      </c>
      <c r="H401" s="3" t="s">
        <v>525</v>
      </c>
      <c r="I401" s="3" t="s">
        <v>76</v>
      </c>
      <c r="J401" s="3" t="s">
        <v>2887</v>
      </c>
      <c r="K401" s="3" t="s">
        <v>1284</v>
      </c>
      <c r="L401" s="3" t="s">
        <v>53</v>
      </c>
      <c r="M401" s="3" t="n">
        <v>12674.49</v>
      </c>
      <c r="N401" s="3" t="s">
        <v>46</v>
      </c>
      <c r="O401" s="3" t="n">
        <f aca="false">IFERROR(LEN(C401&amp;D401&amp;E401&amp;F401&amp;G401&amp;H401&amp;I401&amp;J401&amp;K401&amp;L401&amp;M401&amp;N401)/5,0)</f>
        <v>29.2</v>
      </c>
      <c r="P401" s="3" t="str">
        <f aca="false">IF(OR(D401="",C401=""),"",IF((IFERROR(IF(AND(TRIM(D401)=D401,LEN(D401)&gt;0),0,1),1)+IFERROR(IF(AND(LEN(E401)=10,ISNUMBER(VALUE(E401))),0,1),1)+IFERROR(IF(AND(ISNUMBER(SEARCH("@",F401)),ISNUMBER(SEARCH(".",F401))),0,1),1)+IFERROR(IF(AND(LEN(J401)=6,ISNUMBER(VALUE(J401))),0,1),1)+IFERROR(IF(ISNUMBER(MATCH(TRIM(I401),Lists!$A$2:$A$20,0)),0,1),1)+IFERROR(IF(AND(LEN(K401)=10,VALUE(LEFT(K401,FIND("/",K401)-1))&gt;=1,VALUE(LEFT(K401,FIND("/",K401)-1))&lt;=31,VALUE(LEFT(MID(K401,FIND("/",K401)+1,10),FIND("/",MID(K401,FIND("/",K401)+1,10))-1))&gt;=1,VALUE(LEFT(MID(K401,FIND("/",K401)+1,10),FIND("/",MID(K401,FIND("/",K401)+1,10))-1))&lt;=12,VALUE(LEFT(K401,FIND("/",K401)-1))&lt;=DAY(EOMONTH(DATE(VALUE(MID(MID(K401,FIND("/",K401)+1,10),FIND("/",MID(K401,FIND("/",K401)+1,10))+1,4)),VALUE(LEFT(MID(K401,FIND("/",K401)+1,10),FIND("/",MID(K401,FIND("/",K401)+1,10))-1)),1),0))),0,1),1)+IFERROR(IF(M401&gt;=0,0,1),1)+IFERROR(IF(ISNUMBER(MATCH(N401,Lists!$B$2:$B$7,0)),0,1),1))=0,"OK","ERROR"))</f>
        <v>OK</v>
      </c>
      <c r="Q401" s="3" t="str">
        <f aca="false">IF(D401="","",TRIM(IF(IFERROR(IF(AND(TRIM(D401)=D401,LEN(D401)&gt;0),0,1),1)=1,"Name; ","")&amp;IF(IFERROR(IF(AND(LEN(E401)=10,ISNUMBER(VALUE(E401))),0,1),1)=1,"Phone; ","")&amp;IF(IFERROR(IF(AND(ISNUMBER(SEARCH("@",F401)),ISNUMBER(SEARCH(".",F401))),0,1),1)=1,"Email; ","")&amp;IF(IFERROR(IF(AND(LEN(J401)=6,ISNUMBER(VALUE(J401))),0,1),1)=1,"Pincode; ","")&amp;IF(IFERROR(IF(ISNUMBER(MATCH(TRIM(I401),Lists!$A$2:$A$20,0)),0,1),1)=1,"State; ","")&amp;IF(IFERROR(IF(AND(LEN(K401)=10,VALUE(LEFT(K401,FIND("/",K401)-1))&gt;=1,VALUE(LEFT(K401,FIND("/",K401)-1))&lt;=31,VALUE(LEFT(MID(K401,FIND("/",K401)+1,10),FIND("/",MID(K401,FIND("/",K401)+1,10))-1))&gt;=1,VALUE(LEFT(MID(K401,FIND("/",K401)+1,10),FIND("/",MID(K401,FIND("/",K401)+1,10))-1))&lt;=12,VALUE(LEFT(K401,FIND("/",K401)-1))&lt;=DAY(EOMONTH(DATE(VALUE(MID(MID(K401,FIND("/",K401)+1,10),FIND("/",MID(K401,FIND("/",K401)+1,10))+1,4)),VALUE(LEFT(MID(K401,FIND("/",K401)+1,10),FIND("/",MID(K401,FIND("/",K401)+1,10))-1)),1),0))),0,1),1)=1,"Date; ","")&amp;IF(IFERROR(IF(M401&gt;=0,0,1),1)=1,"Amount; ","")&amp;IF(IFERROR(IF(ISNUMBER(MATCH(N401,Lists!$B$2:$B$7,0)),0,1),1)=1,"Payment; ","")))</f>
        <v/>
      </c>
      <c r="R401" s="3" t="str">
        <f aca="false">IF(D401="","",IF(COUNTIFS($D$2:$D$701,D401,$E$2:$E$701,E401)&gt;1,"DUPLICATE","Unique"))</f>
        <v>Unique</v>
      </c>
    </row>
    <row r="402" customFormat="false" ht="15" hidden="false" customHeight="false" outlineLevel="0" collapsed="false">
      <c r="A402" s="3" t="n">
        <v>401</v>
      </c>
      <c r="B402" s="3" t="n">
        <v>9</v>
      </c>
      <c r="C402" s="3" t="s">
        <v>2888</v>
      </c>
      <c r="D402" s="3" t="s">
        <v>2889</v>
      </c>
      <c r="E402" s="3" t="s">
        <v>2890</v>
      </c>
      <c r="F402" s="3" t="s">
        <v>2891</v>
      </c>
      <c r="G402" s="3" t="s">
        <v>2892</v>
      </c>
      <c r="H402" s="3" t="s">
        <v>157</v>
      </c>
      <c r="I402" s="3" t="s">
        <v>59</v>
      </c>
      <c r="J402" s="3" t="s">
        <v>2893</v>
      </c>
      <c r="K402" s="3" t="s">
        <v>1408</v>
      </c>
      <c r="L402" s="3" t="s">
        <v>47</v>
      </c>
      <c r="M402" s="3" t="n">
        <v>5283.81</v>
      </c>
      <c r="N402" s="3" t="s">
        <v>46</v>
      </c>
      <c r="O402" s="3" t="n">
        <f aca="false">IFERROR(LEN(C402&amp;D402&amp;E402&amp;F402&amp;G402&amp;H402&amp;I402&amp;J402&amp;K402&amp;L402&amp;M402&amp;N402)/5,0)</f>
        <v>27.6</v>
      </c>
      <c r="P402" s="3" t="str">
        <f aca="false">IF(OR(D402="",C402=""),"",IF((IFERROR(IF(AND(TRIM(D402)=D402,LEN(D402)&gt;0),0,1),1)+IFERROR(IF(AND(LEN(E402)=10,ISNUMBER(VALUE(E402))),0,1),1)+IFERROR(IF(AND(ISNUMBER(SEARCH("@",F402)),ISNUMBER(SEARCH(".",F402))),0,1),1)+IFERROR(IF(AND(LEN(J402)=6,ISNUMBER(VALUE(J402))),0,1),1)+IFERROR(IF(ISNUMBER(MATCH(TRIM(I402),Lists!$A$2:$A$20,0)),0,1),1)+IFERROR(IF(AND(LEN(K402)=10,VALUE(LEFT(K402,FIND("/",K402)-1))&gt;=1,VALUE(LEFT(K402,FIND("/",K402)-1))&lt;=31,VALUE(LEFT(MID(K402,FIND("/",K402)+1,10),FIND("/",MID(K402,FIND("/",K402)+1,10))-1))&gt;=1,VALUE(LEFT(MID(K402,FIND("/",K402)+1,10),FIND("/",MID(K402,FIND("/",K402)+1,10))-1))&lt;=12,VALUE(LEFT(K402,FIND("/",K402)-1))&lt;=DAY(EOMONTH(DATE(VALUE(MID(MID(K402,FIND("/",K402)+1,10),FIND("/",MID(K402,FIND("/",K402)+1,10))+1,4)),VALUE(LEFT(MID(K402,FIND("/",K402)+1,10),FIND("/",MID(K402,FIND("/",K402)+1,10))-1)),1),0))),0,1),1)+IFERROR(IF(M402&gt;=0,0,1),1)+IFERROR(IF(ISNUMBER(MATCH(N402,Lists!$B$2:$B$7,0)),0,1),1))=0,"OK","ERROR"))</f>
        <v>OK</v>
      </c>
      <c r="Q402" s="3" t="str">
        <f aca="false">IF(D402="","",TRIM(IF(IFERROR(IF(AND(TRIM(D402)=D402,LEN(D402)&gt;0),0,1),1)=1,"Name; ","")&amp;IF(IFERROR(IF(AND(LEN(E402)=10,ISNUMBER(VALUE(E402))),0,1),1)=1,"Phone; ","")&amp;IF(IFERROR(IF(AND(ISNUMBER(SEARCH("@",F402)),ISNUMBER(SEARCH(".",F402))),0,1),1)=1,"Email; ","")&amp;IF(IFERROR(IF(AND(LEN(J402)=6,ISNUMBER(VALUE(J402))),0,1),1)=1,"Pincode; ","")&amp;IF(IFERROR(IF(ISNUMBER(MATCH(TRIM(I402),Lists!$A$2:$A$20,0)),0,1),1)=1,"State; ","")&amp;IF(IFERROR(IF(AND(LEN(K402)=10,VALUE(LEFT(K402,FIND("/",K402)-1))&gt;=1,VALUE(LEFT(K402,FIND("/",K402)-1))&lt;=31,VALUE(LEFT(MID(K402,FIND("/",K402)+1,10),FIND("/",MID(K402,FIND("/",K402)+1,10))-1))&gt;=1,VALUE(LEFT(MID(K402,FIND("/",K402)+1,10),FIND("/",MID(K402,FIND("/",K402)+1,10))-1))&lt;=12,VALUE(LEFT(K402,FIND("/",K402)-1))&lt;=DAY(EOMONTH(DATE(VALUE(MID(MID(K402,FIND("/",K402)+1,10),FIND("/",MID(K402,FIND("/",K402)+1,10))+1,4)),VALUE(LEFT(MID(K402,FIND("/",K402)+1,10),FIND("/",MID(K402,FIND("/",K402)+1,10))-1)),1),0))),0,1),1)=1,"Date; ","")&amp;IF(IFERROR(IF(M402&gt;=0,0,1),1)=1,"Amount; ","")&amp;IF(IFERROR(IF(ISNUMBER(MATCH(N402,Lists!$B$2:$B$7,0)),0,1),1)=1,"Payment; ","")))</f>
        <v/>
      </c>
      <c r="R402" s="3" t="str">
        <f aca="false">IF(D402="","",IF(COUNTIFS($D$2:$D$701,D402,$E$2:$E$701,E402)&gt;1,"DUPLICATE","Unique"))</f>
        <v>Unique</v>
      </c>
    </row>
    <row r="403" customFormat="false" ht="15" hidden="false" customHeight="false" outlineLevel="0" collapsed="false">
      <c r="A403" s="3" t="n">
        <v>402</v>
      </c>
      <c r="B403" s="3" t="n">
        <v>9</v>
      </c>
      <c r="C403" s="3" t="s">
        <v>2894</v>
      </c>
      <c r="D403" s="3" t="s">
        <v>2895</v>
      </c>
      <c r="E403" s="3" t="s">
        <v>2896</v>
      </c>
      <c r="F403" s="3" t="s">
        <v>2897</v>
      </c>
      <c r="G403" s="3" t="s">
        <v>2898</v>
      </c>
      <c r="H403" s="3" t="s">
        <v>525</v>
      </c>
      <c r="I403" s="3" t="s">
        <v>76</v>
      </c>
      <c r="J403" s="3" t="s">
        <v>2899</v>
      </c>
      <c r="K403" s="3" t="s">
        <v>1663</v>
      </c>
      <c r="L403" s="3" t="s">
        <v>64</v>
      </c>
      <c r="M403" s="3" t="n">
        <v>2682.91</v>
      </c>
      <c r="N403" s="3" t="s">
        <v>46</v>
      </c>
      <c r="O403" s="3" t="n">
        <f aca="false">IFERROR(LEN(C403&amp;D403&amp;E403&amp;F403&amp;G403&amp;H403&amp;I403&amp;J403&amp;K403&amp;L403&amp;M403&amp;N403)/5,0)</f>
        <v>28.6</v>
      </c>
      <c r="P403" s="3" t="str">
        <f aca="false">IF(OR(D403="",C403=""),"",IF((IFERROR(IF(AND(TRIM(D403)=D403,LEN(D403)&gt;0),0,1),1)+IFERROR(IF(AND(LEN(E403)=10,ISNUMBER(VALUE(E403))),0,1),1)+IFERROR(IF(AND(ISNUMBER(SEARCH("@",F403)),ISNUMBER(SEARCH(".",F403))),0,1),1)+IFERROR(IF(AND(LEN(J403)=6,ISNUMBER(VALUE(J403))),0,1),1)+IFERROR(IF(ISNUMBER(MATCH(TRIM(I403),Lists!$A$2:$A$20,0)),0,1),1)+IFERROR(IF(AND(LEN(K403)=10,VALUE(LEFT(K403,FIND("/",K403)-1))&gt;=1,VALUE(LEFT(K403,FIND("/",K403)-1))&lt;=31,VALUE(LEFT(MID(K403,FIND("/",K403)+1,10),FIND("/",MID(K403,FIND("/",K403)+1,10))-1))&gt;=1,VALUE(LEFT(MID(K403,FIND("/",K403)+1,10),FIND("/",MID(K403,FIND("/",K403)+1,10))-1))&lt;=12,VALUE(LEFT(K403,FIND("/",K403)-1))&lt;=DAY(EOMONTH(DATE(VALUE(MID(MID(K403,FIND("/",K403)+1,10),FIND("/",MID(K403,FIND("/",K403)+1,10))+1,4)),VALUE(LEFT(MID(K403,FIND("/",K403)+1,10),FIND("/",MID(K403,FIND("/",K403)+1,10))-1)),1),0))),0,1),1)+IFERROR(IF(M403&gt;=0,0,1),1)+IFERROR(IF(ISNUMBER(MATCH(N403,Lists!$B$2:$B$7,0)),0,1),1))=0,"OK","ERROR"))</f>
        <v>OK</v>
      </c>
      <c r="Q403" s="3" t="str">
        <f aca="false">IF(D403="","",TRIM(IF(IFERROR(IF(AND(TRIM(D403)=D403,LEN(D403)&gt;0),0,1),1)=1,"Name; ","")&amp;IF(IFERROR(IF(AND(LEN(E403)=10,ISNUMBER(VALUE(E403))),0,1),1)=1,"Phone; ","")&amp;IF(IFERROR(IF(AND(ISNUMBER(SEARCH("@",F403)),ISNUMBER(SEARCH(".",F403))),0,1),1)=1,"Email; ","")&amp;IF(IFERROR(IF(AND(LEN(J403)=6,ISNUMBER(VALUE(J403))),0,1),1)=1,"Pincode; ","")&amp;IF(IFERROR(IF(ISNUMBER(MATCH(TRIM(I403),Lists!$A$2:$A$20,0)),0,1),1)=1,"State; ","")&amp;IF(IFERROR(IF(AND(LEN(K403)=10,VALUE(LEFT(K403,FIND("/",K403)-1))&gt;=1,VALUE(LEFT(K403,FIND("/",K403)-1))&lt;=31,VALUE(LEFT(MID(K403,FIND("/",K403)+1,10),FIND("/",MID(K403,FIND("/",K403)+1,10))-1))&gt;=1,VALUE(LEFT(MID(K403,FIND("/",K403)+1,10),FIND("/",MID(K403,FIND("/",K403)+1,10))-1))&lt;=12,VALUE(LEFT(K403,FIND("/",K403)-1))&lt;=DAY(EOMONTH(DATE(VALUE(MID(MID(K403,FIND("/",K403)+1,10),FIND("/",MID(K403,FIND("/",K403)+1,10))+1,4)),VALUE(LEFT(MID(K403,FIND("/",K403)+1,10),FIND("/",MID(K403,FIND("/",K403)+1,10))-1)),1),0))),0,1),1)=1,"Date; ","")&amp;IF(IFERROR(IF(M403&gt;=0,0,1),1)=1,"Amount; ","")&amp;IF(IFERROR(IF(ISNUMBER(MATCH(N403,Lists!$B$2:$B$7,0)),0,1),1)=1,"Payment; ","")))</f>
        <v/>
      </c>
      <c r="R403" s="3" t="str">
        <f aca="false">IF(D403="","",IF(COUNTIFS($D$2:$D$701,D403,$E$2:$E$701,E403)&gt;1,"DUPLICATE","Unique"))</f>
        <v>Unique</v>
      </c>
    </row>
    <row r="404" customFormat="false" ht="15" hidden="false" customHeight="false" outlineLevel="0" collapsed="false">
      <c r="A404" s="3" t="n">
        <v>403</v>
      </c>
      <c r="B404" s="3" t="n">
        <v>9</v>
      </c>
      <c r="C404" s="3" t="s">
        <v>2900</v>
      </c>
      <c r="D404" s="3" t="s">
        <v>2901</v>
      </c>
      <c r="E404" s="3" t="s">
        <v>2902</v>
      </c>
      <c r="F404" s="3" t="s">
        <v>2903</v>
      </c>
      <c r="G404" s="3" t="s">
        <v>2904</v>
      </c>
      <c r="H404" s="3" t="s">
        <v>149</v>
      </c>
      <c r="I404" s="3" t="s">
        <v>61</v>
      </c>
      <c r="J404" s="3" t="s">
        <v>2905</v>
      </c>
      <c r="K404" s="3" t="s">
        <v>2906</v>
      </c>
      <c r="L404" s="3" t="s">
        <v>70</v>
      </c>
      <c r="M404" s="3" t="n">
        <v>8060.18</v>
      </c>
      <c r="N404" s="3" t="s">
        <v>46</v>
      </c>
      <c r="O404" s="3" t="n">
        <f aca="false">IFERROR(LEN(C404&amp;D404&amp;E404&amp;F404&amp;G404&amp;H404&amp;I404&amp;J404&amp;K404&amp;L404&amp;M404&amp;N404)/5,0)</f>
        <v>28.4</v>
      </c>
      <c r="P404" s="3" t="str">
        <f aca="false">IF(OR(D404="",C404=""),"",IF((IFERROR(IF(AND(TRIM(D404)=D404,LEN(D404)&gt;0),0,1),1)+IFERROR(IF(AND(LEN(E404)=10,ISNUMBER(VALUE(E404))),0,1),1)+IFERROR(IF(AND(ISNUMBER(SEARCH("@",F404)),ISNUMBER(SEARCH(".",F404))),0,1),1)+IFERROR(IF(AND(LEN(J404)=6,ISNUMBER(VALUE(J404))),0,1),1)+IFERROR(IF(ISNUMBER(MATCH(TRIM(I404),Lists!$A$2:$A$20,0)),0,1),1)+IFERROR(IF(AND(LEN(K404)=10,VALUE(LEFT(K404,FIND("/",K404)-1))&gt;=1,VALUE(LEFT(K404,FIND("/",K404)-1))&lt;=31,VALUE(LEFT(MID(K404,FIND("/",K404)+1,10),FIND("/",MID(K404,FIND("/",K404)+1,10))-1))&gt;=1,VALUE(LEFT(MID(K404,FIND("/",K404)+1,10),FIND("/",MID(K404,FIND("/",K404)+1,10))-1))&lt;=12,VALUE(LEFT(K404,FIND("/",K404)-1))&lt;=DAY(EOMONTH(DATE(VALUE(MID(MID(K404,FIND("/",K404)+1,10),FIND("/",MID(K404,FIND("/",K404)+1,10))+1,4)),VALUE(LEFT(MID(K404,FIND("/",K404)+1,10),FIND("/",MID(K404,FIND("/",K404)+1,10))-1)),1),0))),0,1),1)+IFERROR(IF(M404&gt;=0,0,1),1)+IFERROR(IF(ISNUMBER(MATCH(N404,Lists!$B$2:$B$7,0)),0,1),1))=0,"OK","ERROR"))</f>
        <v>OK</v>
      </c>
      <c r="Q404" s="3" t="str">
        <f aca="false">IF(D404="","",TRIM(IF(IFERROR(IF(AND(TRIM(D404)=D404,LEN(D404)&gt;0),0,1),1)=1,"Name; ","")&amp;IF(IFERROR(IF(AND(LEN(E404)=10,ISNUMBER(VALUE(E404))),0,1),1)=1,"Phone; ","")&amp;IF(IFERROR(IF(AND(ISNUMBER(SEARCH("@",F404)),ISNUMBER(SEARCH(".",F404))),0,1),1)=1,"Email; ","")&amp;IF(IFERROR(IF(AND(LEN(J404)=6,ISNUMBER(VALUE(J404))),0,1),1)=1,"Pincode; ","")&amp;IF(IFERROR(IF(ISNUMBER(MATCH(TRIM(I404),Lists!$A$2:$A$20,0)),0,1),1)=1,"State; ","")&amp;IF(IFERROR(IF(AND(LEN(K404)=10,VALUE(LEFT(K404,FIND("/",K404)-1))&gt;=1,VALUE(LEFT(K404,FIND("/",K404)-1))&lt;=31,VALUE(LEFT(MID(K404,FIND("/",K404)+1,10),FIND("/",MID(K404,FIND("/",K404)+1,10))-1))&gt;=1,VALUE(LEFT(MID(K404,FIND("/",K404)+1,10),FIND("/",MID(K404,FIND("/",K404)+1,10))-1))&lt;=12,VALUE(LEFT(K404,FIND("/",K404)-1))&lt;=DAY(EOMONTH(DATE(VALUE(MID(MID(K404,FIND("/",K404)+1,10),FIND("/",MID(K404,FIND("/",K404)+1,10))+1,4)),VALUE(LEFT(MID(K404,FIND("/",K404)+1,10),FIND("/",MID(K404,FIND("/",K404)+1,10))-1)),1),0))),0,1),1)=1,"Date; ","")&amp;IF(IFERROR(IF(M404&gt;=0,0,1),1)=1,"Amount; ","")&amp;IF(IFERROR(IF(ISNUMBER(MATCH(N404,Lists!$B$2:$B$7,0)),0,1),1)=1,"Payment; ","")))</f>
        <v/>
      </c>
      <c r="R404" s="3" t="str">
        <f aca="false">IF(D404="","",IF(COUNTIFS($D$2:$D$701,D404,$E$2:$E$701,E404)&gt;1,"DUPLICATE","Unique"))</f>
        <v>Unique</v>
      </c>
    </row>
    <row r="405" customFormat="false" ht="15" hidden="false" customHeight="false" outlineLevel="0" collapsed="false">
      <c r="A405" s="3" t="n">
        <v>404</v>
      </c>
      <c r="B405" s="3" t="n">
        <v>9</v>
      </c>
      <c r="C405" s="3" t="s">
        <v>2907</v>
      </c>
      <c r="D405" s="3" t="s">
        <v>2908</v>
      </c>
      <c r="E405" s="3" t="s">
        <v>2909</v>
      </c>
      <c r="F405" s="3" t="s">
        <v>2910</v>
      </c>
      <c r="G405" s="3" t="s">
        <v>2911</v>
      </c>
      <c r="H405" s="3" t="s">
        <v>118</v>
      </c>
      <c r="I405" s="3" t="s">
        <v>69</v>
      </c>
      <c r="J405" s="3" t="s">
        <v>2912</v>
      </c>
      <c r="K405" s="3" t="s">
        <v>2913</v>
      </c>
      <c r="L405" s="3" t="s">
        <v>62</v>
      </c>
      <c r="M405" s="3" t="n">
        <v>3363.84</v>
      </c>
      <c r="N405" s="3" t="s">
        <v>43</v>
      </c>
      <c r="O405" s="3" t="n">
        <f aca="false">IFERROR(LEN(C405&amp;D405&amp;E405&amp;F405&amp;G405&amp;H405&amp;I405&amp;J405&amp;K405&amp;L405&amp;M405&amp;N405)/5,0)</f>
        <v>25.6</v>
      </c>
      <c r="P405" s="3" t="str">
        <f aca="false">IF(OR(D405="",C405=""),"",IF((IFERROR(IF(AND(TRIM(D405)=D405,LEN(D405)&gt;0),0,1),1)+IFERROR(IF(AND(LEN(E405)=10,ISNUMBER(VALUE(E405))),0,1),1)+IFERROR(IF(AND(ISNUMBER(SEARCH("@",F405)),ISNUMBER(SEARCH(".",F405))),0,1),1)+IFERROR(IF(AND(LEN(J405)=6,ISNUMBER(VALUE(J405))),0,1),1)+IFERROR(IF(ISNUMBER(MATCH(TRIM(I405),Lists!$A$2:$A$20,0)),0,1),1)+IFERROR(IF(AND(LEN(K405)=10,VALUE(LEFT(K405,FIND("/",K405)-1))&gt;=1,VALUE(LEFT(K405,FIND("/",K405)-1))&lt;=31,VALUE(LEFT(MID(K405,FIND("/",K405)+1,10),FIND("/",MID(K405,FIND("/",K405)+1,10))-1))&gt;=1,VALUE(LEFT(MID(K405,FIND("/",K405)+1,10),FIND("/",MID(K405,FIND("/",K405)+1,10))-1))&lt;=12,VALUE(LEFT(K405,FIND("/",K405)-1))&lt;=DAY(EOMONTH(DATE(VALUE(MID(MID(K405,FIND("/",K405)+1,10),FIND("/",MID(K405,FIND("/",K405)+1,10))+1,4)),VALUE(LEFT(MID(K405,FIND("/",K405)+1,10),FIND("/",MID(K405,FIND("/",K405)+1,10))-1)),1),0))),0,1),1)+IFERROR(IF(M405&gt;=0,0,1),1)+IFERROR(IF(ISNUMBER(MATCH(N405,Lists!$B$2:$B$7,0)),0,1),1))=0,"OK","ERROR"))</f>
        <v>OK</v>
      </c>
      <c r="Q405" s="3" t="str">
        <f aca="false">IF(D405="","",TRIM(IF(IFERROR(IF(AND(TRIM(D405)=D405,LEN(D405)&gt;0),0,1),1)=1,"Name; ","")&amp;IF(IFERROR(IF(AND(LEN(E405)=10,ISNUMBER(VALUE(E405))),0,1),1)=1,"Phone; ","")&amp;IF(IFERROR(IF(AND(ISNUMBER(SEARCH("@",F405)),ISNUMBER(SEARCH(".",F405))),0,1),1)=1,"Email; ","")&amp;IF(IFERROR(IF(AND(LEN(J405)=6,ISNUMBER(VALUE(J405))),0,1),1)=1,"Pincode; ","")&amp;IF(IFERROR(IF(ISNUMBER(MATCH(TRIM(I405),Lists!$A$2:$A$20,0)),0,1),1)=1,"State; ","")&amp;IF(IFERROR(IF(AND(LEN(K405)=10,VALUE(LEFT(K405,FIND("/",K405)-1))&gt;=1,VALUE(LEFT(K405,FIND("/",K405)-1))&lt;=31,VALUE(LEFT(MID(K405,FIND("/",K405)+1,10),FIND("/",MID(K405,FIND("/",K405)+1,10))-1))&gt;=1,VALUE(LEFT(MID(K405,FIND("/",K405)+1,10),FIND("/",MID(K405,FIND("/",K405)+1,10))-1))&lt;=12,VALUE(LEFT(K405,FIND("/",K405)-1))&lt;=DAY(EOMONTH(DATE(VALUE(MID(MID(K405,FIND("/",K405)+1,10),FIND("/",MID(K405,FIND("/",K405)+1,10))+1,4)),VALUE(LEFT(MID(K405,FIND("/",K405)+1,10),FIND("/",MID(K405,FIND("/",K405)+1,10))-1)),1),0))),0,1),1)=1,"Date; ","")&amp;IF(IFERROR(IF(M405&gt;=0,0,1),1)=1,"Amount; ","")&amp;IF(IFERROR(IF(ISNUMBER(MATCH(N405,Lists!$B$2:$B$7,0)),0,1),1)=1,"Payment; ","")))</f>
        <v/>
      </c>
      <c r="R405" s="3" t="str">
        <f aca="false">IF(D405="","",IF(COUNTIFS($D$2:$D$701,D405,$E$2:$E$701,E405)&gt;1,"DUPLICATE","Unique"))</f>
        <v>Unique</v>
      </c>
    </row>
    <row r="406" customFormat="false" ht="15" hidden="false" customHeight="false" outlineLevel="0" collapsed="false">
      <c r="A406" s="3" t="n">
        <v>405</v>
      </c>
      <c r="B406" s="3" t="n">
        <v>9</v>
      </c>
      <c r="C406" s="3" t="s">
        <v>2914</v>
      </c>
      <c r="D406" s="3" t="s">
        <v>2915</v>
      </c>
      <c r="E406" s="3" t="s">
        <v>2916</v>
      </c>
      <c r="F406" s="3" t="s">
        <v>2917</v>
      </c>
      <c r="G406" s="3" t="s">
        <v>2918</v>
      </c>
      <c r="H406" s="3" t="s">
        <v>250</v>
      </c>
      <c r="I406" s="3" t="s">
        <v>65</v>
      </c>
      <c r="J406" s="3" t="s">
        <v>2919</v>
      </c>
      <c r="K406" s="3" t="s">
        <v>2212</v>
      </c>
      <c r="L406" s="3" t="s">
        <v>72</v>
      </c>
      <c r="M406" s="3" t="n">
        <v>6479.58</v>
      </c>
      <c r="N406" s="3" t="s">
        <v>43</v>
      </c>
      <c r="O406" s="3" t="n">
        <f aca="false">IFERROR(LEN(C406&amp;D406&amp;E406&amp;F406&amp;G406&amp;H406&amp;I406&amp;J406&amp;K406&amp;L406&amp;M406&amp;N406)/5,0)</f>
        <v>25.8</v>
      </c>
      <c r="P406" s="3" t="str">
        <f aca="false">IF(OR(D406="",C406=""),"",IF((IFERROR(IF(AND(TRIM(D406)=D406,LEN(D406)&gt;0),0,1),1)+IFERROR(IF(AND(LEN(E406)=10,ISNUMBER(VALUE(E406))),0,1),1)+IFERROR(IF(AND(ISNUMBER(SEARCH("@",F406)),ISNUMBER(SEARCH(".",F406))),0,1),1)+IFERROR(IF(AND(LEN(J406)=6,ISNUMBER(VALUE(J406))),0,1),1)+IFERROR(IF(ISNUMBER(MATCH(TRIM(I406),Lists!$A$2:$A$20,0)),0,1),1)+IFERROR(IF(AND(LEN(K406)=10,VALUE(LEFT(K406,FIND("/",K406)-1))&gt;=1,VALUE(LEFT(K406,FIND("/",K406)-1))&lt;=31,VALUE(LEFT(MID(K406,FIND("/",K406)+1,10),FIND("/",MID(K406,FIND("/",K406)+1,10))-1))&gt;=1,VALUE(LEFT(MID(K406,FIND("/",K406)+1,10),FIND("/",MID(K406,FIND("/",K406)+1,10))-1))&lt;=12,VALUE(LEFT(K406,FIND("/",K406)-1))&lt;=DAY(EOMONTH(DATE(VALUE(MID(MID(K406,FIND("/",K406)+1,10),FIND("/",MID(K406,FIND("/",K406)+1,10))+1,4)),VALUE(LEFT(MID(K406,FIND("/",K406)+1,10),FIND("/",MID(K406,FIND("/",K406)+1,10))-1)),1),0))),0,1),1)+IFERROR(IF(M406&gt;=0,0,1),1)+IFERROR(IF(ISNUMBER(MATCH(N406,Lists!$B$2:$B$7,0)),0,1),1))=0,"OK","ERROR"))</f>
        <v>OK</v>
      </c>
      <c r="Q406" s="3" t="str">
        <f aca="false">IF(D406="","",TRIM(IF(IFERROR(IF(AND(TRIM(D406)=D406,LEN(D406)&gt;0),0,1),1)=1,"Name; ","")&amp;IF(IFERROR(IF(AND(LEN(E406)=10,ISNUMBER(VALUE(E406))),0,1),1)=1,"Phone; ","")&amp;IF(IFERROR(IF(AND(ISNUMBER(SEARCH("@",F406)),ISNUMBER(SEARCH(".",F406))),0,1),1)=1,"Email; ","")&amp;IF(IFERROR(IF(AND(LEN(J406)=6,ISNUMBER(VALUE(J406))),0,1),1)=1,"Pincode; ","")&amp;IF(IFERROR(IF(ISNUMBER(MATCH(TRIM(I406),Lists!$A$2:$A$20,0)),0,1),1)=1,"State; ","")&amp;IF(IFERROR(IF(AND(LEN(K406)=10,VALUE(LEFT(K406,FIND("/",K406)-1))&gt;=1,VALUE(LEFT(K406,FIND("/",K406)-1))&lt;=31,VALUE(LEFT(MID(K406,FIND("/",K406)+1,10),FIND("/",MID(K406,FIND("/",K406)+1,10))-1))&gt;=1,VALUE(LEFT(MID(K406,FIND("/",K406)+1,10),FIND("/",MID(K406,FIND("/",K406)+1,10))-1))&lt;=12,VALUE(LEFT(K406,FIND("/",K406)-1))&lt;=DAY(EOMONTH(DATE(VALUE(MID(MID(K406,FIND("/",K406)+1,10),FIND("/",MID(K406,FIND("/",K406)+1,10))+1,4)),VALUE(LEFT(MID(K406,FIND("/",K406)+1,10),FIND("/",MID(K406,FIND("/",K406)+1,10))-1)),1),0))),0,1),1)=1,"Date; ","")&amp;IF(IFERROR(IF(M406&gt;=0,0,1),1)=1,"Amount; ","")&amp;IF(IFERROR(IF(ISNUMBER(MATCH(N406,Lists!$B$2:$B$7,0)),0,1),1)=1,"Payment; ","")))</f>
        <v/>
      </c>
      <c r="R406" s="3" t="str">
        <f aca="false">IF(D406="","",IF(COUNTIFS($D$2:$D$701,D406,$E$2:$E$701,E406)&gt;1,"DUPLICATE","Unique"))</f>
        <v>Unique</v>
      </c>
    </row>
    <row r="407" customFormat="false" ht="15" hidden="false" customHeight="false" outlineLevel="0" collapsed="false">
      <c r="A407" s="3" t="n">
        <v>406</v>
      </c>
      <c r="B407" s="3" t="n">
        <v>9</v>
      </c>
      <c r="C407" s="3" t="s">
        <v>2920</v>
      </c>
      <c r="D407" s="3" t="s">
        <v>2921</v>
      </c>
      <c r="E407" s="3" t="s">
        <v>2922</v>
      </c>
      <c r="F407" s="3" t="s">
        <v>2923</v>
      </c>
      <c r="G407" s="3" t="s">
        <v>2924</v>
      </c>
      <c r="H407" s="3" t="s">
        <v>770</v>
      </c>
      <c r="I407" s="3" t="s">
        <v>57</v>
      </c>
      <c r="J407" s="3" t="s">
        <v>2925</v>
      </c>
      <c r="K407" s="3" t="s">
        <v>2926</v>
      </c>
      <c r="L407" s="3" t="s">
        <v>47</v>
      </c>
      <c r="M407" s="3" t="n">
        <v>9323.63</v>
      </c>
      <c r="N407" s="3" t="s">
        <v>43</v>
      </c>
      <c r="O407" s="3" t="n">
        <f aca="false">IFERROR(LEN(C407&amp;D407&amp;E407&amp;F407&amp;G407&amp;H407&amp;I407&amp;J407&amp;K407&amp;L407&amp;M407&amp;N407)/5,0)</f>
        <v>24.6</v>
      </c>
      <c r="P407" s="3" t="str">
        <f aca="false">IF(OR(D407="",C407=""),"",IF((IFERROR(IF(AND(TRIM(D407)=D407,LEN(D407)&gt;0),0,1),1)+IFERROR(IF(AND(LEN(E407)=10,ISNUMBER(VALUE(E407))),0,1),1)+IFERROR(IF(AND(ISNUMBER(SEARCH("@",F407)),ISNUMBER(SEARCH(".",F407))),0,1),1)+IFERROR(IF(AND(LEN(J407)=6,ISNUMBER(VALUE(J407))),0,1),1)+IFERROR(IF(ISNUMBER(MATCH(TRIM(I407),Lists!$A$2:$A$20,0)),0,1),1)+IFERROR(IF(AND(LEN(K407)=10,VALUE(LEFT(K407,FIND("/",K407)-1))&gt;=1,VALUE(LEFT(K407,FIND("/",K407)-1))&lt;=31,VALUE(LEFT(MID(K407,FIND("/",K407)+1,10),FIND("/",MID(K407,FIND("/",K407)+1,10))-1))&gt;=1,VALUE(LEFT(MID(K407,FIND("/",K407)+1,10),FIND("/",MID(K407,FIND("/",K407)+1,10))-1))&lt;=12,VALUE(LEFT(K407,FIND("/",K407)-1))&lt;=DAY(EOMONTH(DATE(VALUE(MID(MID(K407,FIND("/",K407)+1,10),FIND("/",MID(K407,FIND("/",K407)+1,10))+1,4)),VALUE(LEFT(MID(K407,FIND("/",K407)+1,10),FIND("/",MID(K407,FIND("/",K407)+1,10))-1)),1),0))),0,1),1)+IFERROR(IF(M407&gt;=0,0,1),1)+IFERROR(IF(ISNUMBER(MATCH(N407,Lists!$B$2:$B$7,0)),0,1),1))=0,"OK","ERROR"))</f>
        <v>OK</v>
      </c>
      <c r="Q407" s="3" t="str">
        <f aca="false">IF(D407="","",TRIM(IF(IFERROR(IF(AND(TRIM(D407)=D407,LEN(D407)&gt;0),0,1),1)=1,"Name; ","")&amp;IF(IFERROR(IF(AND(LEN(E407)=10,ISNUMBER(VALUE(E407))),0,1),1)=1,"Phone; ","")&amp;IF(IFERROR(IF(AND(ISNUMBER(SEARCH("@",F407)),ISNUMBER(SEARCH(".",F407))),0,1),1)=1,"Email; ","")&amp;IF(IFERROR(IF(AND(LEN(J407)=6,ISNUMBER(VALUE(J407))),0,1),1)=1,"Pincode; ","")&amp;IF(IFERROR(IF(ISNUMBER(MATCH(TRIM(I407),Lists!$A$2:$A$20,0)),0,1),1)=1,"State; ","")&amp;IF(IFERROR(IF(AND(LEN(K407)=10,VALUE(LEFT(K407,FIND("/",K407)-1))&gt;=1,VALUE(LEFT(K407,FIND("/",K407)-1))&lt;=31,VALUE(LEFT(MID(K407,FIND("/",K407)+1,10),FIND("/",MID(K407,FIND("/",K407)+1,10))-1))&gt;=1,VALUE(LEFT(MID(K407,FIND("/",K407)+1,10),FIND("/",MID(K407,FIND("/",K407)+1,10))-1))&lt;=12,VALUE(LEFT(K407,FIND("/",K407)-1))&lt;=DAY(EOMONTH(DATE(VALUE(MID(MID(K407,FIND("/",K407)+1,10),FIND("/",MID(K407,FIND("/",K407)+1,10))+1,4)),VALUE(LEFT(MID(K407,FIND("/",K407)+1,10),FIND("/",MID(K407,FIND("/",K407)+1,10))-1)),1),0))),0,1),1)=1,"Date; ","")&amp;IF(IFERROR(IF(M407&gt;=0,0,1),1)=1,"Amount; ","")&amp;IF(IFERROR(IF(ISNUMBER(MATCH(N407,Lists!$B$2:$B$7,0)),0,1),1)=1,"Payment; ","")))</f>
        <v/>
      </c>
      <c r="R407" s="3" t="str">
        <f aca="false">IF(D407="","",IF(COUNTIFS($D$2:$D$701,D407,$E$2:$E$701,E407)&gt;1,"DUPLICATE","Unique"))</f>
        <v>Unique</v>
      </c>
    </row>
    <row r="408" customFormat="false" ht="15" hidden="false" customHeight="false" outlineLevel="0" collapsed="false">
      <c r="A408" s="3" t="n">
        <v>407</v>
      </c>
      <c r="B408" s="3" t="n">
        <v>9</v>
      </c>
      <c r="C408" s="3" t="s">
        <v>2927</v>
      </c>
      <c r="D408" s="3" t="s">
        <v>2928</v>
      </c>
      <c r="E408" s="3" t="s">
        <v>2929</v>
      </c>
      <c r="F408" s="3" t="s">
        <v>2930</v>
      </c>
      <c r="G408" s="3" t="s">
        <v>2931</v>
      </c>
      <c r="H408" s="3" t="s">
        <v>258</v>
      </c>
      <c r="I408" s="3" t="s">
        <v>63</v>
      </c>
      <c r="J408" s="3" t="s">
        <v>2932</v>
      </c>
      <c r="K408" s="3" t="s">
        <v>2933</v>
      </c>
      <c r="L408" s="3" t="s">
        <v>70</v>
      </c>
      <c r="M408" s="3" t="n">
        <v>9726.44</v>
      </c>
      <c r="N408" s="3" t="s">
        <v>52</v>
      </c>
      <c r="O408" s="3" t="n">
        <f aca="false">IFERROR(LEN(C408&amp;D408&amp;E408&amp;F408&amp;G408&amp;H408&amp;I408&amp;J408&amp;K408&amp;L408&amp;M408&amp;N408)/5,0)</f>
        <v>27.6</v>
      </c>
      <c r="P408" s="3" t="str">
        <f aca="false">IF(OR(D408="",C408=""),"",IF((IFERROR(IF(AND(TRIM(D408)=D408,LEN(D408)&gt;0),0,1),1)+IFERROR(IF(AND(LEN(E408)=10,ISNUMBER(VALUE(E408))),0,1),1)+IFERROR(IF(AND(ISNUMBER(SEARCH("@",F408)),ISNUMBER(SEARCH(".",F408))),0,1),1)+IFERROR(IF(AND(LEN(J408)=6,ISNUMBER(VALUE(J408))),0,1),1)+IFERROR(IF(ISNUMBER(MATCH(TRIM(I408),Lists!$A$2:$A$20,0)),0,1),1)+IFERROR(IF(AND(LEN(K408)=10,VALUE(LEFT(K408,FIND("/",K408)-1))&gt;=1,VALUE(LEFT(K408,FIND("/",K408)-1))&lt;=31,VALUE(LEFT(MID(K408,FIND("/",K408)+1,10),FIND("/",MID(K408,FIND("/",K408)+1,10))-1))&gt;=1,VALUE(LEFT(MID(K408,FIND("/",K408)+1,10),FIND("/",MID(K408,FIND("/",K408)+1,10))-1))&lt;=12,VALUE(LEFT(K408,FIND("/",K408)-1))&lt;=DAY(EOMONTH(DATE(VALUE(MID(MID(K408,FIND("/",K408)+1,10),FIND("/",MID(K408,FIND("/",K408)+1,10))+1,4)),VALUE(LEFT(MID(K408,FIND("/",K408)+1,10),FIND("/",MID(K408,FIND("/",K408)+1,10))-1)),1),0))),0,1),1)+IFERROR(IF(M408&gt;=0,0,1),1)+IFERROR(IF(ISNUMBER(MATCH(N408,Lists!$B$2:$B$7,0)),0,1),1))=0,"OK","ERROR"))</f>
        <v>ERROR</v>
      </c>
      <c r="Q408" s="3" t="str">
        <f aca="false">IF(D408="","",TRIM(IF(IFERROR(IF(AND(TRIM(D408)=D408,LEN(D408)&gt;0),0,1),1)=1,"Name; ","")&amp;IF(IFERROR(IF(AND(LEN(E408)=10,ISNUMBER(VALUE(E408))),0,1),1)=1,"Phone; ","")&amp;IF(IFERROR(IF(AND(ISNUMBER(SEARCH("@",F408)),ISNUMBER(SEARCH(".",F408))),0,1),1)=1,"Email; ","")&amp;IF(IFERROR(IF(AND(LEN(J408)=6,ISNUMBER(VALUE(J408))),0,1),1)=1,"Pincode; ","")&amp;IF(IFERROR(IF(ISNUMBER(MATCH(TRIM(I408),Lists!$A$2:$A$20,0)),0,1),1)=1,"State; ","")&amp;IF(IFERROR(IF(AND(LEN(K408)=10,VALUE(LEFT(K408,FIND("/",K408)-1))&gt;=1,VALUE(LEFT(K408,FIND("/",K408)-1))&lt;=31,VALUE(LEFT(MID(K408,FIND("/",K408)+1,10),FIND("/",MID(K408,FIND("/",K408)+1,10))-1))&gt;=1,VALUE(LEFT(MID(K408,FIND("/",K408)+1,10),FIND("/",MID(K408,FIND("/",K408)+1,10))-1))&lt;=12,VALUE(LEFT(K408,FIND("/",K408)-1))&lt;=DAY(EOMONTH(DATE(VALUE(MID(MID(K408,FIND("/",K408)+1,10),FIND("/",MID(K408,FIND("/",K408)+1,10))+1,4)),VALUE(LEFT(MID(K408,FIND("/",K408)+1,10),FIND("/",MID(K408,FIND("/",K408)+1,10))-1)),1),0))),0,1),1)=1,"Date; ","")&amp;IF(IFERROR(IF(M408&gt;=0,0,1),1)=1,"Amount; ","")&amp;IF(IFERROR(IF(ISNUMBER(MATCH(N408,Lists!$B$2:$B$7,0)),0,1),1)=1,"Payment; ","")))</f>
        <v>Date;</v>
      </c>
      <c r="R408" s="3" t="str">
        <f aca="false">IF(D408="","",IF(COUNTIFS($D$2:$D$701,D408,$E$2:$E$701,E408)&gt;1,"DUPLICATE","Unique"))</f>
        <v>Unique</v>
      </c>
    </row>
    <row r="409" customFormat="false" ht="15" hidden="false" customHeight="false" outlineLevel="0" collapsed="false">
      <c r="A409" s="3" t="n">
        <v>408</v>
      </c>
      <c r="B409" s="3" t="n">
        <v>9</v>
      </c>
      <c r="C409" s="3" t="s">
        <v>2934</v>
      </c>
      <c r="D409" s="3" t="s">
        <v>2935</v>
      </c>
      <c r="E409" s="3" t="s">
        <v>2936</v>
      </c>
      <c r="F409" s="3" t="s">
        <v>2937</v>
      </c>
      <c r="G409" s="3" t="s">
        <v>2938</v>
      </c>
      <c r="H409" s="3" t="s">
        <v>266</v>
      </c>
      <c r="I409" s="3" t="s">
        <v>78</v>
      </c>
      <c r="J409" s="3" t="s">
        <v>2939</v>
      </c>
      <c r="K409" s="3" t="s">
        <v>2940</v>
      </c>
      <c r="L409" s="3" t="s">
        <v>72</v>
      </c>
      <c r="M409" s="3" t="n">
        <v>11085.59</v>
      </c>
      <c r="N409" s="3" t="s">
        <v>49</v>
      </c>
      <c r="O409" s="3" t="n">
        <f aca="false">IFERROR(LEN(C409&amp;D409&amp;E409&amp;F409&amp;G409&amp;H409&amp;I409&amp;J409&amp;K409&amp;L409&amp;M409&amp;N409)/5,0)</f>
        <v>26.8</v>
      </c>
      <c r="P409" s="3" t="str">
        <f aca="false">IF(OR(D409="",C409=""),"",IF((IFERROR(IF(AND(TRIM(D409)=D409,LEN(D409)&gt;0),0,1),1)+IFERROR(IF(AND(LEN(E409)=10,ISNUMBER(VALUE(E409))),0,1),1)+IFERROR(IF(AND(ISNUMBER(SEARCH("@",F409)),ISNUMBER(SEARCH(".",F409))),0,1),1)+IFERROR(IF(AND(LEN(J409)=6,ISNUMBER(VALUE(J409))),0,1),1)+IFERROR(IF(ISNUMBER(MATCH(TRIM(I409),Lists!$A$2:$A$20,0)),0,1),1)+IFERROR(IF(AND(LEN(K409)=10,VALUE(LEFT(K409,FIND("/",K409)-1))&gt;=1,VALUE(LEFT(K409,FIND("/",K409)-1))&lt;=31,VALUE(LEFT(MID(K409,FIND("/",K409)+1,10),FIND("/",MID(K409,FIND("/",K409)+1,10))-1))&gt;=1,VALUE(LEFT(MID(K409,FIND("/",K409)+1,10),FIND("/",MID(K409,FIND("/",K409)+1,10))-1))&lt;=12,VALUE(LEFT(K409,FIND("/",K409)-1))&lt;=DAY(EOMONTH(DATE(VALUE(MID(MID(K409,FIND("/",K409)+1,10),FIND("/",MID(K409,FIND("/",K409)+1,10))+1,4)),VALUE(LEFT(MID(K409,FIND("/",K409)+1,10),FIND("/",MID(K409,FIND("/",K409)+1,10))-1)),1),0))),0,1),1)+IFERROR(IF(M409&gt;=0,0,1),1)+IFERROR(IF(ISNUMBER(MATCH(N409,Lists!$B$2:$B$7,0)),0,1),1))=0,"OK","ERROR"))</f>
        <v>OK</v>
      </c>
      <c r="Q409" s="3" t="str">
        <f aca="false">IF(D409="","",TRIM(IF(IFERROR(IF(AND(TRIM(D409)=D409,LEN(D409)&gt;0),0,1),1)=1,"Name; ","")&amp;IF(IFERROR(IF(AND(LEN(E409)=10,ISNUMBER(VALUE(E409))),0,1),1)=1,"Phone; ","")&amp;IF(IFERROR(IF(AND(ISNUMBER(SEARCH("@",F409)),ISNUMBER(SEARCH(".",F409))),0,1),1)=1,"Email; ","")&amp;IF(IFERROR(IF(AND(LEN(J409)=6,ISNUMBER(VALUE(J409))),0,1),1)=1,"Pincode; ","")&amp;IF(IFERROR(IF(ISNUMBER(MATCH(TRIM(I409),Lists!$A$2:$A$20,0)),0,1),1)=1,"State; ","")&amp;IF(IFERROR(IF(AND(LEN(K409)=10,VALUE(LEFT(K409,FIND("/",K409)-1))&gt;=1,VALUE(LEFT(K409,FIND("/",K409)-1))&lt;=31,VALUE(LEFT(MID(K409,FIND("/",K409)+1,10),FIND("/",MID(K409,FIND("/",K409)+1,10))-1))&gt;=1,VALUE(LEFT(MID(K409,FIND("/",K409)+1,10),FIND("/",MID(K409,FIND("/",K409)+1,10))-1))&lt;=12,VALUE(LEFT(K409,FIND("/",K409)-1))&lt;=DAY(EOMONTH(DATE(VALUE(MID(MID(K409,FIND("/",K409)+1,10),FIND("/",MID(K409,FIND("/",K409)+1,10))+1,4)),VALUE(LEFT(MID(K409,FIND("/",K409)+1,10),FIND("/",MID(K409,FIND("/",K409)+1,10))-1)),1),0))),0,1),1)=1,"Date; ","")&amp;IF(IFERROR(IF(M409&gt;=0,0,1),1)=1,"Amount; ","")&amp;IF(IFERROR(IF(ISNUMBER(MATCH(N409,Lists!$B$2:$B$7,0)),0,1),1)=1,"Payment; ","")))</f>
        <v/>
      </c>
      <c r="R409" s="3" t="str">
        <f aca="false">IF(D409="","",IF(COUNTIFS($D$2:$D$701,D409,$E$2:$E$701,E409)&gt;1,"DUPLICATE","Unique"))</f>
        <v>Unique</v>
      </c>
    </row>
    <row r="410" customFormat="false" ht="15" hidden="false" customHeight="false" outlineLevel="0" collapsed="false">
      <c r="A410" s="3" t="n">
        <v>409</v>
      </c>
      <c r="B410" s="3" t="n">
        <v>9</v>
      </c>
      <c r="C410" s="3" t="s">
        <v>2941</v>
      </c>
      <c r="D410" s="3" t="s">
        <v>2942</v>
      </c>
      <c r="E410" s="3" t="s">
        <v>2943</v>
      </c>
      <c r="F410" s="3" t="s">
        <v>2944</v>
      </c>
      <c r="G410" s="3" t="s">
        <v>2945</v>
      </c>
      <c r="H410" s="3" t="s">
        <v>1193</v>
      </c>
      <c r="I410" s="3" t="s">
        <v>39</v>
      </c>
      <c r="J410" s="3" t="s">
        <v>2946</v>
      </c>
      <c r="K410" s="3" t="s">
        <v>2947</v>
      </c>
      <c r="L410" s="3" t="s">
        <v>47</v>
      </c>
      <c r="M410" s="3" t="n">
        <v>8674.96</v>
      </c>
      <c r="N410" s="3" t="s">
        <v>49</v>
      </c>
      <c r="O410" s="3" t="n">
        <f aca="false">IFERROR(LEN(C410&amp;D410&amp;E410&amp;F410&amp;G410&amp;H410&amp;I410&amp;J410&amp;K410&amp;L410&amp;M410&amp;N410)/5,0)</f>
        <v>27.2</v>
      </c>
      <c r="P410" s="3" t="str">
        <f aca="false">IF(OR(D410="",C410=""),"",IF((IFERROR(IF(AND(TRIM(D410)=D410,LEN(D410)&gt;0),0,1),1)+IFERROR(IF(AND(LEN(E410)=10,ISNUMBER(VALUE(E410))),0,1),1)+IFERROR(IF(AND(ISNUMBER(SEARCH("@",F410)),ISNUMBER(SEARCH(".",F410))),0,1),1)+IFERROR(IF(AND(LEN(J410)=6,ISNUMBER(VALUE(J410))),0,1),1)+IFERROR(IF(ISNUMBER(MATCH(TRIM(I410),Lists!$A$2:$A$20,0)),0,1),1)+IFERROR(IF(AND(LEN(K410)=10,VALUE(LEFT(K410,FIND("/",K410)-1))&gt;=1,VALUE(LEFT(K410,FIND("/",K410)-1))&lt;=31,VALUE(LEFT(MID(K410,FIND("/",K410)+1,10),FIND("/",MID(K410,FIND("/",K410)+1,10))-1))&gt;=1,VALUE(LEFT(MID(K410,FIND("/",K410)+1,10),FIND("/",MID(K410,FIND("/",K410)+1,10))-1))&lt;=12,VALUE(LEFT(K410,FIND("/",K410)-1))&lt;=DAY(EOMONTH(DATE(VALUE(MID(MID(K410,FIND("/",K410)+1,10),FIND("/",MID(K410,FIND("/",K410)+1,10))+1,4)),VALUE(LEFT(MID(K410,FIND("/",K410)+1,10),FIND("/",MID(K410,FIND("/",K410)+1,10))-1)),1),0))),0,1),1)+IFERROR(IF(M410&gt;=0,0,1),1)+IFERROR(IF(ISNUMBER(MATCH(N410,Lists!$B$2:$B$7,0)),0,1),1))=0,"OK","ERROR"))</f>
        <v>OK</v>
      </c>
      <c r="Q410" s="3" t="str">
        <f aca="false">IF(D410="","",TRIM(IF(IFERROR(IF(AND(TRIM(D410)=D410,LEN(D410)&gt;0),0,1),1)=1,"Name; ","")&amp;IF(IFERROR(IF(AND(LEN(E410)=10,ISNUMBER(VALUE(E410))),0,1),1)=1,"Phone; ","")&amp;IF(IFERROR(IF(AND(ISNUMBER(SEARCH("@",F410)),ISNUMBER(SEARCH(".",F410))),0,1),1)=1,"Email; ","")&amp;IF(IFERROR(IF(AND(LEN(J410)=6,ISNUMBER(VALUE(J410))),0,1),1)=1,"Pincode; ","")&amp;IF(IFERROR(IF(ISNUMBER(MATCH(TRIM(I410),Lists!$A$2:$A$20,0)),0,1),1)=1,"State; ","")&amp;IF(IFERROR(IF(AND(LEN(K410)=10,VALUE(LEFT(K410,FIND("/",K410)-1))&gt;=1,VALUE(LEFT(K410,FIND("/",K410)-1))&lt;=31,VALUE(LEFT(MID(K410,FIND("/",K410)+1,10),FIND("/",MID(K410,FIND("/",K410)+1,10))-1))&gt;=1,VALUE(LEFT(MID(K410,FIND("/",K410)+1,10),FIND("/",MID(K410,FIND("/",K410)+1,10))-1))&lt;=12,VALUE(LEFT(K410,FIND("/",K410)-1))&lt;=DAY(EOMONTH(DATE(VALUE(MID(MID(K410,FIND("/",K410)+1,10),FIND("/",MID(K410,FIND("/",K410)+1,10))+1,4)),VALUE(LEFT(MID(K410,FIND("/",K410)+1,10),FIND("/",MID(K410,FIND("/",K410)+1,10))-1)),1),0))),0,1),1)=1,"Date; ","")&amp;IF(IFERROR(IF(M410&gt;=0,0,1),1)=1,"Amount; ","")&amp;IF(IFERROR(IF(ISNUMBER(MATCH(N410,Lists!$B$2:$B$7,0)),0,1),1)=1,"Payment; ","")))</f>
        <v/>
      </c>
      <c r="R410" s="3" t="str">
        <f aca="false">IF(D410="","",IF(COUNTIFS($D$2:$D$701,D410,$E$2:$E$701,E410)&gt;1,"DUPLICATE","Unique"))</f>
        <v>Unique</v>
      </c>
    </row>
    <row r="411" customFormat="false" ht="15" hidden="false" customHeight="false" outlineLevel="0" collapsed="false">
      <c r="A411" s="3" t="n">
        <v>410</v>
      </c>
      <c r="B411" s="3" t="n">
        <v>9</v>
      </c>
      <c r="C411" s="3" t="s">
        <v>2948</v>
      </c>
      <c r="D411" s="3" t="s">
        <v>2949</v>
      </c>
      <c r="E411" s="3" t="s">
        <v>2950</v>
      </c>
      <c r="F411" s="3" t="s">
        <v>2951</v>
      </c>
      <c r="G411" s="3" t="s">
        <v>2952</v>
      </c>
      <c r="H411" s="3" t="s">
        <v>205</v>
      </c>
      <c r="I411" s="3" t="s">
        <v>45</v>
      </c>
      <c r="J411" s="3" t="s">
        <v>2953</v>
      </c>
      <c r="K411" s="3" t="s">
        <v>2954</v>
      </c>
      <c r="L411" s="3" t="s">
        <v>47</v>
      </c>
      <c r="M411" s="3" t="n">
        <v>7241.56</v>
      </c>
      <c r="N411" s="3" t="s">
        <v>49</v>
      </c>
      <c r="O411" s="3" t="n">
        <f aca="false">IFERROR(LEN(C411&amp;D411&amp;E411&amp;F411&amp;G411&amp;H411&amp;I411&amp;J411&amp;K411&amp;L411&amp;M411&amp;N411)/5,0)</f>
        <v>26.2</v>
      </c>
      <c r="P411" s="3" t="str">
        <f aca="false">IF(OR(D411="",C411=""),"",IF((IFERROR(IF(AND(TRIM(D411)=D411,LEN(D411)&gt;0),0,1),1)+IFERROR(IF(AND(LEN(E411)=10,ISNUMBER(VALUE(E411))),0,1),1)+IFERROR(IF(AND(ISNUMBER(SEARCH("@",F411)),ISNUMBER(SEARCH(".",F411))),0,1),1)+IFERROR(IF(AND(LEN(J411)=6,ISNUMBER(VALUE(J411))),0,1),1)+IFERROR(IF(ISNUMBER(MATCH(TRIM(I411),Lists!$A$2:$A$20,0)),0,1),1)+IFERROR(IF(AND(LEN(K411)=10,VALUE(LEFT(K411,FIND("/",K411)-1))&gt;=1,VALUE(LEFT(K411,FIND("/",K411)-1))&lt;=31,VALUE(LEFT(MID(K411,FIND("/",K411)+1,10),FIND("/",MID(K411,FIND("/",K411)+1,10))-1))&gt;=1,VALUE(LEFT(MID(K411,FIND("/",K411)+1,10),FIND("/",MID(K411,FIND("/",K411)+1,10))-1))&lt;=12,VALUE(LEFT(K411,FIND("/",K411)-1))&lt;=DAY(EOMONTH(DATE(VALUE(MID(MID(K411,FIND("/",K411)+1,10),FIND("/",MID(K411,FIND("/",K411)+1,10))+1,4)),VALUE(LEFT(MID(K411,FIND("/",K411)+1,10),FIND("/",MID(K411,FIND("/",K411)+1,10))-1)),1),0))),0,1),1)+IFERROR(IF(M411&gt;=0,0,1),1)+IFERROR(IF(ISNUMBER(MATCH(N411,Lists!$B$2:$B$7,0)),0,1),1))=0,"OK","ERROR"))</f>
        <v>OK</v>
      </c>
      <c r="Q411" s="3" t="str">
        <f aca="false">IF(D411="","",TRIM(IF(IFERROR(IF(AND(TRIM(D411)=D411,LEN(D411)&gt;0),0,1),1)=1,"Name; ","")&amp;IF(IFERROR(IF(AND(LEN(E411)=10,ISNUMBER(VALUE(E411))),0,1),1)=1,"Phone; ","")&amp;IF(IFERROR(IF(AND(ISNUMBER(SEARCH("@",F411)),ISNUMBER(SEARCH(".",F411))),0,1),1)=1,"Email; ","")&amp;IF(IFERROR(IF(AND(LEN(J411)=6,ISNUMBER(VALUE(J411))),0,1),1)=1,"Pincode; ","")&amp;IF(IFERROR(IF(ISNUMBER(MATCH(TRIM(I411),Lists!$A$2:$A$20,0)),0,1),1)=1,"State; ","")&amp;IF(IFERROR(IF(AND(LEN(K411)=10,VALUE(LEFT(K411,FIND("/",K411)-1))&gt;=1,VALUE(LEFT(K411,FIND("/",K411)-1))&lt;=31,VALUE(LEFT(MID(K411,FIND("/",K411)+1,10),FIND("/",MID(K411,FIND("/",K411)+1,10))-1))&gt;=1,VALUE(LEFT(MID(K411,FIND("/",K411)+1,10),FIND("/",MID(K411,FIND("/",K411)+1,10))-1))&lt;=12,VALUE(LEFT(K411,FIND("/",K411)-1))&lt;=DAY(EOMONTH(DATE(VALUE(MID(MID(K411,FIND("/",K411)+1,10),FIND("/",MID(K411,FIND("/",K411)+1,10))+1,4)),VALUE(LEFT(MID(K411,FIND("/",K411)+1,10),FIND("/",MID(K411,FIND("/",K411)+1,10))-1)),1),0))),0,1),1)=1,"Date; ","")&amp;IF(IFERROR(IF(M411&gt;=0,0,1),1)=1,"Amount; ","")&amp;IF(IFERROR(IF(ISNUMBER(MATCH(N411,Lists!$B$2:$B$7,0)),0,1),1)=1,"Payment; ","")))</f>
        <v/>
      </c>
      <c r="R411" s="3" t="str">
        <f aca="false">IF(D411="","",IF(COUNTIFS($D$2:$D$701,D411,$E$2:$E$701,E411)&gt;1,"DUPLICATE","Unique"))</f>
        <v>Unique</v>
      </c>
    </row>
    <row r="412" customFormat="false" ht="15" hidden="false" customHeight="false" outlineLevel="0" collapsed="false">
      <c r="A412" s="3" t="n">
        <v>411</v>
      </c>
      <c r="B412" s="3" t="n">
        <v>9</v>
      </c>
      <c r="C412" s="3" t="s">
        <v>2955</v>
      </c>
      <c r="D412" s="3" t="s">
        <v>2956</v>
      </c>
      <c r="E412" s="3" t="s">
        <v>2957</v>
      </c>
      <c r="F412" s="3" t="s">
        <v>2958</v>
      </c>
      <c r="G412" s="3" t="s">
        <v>2959</v>
      </c>
      <c r="H412" s="3" t="s">
        <v>641</v>
      </c>
      <c r="I412" s="3" t="s">
        <v>59</v>
      </c>
      <c r="J412" s="3" t="s">
        <v>2960</v>
      </c>
      <c r="K412" s="3" t="s">
        <v>2961</v>
      </c>
      <c r="L412" s="3" t="s">
        <v>74</v>
      </c>
      <c r="M412" s="3" t="n">
        <v>9959.24</v>
      </c>
      <c r="N412" s="3" t="s">
        <v>49</v>
      </c>
      <c r="O412" s="3" t="n">
        <f aca="false">IFERROR(LEN(C412&amp;D412&amp;E412&amp;F412&amp;G412&amp;H412&amp;I412&amp;J412&amp;K412&amp;L412&amp;M412&amp;N412)/5,0)</f>
        <v>26.4</v>
      </c>
      <c r="P412" s="3" t="str">
        <f aca="false">IF(OR(D412="",C412=""),"",IF((IFERROR(IF(AND(TRIM(D412)=D412,LEN(D412)&gt;0),0,1),1)+IFERROR(IF(AND(LEN(E412)=10,ISNUMBER(VALUE(E412))),0,1),1)+IFERROR(IF(AND(ISNUMBER(SEARCH("@",F412)),ISNUMBER(SEARCH(".",F412))),0,1),1)+IFERROR(IF(AND(LEN(J412)=6,ISNUMBER(VALUE(J412))),0,1),1)+IFERROR(IF(ISNUMBER(MATCH(TRIM(I412),Lists!$A$2:$A$20,0)),0,1),1)+IFERROR(IF(AND(LEN(K412)=10,VALUE(LEFT(K412,FIND("/",K412)-1))&gt;=1,VALUE(LEFT(K412,FIND("/",K412)-1))&lt;=31,VALUE(LEFT(MID(K412,FIND("/",K412)+1,10),FIND("/",MID(K412,FIND("/",K412)+1,10))-1))&gt;=1,VALUE(LEFT(MID(K412,FIND("/",K412)+1,10),FIND("/",MID(K412,FIND("/",K412)+1,10))-1))&lt;=12,VALUE(LEFT(K412,FIND("/",K412)-1))&lt;=DAY(EOMONTH(DATE(VALUE(MID(MID(K412,FIND("/",K412)+1,10),FIND("/",MID(K412,FIND("/",K412)+1,10))+1,4)),VALUE(LEFT(MID(K412,FIND("/",K412)+1,10),FIND("/",MID(K412,FIND("/",K412)+1,10))-1)),1),0))),0,1),1)+IFERROR(IF(M412&gt;=0,0,1),1)+IFERROR(IF(ISNUMBER(MATCH(N412,Lists!$B$2:$B$7,0)),0,1),1))=0,"OK","ERROR"))</f>
        <v>OK</v>
      </c>
      <c r="Q412" s="3" t="str">
        <f aca="false">IF(D412="","",TRIM(IF(IFERROR(IF(AND(TRIM(D412)=D412,LEN(D412)&gt;0),0,1),1)=1,"Name; ","")&amp;IF(IFERROR(IF(AND(LEN(E412)=10,ISNUMBER(VALUE(E412))),0,1),1)=1,"Phone; ","")&amp;IF(IFERROR(IF(AND(ISNUMBER(SEARCH("@",F412)),ISNUMBER(SEARCH(".",F412))),0,1),1)=1,"Email; ","")&amp;IF(IFERROR(IF(AND(LEN(J412)=6,ISNUMBER(VALUE(J412))),0,1),1)=1,"Pincode; ","")&amp;IF(IFERROR(IF(ISNUMBER(MATCH(TRIM(I412),Lists!$A$2:$A$20,0)),0,1),1)=1,"State; ","")&amp;IF(IFERROR(IF(AND(LEN(K412)=10,VALUE(LEFT(K412,FIND("/",K412)-1))&gt;=1,VALUE(LEFT(K412,FIND("/",K412)-1))&lt;=31,VALUE(LEFT(MID(K412,FIND("/",K412)+1,10),FIND("/",MID(K412,FIND("/",K412)+1,10))-1))&gt;=1,VALUE(LEFT(MID(K412,FIND("/",K412)+1,10),FIND("/",MID(K412,FIND("/",K412)+1,10))-1))&lt;=12,VALUE(LEFT(K412,FIND("/",K412)-1))&lt;=DAY(EOMONTH(DATE(VALUE(MID(MID(K412,FIND("/",K412)+1,10),FIND("/",MID(K412,FIND("/",K412)+1,10))+1,4)),VALUE(LEFT(MID(K412,FIND("/",K412)+1,10),FIND("/",MID(K412,FIND("/",K412)+1,10))-1)),1),0))),0,1),1)=1,"Date; ","")&amp;IF(IFERROR(IF(M412&gt;=0,0,1),1)=1,"Amount; ","")&amp;IF(IFERROR(IF(ISNUMBER(MATCH(N412,Lists!$B$2:$B$7,0)),0,1),1)=1,"Payment; ","")))</f>
        <v/>
      </c>
      <c r="R412" s="3" t="str">
        <f aca="false">IF(D412="","",IF(COUNTIFS($D$2:$D$701,D412,$E$2:$E$701,E412)&gt;1,"DUPLICATE","Unique"))</f>
        <v>Unique</v>
      </c>
    </row>
    <row r="413" customFormat="false" ht="15" hidden="false" customHeight="false" outlineLevel="0" collapsed="false">
      <c r="A413" s="3" t="n">
        <v>412</v>
      </c>
      <c r="B413" s="3" t="n">
        <v>9</v>
      </c>
      <c r="C413" s="3" t="s">
        <v>2962</v>
      </c>
      <c r="D413" s="3" t="s">
        <v>2963</v>
      </c>
      <c r="E413" s="3" t="s">
        <v>2964</v>
      </c>
      <c r="F413" s="3" t="s">
        <v>2965</v>
      </c>
      <c r="G413" s="3" t="s">
        <v>2966</v>
      </c>
      <c r="H413" s="3" t="s">
        <v>502</v>
      </c>
      <c r="I413" s="3" t="s">
        <v>73</v>
      </c>
      <c r="J413" s="3" t="s">
        <v>2967</v>
      </c>
      <c r="K413" s="3" t="s">
        <v>2968</v>
      </c>
      <c r="L413" s="3" t="s">
        <v>44</v>
      </c>
      <c r="M413" s="3" t="n">
        <v>12134.27</v>
      </c>
      <c r="N413" s="3" t="s">
        <v>52</v>
      </c>
      <c r="O413" s="3" t="n">
        <f aca="false">IFERROR(LEN(C413&amp;D413&amp;E413&amp;F413&amp;G413&amp;H413&amp;I413&amp;J413&amp;K413&amp;L413&amp;M413&amp;N413)/5,0)</f>
        <v>28.8</v>
      </c>
      <c r="P413" s="3" t="str">
        <f aca="false">IF(OR(D413="",C413=""),"",IF((IFERROR(IF(AND(TRIM(D413)=D413,LEN(D413)&gt;0),0,1),1)+IFERROR(IF(AND(LEN(E413)=10,ISNUMBER(VALUE(E413))),0,1),1)+IFERROR(IF(AND(ISNUMBER(SEARCH("@",F413)),ISNUMBER(SEARCH(".",F413))),0,1),1)+IFERROR(IF(AND(LEN(J413)=6,ISNUMBER(VALUE(J413))),0,1),1)+IFERROR(IF(ISNUMBER(MATCH(TRIM(I413),Lists!$A$2:$A$20,0)),0,1),1)+IFERROR(IF(AND(LEN(K413)=10,VALUE(LEFT(K413,FIND("/",K413)-1))&gt;=1,VALUE(LEFT(K413,FIND("/",K413)-1))&lt;=31,VALUE(LEFT(MID(K413,FIND("/",K413)+1,10),FIND("/",MID(K413,FIND("/",K413)+1,10))-1))&gt;=1,VALUE(LEFT(MID(K413,FIND("/",K413)+1,10),FIND("/",MID(K413,FIND("/",K413)+1,10))-1))&lt;=12,VALUE(LEFT(K413,FIND("/",K413)-1))&lt;=DAY(EOMONTH(DATE(VALUE(MID(MID(K413,FIND("/",K413)+1,10),FIND("/",MID(K413,FIND("/",K413)+1,10))+1,4)),VALUE(LEFT(MID(K413,FIND("/",K413)+1,10),FIND("/",MID(K413,FIND("/",K413)+1,10))-1)),1),0))),0,1),1)+IFERROR(IF(M413&gt;=0,0,1),1)+IFERROR(IF(ISNUMBER(MATCH(N413,Lists!$B$2:$B$7,0)),0,1),1))=0,"OK","ERROR"))</f>
        <v>OK</v>
      </c>
      <c r="Q413" s="3" t="str">
        <f aca="false">IF(D413="","",TRIM(IF(IFERROR(IF(AND(TRIM(D413)=D413,LEN(D413)&gt;0),0,1),1)=1,"Name; ","")&amp;IF(IFERROR(IF(AND(LEN(E413)=10,ISNUMBER(VALUE(E413))),0,1),1)=1,"Phone; ","")&amp;IF(IFERROR(IF(AND(ISNUMBER(SEARCH("@",F413)),ISNUMBER(SEARCH(".",F413))),0,1),1)=1,"Email; ","")&amp;IF(IFERROR(IF(AND(LEN(J413)=6,ISNUMBER(VALUE(J413))),0,1),1)=1,"Pincode; ","")&amp;IF(IFERROR(IF(ISNUMBER(MATCH(TRIM(I413),Lists!$A$2:$A$20,0)),0,1),1)=1,"State; ","")&amp;IF(IFERROR(IF(AND(LEN(K413)=10,VALUE(LEFT(K413,FIND("/",K413)-1))&gt;=1,VALUE(LEFT(K413,FIND("/",K413)-1))&lt;=31,VALUE(LEFT(MID(K413,FIND("/",K413)+1,10),FIND("/",MID(K413,FIND("/",K413)+1,10))-1))&gt;=1,VALUE(LEFT(MID(K413,FIND("/",K413)+1,10),FIND("/",MID(K413,FIND("/",K413)+1,10))-1))&lt;=12,VALUE(LEFT(K413,FIND("/",K413)-1))&lt;=DAY(EOMONTH(DATE(VALUE(MID(MID(K413,FIND("/",K413)+1,10),FIND("/",MID(K413,FIND("/",K413)+1,10))+1,4)),VALUE(LEFT(MID(K413,FIND("/",K413)+1,10),FIND("/",MID(K413,FIND("/",K413)+1,10))-1)),1),0))),0,1),1)=1,"Date; ","")&amp;IF(IFERROR(IF(M413&gt;=0,0,1),1)=1,"Amount; ","")&amp;IF(IFERROR(IF(ISNUMBER(MATCH(N413,Lists!$B$2:$B$7,0)),0,1),1)=1,"Payment; ","")))</f>
        <v/>
      </c>
      <c r="R413" s="3" t="str">
        <f aca="false">IF(D413="","",IF(COUNTIFS($D$2:$D$701,D413,$E$2:$E$701,E413)&gt;1,"DUPLICATE","Unique"))</f>
        <v>Unique</v>
      </c>
    </row>
    <row r="414" customFormat="false" ht="15" hidden="false" customHeight="false" outlineLevel="0" collapsed="false">
      <c r="A414" s="3" t="n">
        <v>413</v>
      </c>
      <c r="B414" s="3" t="n">
        <v>9</v>
      </c>
      <c r="C414" s="3" t="s">
        <v>2969</v>
      </c>
      <c r="D414" s="3" t="s">
        <v>2970</v>
      </c>
      <c r="E414" s="3" t="s">
        <v>2971</v>
      </c>
      <c r="F414" s="3" t="s">
        <v>2972</v>
      </c>
      <c r="G414" s="3" t="s">
        <v>2973</v>
      </c>
      <c r="H414" s="3" t="s">
        <v>250</v>
      </c>
      <c r="I414" s="3" t="s">
        <v>65</v>
      </c>
      <c r="J414" s="3" t="s">
        <v>2974</v>
      </c>
      <c r="K414" s="3" t="s">
        <v>2975</v>
      </c>
      <c r="L414" s="3" t="s">
        <v>68</v>
      </c>
      <c r="M414" s="3" t="n">
        <v>14689.76</v>
      </c>
      <c r="N414" s="3" t="s">
        <v>46</v>
      </c>
      <c r="O414" s="3" t="n">
        <f aca="false">IFERROR(LEN(C414&amp;D414&amp;E414&amp;F414&amp;G414&amp;H414&amp;I414&amp;J414&amp;K414&amp;L414&amp;M414&amp;N414)/5,0)</f>
        <v>30.4</v>
      </c>
      <c r="P414" s="3" t="str">
        <f aca="false">IF(OR(D414="",C414=""),"",IF((IFERROR(IF(AND(TRIM(D414)=D414,LEN(D414)&gt;0),0,1),1)+IFERROR(IF(AND(LEN(E414)=10,ISNUMBER(VALUE(E414))),0,1),1)+IFERROR(IF(AND(ISNUMBER(SEARCH("@",F414)),ISNUMBER(SEARCH(".",F414))),0,1),1)+IFERROR(IF(AND(LEN(J414)=6,ISNUMBER(VALUE(J414))),0,1),1)+IFERROR(IF(ISNUMBER(MATCH(TRIM(I414),Lists!$A$2:$A$20,0)),0,1),1)+IFERROR(IF(AND(LEN(K414)=10,VALUE(LEFT(K414,FIND("/",K414)-1))&gt;=1,VALUE(LEFT(K414,FIND("/",K414)-1))&lt;=31,VALUE(LEFT(MID(K414,FIND("/",K414)+1,10),FIND("/",MID(K414,FIND("/",K414)+1,10))-1))&gt;=1,VALUE(LEFT(MID(K414,FIND("/",K414)+1,10),FIND("/",MID(K414,FIND("/",K414)+1,10))-1))&lt;=12,VALUE(LEFT(K414,FIND("/",K414)-1))&lt;=DAY(EOMONTH(DATE(VALUE(MID(MID(K414,FIND("/",K414)+1,10),FIND("/",MID(K414,FIND("/",K414)+1,10))+1,4)),VALUE(LEFT(MID(K414,FIND("/",K414)+1,10),FIND("/",MID(K414,FIND("/",K414)+1,10))-1)),1),0))),0,1),1)+IFERROR(IF(M414&gt;=0,0,1),1)+IFERROR(IF(ISNUMBER(MATCH(N414,Lists!$B$2:$B$7,0)),0,1),1))=0,"OK","ERROR"))</f>
        <v>OK</v>
      </c>
      <c r="Q414" s="3" t="str">
        <f aca="false">IF(D414="","",TRIM(IF(IFERROR(IF(AND(TRIM(D414)=D414,LEN(D414)&gt;0),0,1),1)=1,"Name; ","")&amp;IF(IFERROR(IF(AND(LEN(E414)=10,ISNUMBER(VALUE(E414))),0,1),1)=1,"Phone; ","")&amp;IF(IFERROR(IF(AND(ISNUMBER(SEARCH("@",F414)),ISNUMBER(SEARCH(".",F414))),0,1),1)=1,"Email; ","")&amp;IF(IFERROR(IF(AND(LEN(J414)=6,ISNUMBER(VALUE(J414))),0,1),1)=1,"Pincode; ","")&amp;IF(IFERROR(IF(ISNUMBER(MATCH(TRIM(I414),Lists!$A$2:$A$20,0)),0,1),1)=1,"State; ","")&amp;IF(IFERROR(IF(AND(LEN(K414)=10,VALUE(LEFT(K414,FIND("/",K414)-1))&gt;=1,VALUE(LEFT(K414,FIND("/",K414)-1))&lt;=31,VALUE(LEFT(MID(K414,FIND("/",K414)+1,10),FIND("/",MID(K414,FIND("/",K414)+1,10))-1))&gt;=1,VALUE(LEFT(MID(K414,FIND("/",K414)+1,10),FIND("/",MID(K414,FIND("/",K414)+1,10))-1))&lt;=12,VALUE(LEFT(K414,FIND("/",K414)-1))&lt;=DAY(EOMONTH(DATE(VALUE(MID(MID(K414,FIND("/",K414)+1,10),FIND("/",MID(K414,FIND("/",K414)+1,10))+1,4)),VALUE(LEFT(MID(K414,FIND("/",K414)+1,10),FIND("/",MID(K414,FIND("/",K414)+1,10))-1)),1),0))),0,1),1)=1,"Date; ","")&amp;IF(IFERROR(IF(M414&gt;=0,0,1),1)=1,"Amount; ","")&amp;IF(IFERROR(IF(ISNUMBER(MATCH(N414,Lists!$B$2:$B$7,0)),0,1),1)=1,"Payment; ","")))</f>
        <v/>
      </c>
      <c r="R414" s="3" t="str">
        <f aca="false">IF(D414="","",IF(COUNTIFS($D$2:$D$701,D414,$E$2:$E$701,E414)&gt;1,"DUPLICATE","Unique"))</f>
        <v>Unique</v>
      </c>
    </row>
    <row r="415" customFormat="false" ht="15" hidden="false" customHeight="false" outlineLevel="0" collapsed="false">
      <c r="A415" s="3" t="n">
        <v>414</v>
      </c>
      <c r="B415" s="3" t="n">
        <v>9</v>
      </c>
      <c r="C415" s="3" t="s">
        <v>2976</v>
      </c>
      <c r="D415" s="3" t="s">
        <v>2977</v>
      </c>
      <c r="E415" s="3" t="s">
        <v>2978</v>
      </c>
      <c r="F415" s="3" t="s">
        <v>2979</v>
      </c>
      <c r="G415" s="3" t="s">
        <v>2980</v>
      </c>
      <c r="H415" s="3" t="s">
        <v>502</v>
      </c>
      <c r="I415" s="3" t="s">
        <v>73</v>
      </c>
      <c r="J415" s="3" t="s">
        <v>2981</v>
      </c>
      <c r="K415" s="3" t="s">
        <v>2982</v>
      </c>
      <c r="L415" s="3" t="s">
        <v>47</v>
      </c>
      <c r="M415" s="3" t="n">
        <v>1424.85</v>
      </c>
      <c r="N415" s="3" t="s">
        <v>40</v>
      </c>
      <c r="O415" s="3" t="n">
        <f aca="false">IFERROR(LEN(C415&amp;D415&amp;E415&amp;F415&amp;G415&amp;H415&amp;I415&amp;J415&amp;K415&amp;L415&amp;M415&amp;N415)/5,0)</f>
        <v>25.8</v>
      </c>
      <c r="P415" s="3" t="str">
        <f aca="false">IF(OR(D415="",C415=""),"",IF((IFERROR(IF(AND(TRIM(D415)=D415,LEN(D415)&gt;0),0,1),1)+IFERROR(IF(AND(LEN(E415)=10,ISNUMBER(VALUE(E415))),0,1),1)+IFERROR(IF(AND(ISNUMBER(SEARCH("@",F415)),ISNUMBER(SEARCH(".",F415))),0,1),1)+IFERROR(IF(AND(LEN(J415)=6,ISNUMBER(VALUE(J415))),0,1),1)+IFERROR(IF(ISNUMBER(MATCH(TRIM(I415),Lists!$A$2:$A$20,0)),0,1),1)+IFERROR(IF(AND(LEN(K415)=10,VALUE(LEFT(K415,FIND("/",K415)-1))&gt;=1,VALUE(LEFT(K415,FIND("/",K415)-1))&lt;=31,VALUE(LEFT(MID(K415,FIND("/",K415)+1,10),FIND("/",MID(K415,FIND("/",K415)+1,10))-1))&gt;=1,VALUE(LEFT(MID(K415,FIND("/",K415)+1,10),FIND("/",MID(K415,FIND("/",K415)+1,10))-1))&lt;=12,VALUE(LEFT(K415,FIND("/",K415)-1))&lt;=DAY(EOMONTH(DATE(VALUE(MID(MID(K415,FIND("/",K415)+1,10),FIND("/",MID(K415,FIND("/",K415)+1,10))+1,4)),VALUE(LEFT(MID(K415,FIND("/",K415)+1,10),FIND("/",MID(K415,FIND("/",K415)+1,10))-1)),1),0))),0,1),1)+IFERROR(IF(M415&gt;=0,0,1),1)+IFERROR(IF(ISNUMBER(MATCH(N415,Lists!$B$2:$B$7,0)),0,1),1))=0,"OK","ERROR"))</f>
        <v>OK</v>
      </c>
      <c r="Q415" s="3" t="str">
        <f aca="false">IF(D415="","",TRIM(IF(IFERROR(IF(AND(TRIM(D415)=D415,LEN(D415)&gt;0),0,1),1)=1,"Name; ","")&amp;IF(IFERROR(IF(AND(LEN(E415)=10,ISNUMBER(VALUE(E415))),0,1),1)=1,"Phone; ","")&amp;IF(IFERROR(IF(AND(ISNUMBER(SEARCH("@",F415)),ISNUMBER(SEARCH(".",F415))),0,1),1)=1,"Email; ","")&amp;IF(IFERROR(IF(AND(LEN(J415)=6,ISNUMBER(VALUE(J415))),0,1),1)=1,"Pincode; ","")&amp;IF(IFERROR(IF(ISNUMBER(MATCH(TRIM(I415),Lists!$A$2:$A$20,0)),0,1),1)=1,"State; ","")&amp;IF(IFERROR(IF(AND(LEN(K415)=10,VALUE(LEFT(K415,FIND("/",K415)-1))&gt;=1,VALUE(LEFT(K415,FIND("/",K415)-1))&lt;=31,VALUE(LEFT(MID(K415,FIND("/",K415)+1,10),FIND("/",MID(K415,FIND("/",K415)+1,10))-1))&gt;=1,VALUE(LEFT(MID(K415,FIND("/",K415)+1,10),FIND("/",MID(K415,FIND("/",K415)+1,10))-1))&lt;=12,VALUE(LEFT(K415,FIND("/",K415)-1))&lt;=DAY(EOMONTH(DATE(VALUE(MID(MID(K415,FIND("/",K415)+1,10),FIND("/",MID(K415,FIND("/",K415)+1,10))+1,4)),VALUE(LEFT(MID(K415,FIND("/",K415)+1,10),FIND("/",MID(K415,FIND("/",K415)+1,10))-1)),1),0))),0,1),1)=1,"Date; ","")&amp;IF(IFERROR(IF(M415&gt;=0,0,1),1)=1,"Amount; ","")&amp;IF(IFERROR(IF(ISNUMBER(MATCH(N415,Lists!$B$2:$B$7,0)),0,1),1)=1,"Payment; ","")))</f>
        <v/>
      </c>
      <c r="R415" s="3" t="str">
        <f aca="false">IF(D415="","",IF(COUNTIFS($D$2:$D$701,D415,$E$2:$E$701,E415)&gt;1,"DUPLICATE","Unique"))</f>
        <v>Unique</v>
      </c>
    </row>
    <row r="416" customFormat="false" ht="15" hidden="false" customHeight="false" outlineLevel="0" collapsed="false">
      <c r="A416" s="3" t="n">
        <v>415</v>
      </c>
      <c r="B416" s="3" t="n">
        <v>9</v>
      </c>
      <c r="C416" s="3" t="s">
        <v>2983</v>
      </c>
      <c r="D416" s="3" t="s">
        <v>2984</v>
      </c>
      <c r="E416" s="3" t="s">
        <v>2985</v>
      </c>
      <c r="F416" s="3" t="s">
        <v>2986</v>
      </c>
      <c r="G416" s="3" t="s">
        <v>2987</v>
      </c>
      <c r="H416" s="3" t="s">
        <v>878</v>
      </c>
      <c r="I416" s="3" t="s">
        <v>61</v>
      </c>
      <c r="J416" s="3" t="s">
        <v>2988</v>
      </c>
      <c r="K416" s="3" t="s">
        <v>1663</v>
      </c>
      <c r="L416" s="3" t="s">
        <v>70</v>
      </c>
      <c r="M416" s="3" t="n">
        <v>3386.46</v>
      </c>
      <c r="N416" s="3" t="s">
        <v>43</v>
      </c>
      <c r="O416" s="3" t="n">
        <f aca="false">IFERROR(LEN(C416&amp;D416&amp;E416&amp;F416&amp;G416&amp;H416&amp;I416&amp;J416&amp;K416&amp;L416&amp;M416&amp;N416)/5,0)</f>
        <v>25.8</v>
      </c>
      <c r="P416" s="3" t="str">
        <f aca="false">IF(OR(D416="",C416=""),"",IF((IFERROR(IF(AND(TRIM(D416)=D416,LEN(D416)&gt;0),0,1),1)+IFERROR(IF(AND(LEN(E416)=10,ISNUMBER(VALUE(E416))),0,1),1)+IFERROR(IF(AND(ISNUMBER(SEARCH("@",F416)),ISNUMBER(SEARCH(".",F416))),0,1),1)+IFERROR(IF(AND(LEN(J416)=6,ISNUMBER(VALUE(J416))),0,1),1)+IFERROR(IF(ISNUMBER(MATCH(TRIM(I416),Lists!$A$2:$A$20,0)),0,1),1)+IFERROR(IF(AND(LEN(K416)=10,VALUE(LEFT(K416,FIND("/",K416)-1))&gt;=1,VALUE(LEFT(K416,FIND("/",K416)-1))&lt;=31,VALUE(LEFT(MID(K416,FIND("/",K416)+1,10),FIND("/",MID(K416,FIND("/",K416)+1,10))-1))&gt;=1,VALUE(LEFT(MID(K416,FIND("/",K416)+1,10),FIND("/",MID(K416,FIND("/",K416)+1,10))-1))&lt;=12,VALUE(LEFT(K416,FIND("/",K416)-1))&lt;=DAY(EOMONTH(DATE(VALUE(MID(MID(K416,FIND("/",K416)+1,10),FIND("/",MID(K416,FIND("/",K416)+1,10))+1,4)),VALUE(LEFT(MID(K416,FIND("/",K416)+1,10),FIND("/",MID(K416,FIND("/",K416)+1,10))-1)),1),0))),0,1),1)+IFERROR(IF(M416&gt;=0,0,1),1)+IFERROR(IF(ISNUMBER(MATCH(N416,Lists!$B$2:$B$7,0)),0,1),1))=0,"OK","ERROR"))</f>
        <v>OK</v>
      </c>
      <c r="Q416" s="3" t="str">
        <f aca="false">IF(D416="","",TRIM(IF(IFERROR(IF(AND(TRIM(D416)=D416,LEN(D416)&gt;0),0,1),1)=1,"Name; ","")&amp;IF(IFERROR(IF(AND(LEN(E416)=10,ISNUMBER(VALUE(E416))),0,1),1)=1,"Phone; ","")&amp;IF(IFERROR(IF(AND(ISNUMBER(SEARCH("@",F416)),ISNUMBER(SEARCH(".",F416))),0,1),1)=1,"Email; ","")&amp;IF(IFERROR(IF(AND(LEN(J416)=6,ISNUMBER(VALUE(J416))),0,1),1)=1,"Pincode; ","")&amp;IF(IFERROR(IF(ISNUMBER(MATCH(TRIM(I416),Lists!$A$2:$A$20,0)),0,1),1)=1,"State; ","")&amp;IF(IFERROR(IF(AND(LEN(K416)=10,VALUE(LEFT(K416,FIND("/",K416)-1))&gt;=1,VALUE(LEFT(K416,FIND("/",K416)-1))&lt;=31,VALUE(LEFT(MID(K416,FIND("/",K416)+1,10),FIND("/",MID(K416,FIND("/",K416)+1,10))-1))&gt;=1,VALUE(LEFT(MID(K416,FIND("/",K416)+1,10),FIND("/",MID(K416,FIND("/",K416)+1,10))-1))&lt;=12,VALUE(LEFT(K416,FIND("/",K416)-1))&lt;=DAY(EOMONTH(DATE(VALUE(MID(MID(K416,FIND("/",K416)+1,10),FIND("/",MID(K416,FIND("/",K416)+1,10))+1,4)),VALUE(LEFT(MID(K416,FIND("/",K416)+1,10),FIND("/",MID(K416,FIND("/",K416)+1,10))-1)),1),0))),0,1),1)=1,"Date; ","")&amp;IF(IFERROR(IF(M416&gt;=0,0,1),1)=1,"Amount; ","")&amp;IF(IFERROR(IF(ISNUMBER(MATCH(N416,Lists!$B$2:$B$7,0)),0,1),1)=1,"Payment; ","")))</f>
        <v/>
      </c>
      <c r="R416" s="3" t="str">
        <f aca="false">IF(D416="","",IF(COUNTIFS($D$2:$D$701,D416,$E$2:$E$701,E416)&gt;1,"DUPLICATE","Unique"))</f>
        <v>Unique</v>
      </c>
    </row>
    <row r="417" customFormat="false" ht="15" hidden="false" customHeight="false" outlineLevel="0" collapsed="false">
      <c r="A417" s="3" t="n">
        <v>416</v>
      </c>
      <c r="B417" s="3" t="n">
        <v>9</v>
      </c>
      <c r="C417" s="3" t="s">
        <v>2989</v>
      </c>
      <c r="D417" s="3" t="s">
        <v>2990</v>
      </c>
      <c r="E417" s="3" t="s">
        <v>2991</v>
      </c>
      <c r="F417" s="3" t="s">
        <v>2992</v>
      </c>
      <c r="G417" s="3" t="s">
        <v>2993</v>
      </c>
      <c r="H417" s="3" t="s">
        <v>1207</v>
      </c>
      <c r="I417" s="3" t="s">
        <v>67</v>
      </c>
      <c r="J417" s="3" t="s">
        <v>2994</v>
      </c>
      <c r="K417" s="3" t="s">
        <v>474</v>
      </c>
      <c r="L417" s="3" t="s">
        <v>56</v>
      </c>
      <c r="M417" s="3" t="n">
        <v>9079.46</v>
      </c>
      <c r="N417" s="3" t="s">
        <v>43</v>
      </c>
      <c r="O417" s="3" t="n">
        <f aca="false">IFERROR(LEN(C417&amp;D417&amp;E417&amp;F417&amp;G417&amp;H417&amp;I417&amp;J417&amp;K417&amp;L417&amp;M417&amp;N417)/5,0)</f>
        <v>28.6</v>
      </c>
      <c r="P417" s="3" t="str">
        <f aca="false">IF(OR(D417="",C417=""),"",IF((IFERROR(IF(AND(TRIM(D417)=D417,LEN(D417)&gt;0),0,1),1)+IFERROR(IF(AND(LEN(E417)=10,ISNUMBER(VALUE(E417))),0,1),1)+IFERROR(IF(AND(ISNUMBER(SEARCH("@",F417)),ISNUMBER(SEARCH(".",F417))),0,1),1)+IFERROR(IF(AND(LEN(J417)=6,ISNUMBER(VALUE(J417))),0,1),1)+IFERROR(IF(ISNUMBER(MATCH(TRIM(I417),Lists!$A$2:$A$20,0)),0,1),1)+IFERROR(IF(AND(LEN(K417)=10,VALUE(LEFT(K417,FIND("/",K417)-1))&gt;=1,VALUE(LEFT(K417,FIND("/",K417)-1))&lt;=31,VALUE(LEFT(MID(K417,FIND("/",K417)+1,10),FIND("/",MID(K417,FIND("/",K417)+1,10))-1))&gt;=1,VALUE(LEFT(MID(K417,FIND("/",K417)+1,10),FIND("/",MID(K417,FIND("/",K417)+1,10))-1))&lt;=12,VALUE(LEFT(K417,FIND("/",K417)-1))&lt;=DAY(EOMONTH(DATE(VALUE(MID(MID(K417,FIND("/",K417)+1,10),FIND("/",MID(K417,FIND("/",K417)+1,10))+1,4)),VALUE(LEFT(MID(K417,FIND("/",K417)+1,10),FIND("/",MID(K417,FIND("/",K417)+1,10))-1)),1),0))),0,1),1)+IFERROR(IF(M417&gt;=0,0,1),1)+IFERROR(IF(ISNUMBER(MATCH(N417,Lists!$B$2:$B$7,0)),0,1),1))=0,"OK","ERROR"))</f>
        <v>OK</v>
      </c>
      <c r="Q417" s="3" t="str">
        <f aca="false">IF(D417="","",TRIM(IF(IFERROR(IF(AND(TRIM(D417)=D417,LEN(D417)&gt;0),0,1),1)=1,"Name; ","")&amp;IF(IFERROR(IF(AND(LEN(E417)=10,ISNUMBER(VALUE(E417))),0,1),1)=1,"Phone; ","")&amp;IF(IFERROR(IF(AND(ISNUMBER(SEARCH("@",F417)),ISNUMBER(SEARCH(".",F417))),0,1),1)=1,"Email; ","")&amp;IF(IFERROR(IF(AND(LEN(J417)=6,ISNUMBER(VALUE(J417))),0,1),1)=1,"Pincode; ","")&amp;IF(IFERROR(IF(ISNUMBER(MATCH(TRIM(I417),Lists!$A$2:$A$20,0)),0,1),1)=1,"State; ","")&amp;IF(IFERROR(IF(AND(LEN(K417)=10,VALUE(LEFT(K417,FIND("/",K417)-1))&gt;=1,VALUE(LEFT(K417,FIND("/",K417)-1))&lt;=31,VALUE(LEFT(MID(K417,FIND("/",K417)+1,10),FIND("/",MID(K417,FIND("/",K417)+1,10))-1))&gt;=1,VALUE(LEFT(MID(K417,FIND("/",K417)+1,10),FIND("/",MID(K417,FIND("/",K417)+1,10))-1))&lt;=12,VALUE(LEFT(K417,FIND("/",K417)-1))&lt;=DAY(EOMONTH(DATE(VALUE(MID(MID(K417,FIND("/",K417)+1,10),FIND("/",MID(K417,FIND("/",K417)+1,10))+1,4)),VALUE(LEFT(MID(K417,FIND("/",K417)+1,10),FIND("/",MID(K417,FIND("/",K417)+1,10))-1)),1),0))),0,1),1)=1,"Date; ","")&amp;IF(IFERROR(IF(M417&gt;=0,0,1),1)=1,"Amount; ","")&amp;IF(IFERROR(IF(ISNUMBER(MATCH(N417,Lists!$B$2:$B$7,0)),0,1),1)=1,"Payment; ","")))</f>
        <v/>
      </c>
      <c r="R417" s="3" t="str">
        <f aca="false">IF(D417="","",IF(COUNTIFS($D$2:$D$701,D417,$E$2:$E$701,E417)&gt;1,"DUPLICATE","Unique"))</f>
        <v>Unique</v>
      </c>
    </row>
    <row r="418" customFormat="false" ht="15" hidden="false" customHeight="false" outlineLevel="0" collapsed="false">
      <c r="A418" s="3" t="n">
        <v>417</v>
      </c>
      <c r="B418" s="3" t="n">
        <v>9</v>
      </c>
      <c r="C418" s="3" t="s">
        <v>2995</v>
      </c>
      <c r="D418" s="3" t="s">
        <v>2996</v>
      </c>
      <c r="E418" s="3" t="s">
        <v>2997</v>
      </c>
      <c r="F418" s="3" t="s">
        <v>2998</v>
      </c>
      <c r="G418" s="3" t="s">
        <v>2999</v>
      </c>
      <c r="H418" s="3" t="s">
        <v>863</v>
      </c>
      <c r="I418" s="3" t="s">
        <v>57</v>
      </c>
      <c r="J418" s="3" t="s">
        <v>3000</v>
      </c>
      <c r="K418" s="3" t="s">
        <v>3001</v>
      </c>
      <c r="L418" s="3" t="s">
        <v>66</v>
      </c>
      <c r="M418" s="3" t="n">
        <v>13077.34</v>
      </c>
      <c r="N418" s="3" t="s">
        <v>55</v>
      </c>
      <c r="O418" s="3" t="n">
        <f aca="false">IFERROR(LEN(C418&amp;D418&amp;E418&amp;F418&amp;G418&amp;H418&amp;I418&amp;J418&amp;K418&amp;L418&amp;M418&amp;N418)/5,0)</f>
        <v>29.4</v>
      </c>
      <c r="P418" s="3" t="str">
        <f aca="false">IF(OR(D418="",C418=""),"",IF((IFERROR(IF(AND(TRIM(D418)=D418,LEN(D418)&gt;0),0,1),1)+IFERROR(IF(AND(LEN(E418)=10,ISNUMBER(VALUE(E418))),0,1),1)+IFERROR(IF(AND(ISNUMBER(SEARCH("@",F418)),ISNUMBER(SEARCH(".",F418))),0,1),1)+IFERROR(IF(AND(LEN(J418)=6,ISNUMBER(VALUE(J418))),0,1),1)+IFERROR(IF(ISNUMBER(MATCH(TRIM(I418),Lists!$A$2:$A$20,0)),0,1),1)+IFERROR(IF(AND(LEN(K418)=10,VALUE(LEFT(K418,FIND("/",K418)-1))&gt;=1,VALUE(LEFT(K418,FIND("/",K418)-1))&lt;=31,VALUE(LEFT(MID(K418,FIND("/",K418)+1,10),FIND("/",MID(K418,FIND("/",K418)+1,10))-1))&gt;=1,VALUE(LEFT(MID(K418,FIND("/",K418)+1,10),FIND("/",MID(K418,FIND("/",K418)+1,10))-1))&lt;=12,VALUE(LEFT(K418,FIND("/",K418)-1))&lt;=DAY(EOMONTH(DATE(VALUE(MID(MID(K418,FIND("/",K418)+1,10),FIND("/",MID(K418,FIND("/",K418)+1,10))+1,4)),VALUE(LEFT(MID(K418,FIND("/",K418)+1,10),FIND("/",MID(K418,FIND("/",K418)+1,10))-1)),1),0))),0,1),1)+IFERROR(IF(M418&gt;=0,0,1),1)+IFERROR(IF(ISNUMBER(MATCH(N418,Lists!$B$2:$B$7,0)),0,1),1))=0,"OK","ERROR"))</f>
        <v>OK</v>
      </c>
      <c r="Q418" s="3" t="str">
        <f aca="false">IF(D418="","",TRIM(IF(IFERROR(IF(AND(TRIM(D418)=D418,LEN(D418)&gt;0),0,1),1)=1,"Name; ","")&amp;IF(IFERROR(IF(AND(LEN(E418)=10,ISNUMBER(VALUE(E418))),0,1),1)=1,"Phone; ","")&amp;IF(IFERROR(IF(AND(ISNUMBER(SEARCH("@",F418)),ISNUMBER(SEARCH(".",F418))),0,1),1)=1,"Email; ","")&amp;IF(IFERROR(IF(AND(LEN(J418)=6,ISNUMBER(VALUE(J418))),0,1),1)=1,"Pincode; ","")&amp;IF(IFERROR(IF(ISNUMBER(MATCH(TRIM(I418),Lists!$A$2:$A$20,0)),0,1),1)=1,"State; ","")&amp;IF(IFERROR(IF(AND(LEN(K418)=10,VALUE(LEFT(K418,FIND("/",K418)-1))&gt;=1,VALUE(LEFT(K418,FIND("/",K418)-1))&lt;=31,VALUE(LEFT(MID(K418,FIND("/",K418)+1,10),FIND("/",MID(K418,FIND("/",K418)+1,10))-1))&gt;=1,VALUE(LEFT(MID(K418,FIND("/",K418)+1,10),FIND("/",MID(K418,FIND("/",K418)+1,10))-1))&lt;=12,VALUE(LEFT(K418,FIND("/",K418)-1))&lt;=DAY(EOMONTH(DATE(VALUE(MID(MID(K418,FIND("/",K418)+1,10),FIND("/",MID(K418,FIND("/",K418)+1,10))+1,4)),VALUE(LEFT(MID(K418,FIND("/",K418)+1,10),FIND("/",MID(K418,FIND("/",K418)+1,10))-1)),1),0))),0,1),1)=1,"Date; ","")&amp;IF(IFERROR(IF(M418&gt;=0,0,1),1)=1,"Amount; ","")&amp;IF(IFERROR(IF(ISNUMBER(MATCH(N418,Lists!$B$2:$B$7,0)),0,1),1)=1,"Payment; ","")))</f>
        <v/>
      </c>
      <c r="R418" s="3" t="str">
        <f aca="false">IF(D418="","",IF(COUNTIFS($D$2:$D$701,D418,$E$2:$E$701,E418)&gt;1,"DUPLICATE","Unique"))</f>
        <v>Unique</v>
      </c>
    </row>
    <row r="419" customFormat="false" ht="15" hidden="false" customHeight="false" outlineLevel="0" collapsed="false">
      <c r="A419" s="3" t="n">
        <v>418</v>
      </c>
      <c r="B419" s="3" t="n">
        <v>9</v>
      </c>
      <c r="C419" s="3" t="s">
        <v>3002</v>
      </c>
      <c r="D419" s="3" t="s">
        <v>3003</v>
      </c>
      <c r="E419" s="3" t="s">
        <v>3004</v>
      </c>
      <c r="F419" s="3" t="s">
        <v>3005</v>
      </c>
      <c r="G419" s="3" t="s">
        <v>3006</v>
      </c>
      <c r="H419" s="3" t="s">
        <v>1207</v>
      </c>
      <c r="I419" s="3" t="s">
        <v>67</v>
      </c>
      <c r="J419" s="3" t="s">
        <v>3007</v>
      </c>
      <c r="K419" s="3" t="s">
        <v>3008</v>
      </c>
      <c r="L419" s="3" t="s">
        <v>70</v>
      </c>
      <c r="M419" s="3" t="n">
        <v>14165.68</v>
      </c>
      <c r="N419" s="3" t="s">
        <v>46</v>
      </c>
      <c r="O419" s="3" t="n">
        <f aca="false">IFERROR(LEN(C419&amp;D419&amp;E419&amp;F419&amp;G419&amp;H419&amp;I419&amp;J419&amp;K419&amp;L419&amp;M419&amp;N419)/5,0)</f>
        <v>27.6</v>
      </c>
      <c r="P419" s="3" t="str">
        <f aca="false">IF(OR(D419="",C419=""),"",IF((IFERROR(IF(AND(TRIM(D419)=D419,LEN(D419)&gt;0),0,1),1)+IFERROR(IF(AND(LEN(E419)=10,ISNUMBER(VALUE(E419))),0,1),1)+IFERROR(IF(AND(ISNUMBER(SEARCH("@",F419)),ISNUMBER(SEARCH(".",F419))),0,1),1)+IFERROR(IF(AND(LEN(J419)=6,ISNUMBER(VALUE(J419))),0,1),1)+IFERROR(IF(ISNUMBER(MATCH(TRIM(I419),Lists!$A$2:$A$20,0)),0,1),1)+IFERROR(IF(AND(LEN(K419)=10,VALUE(LEFT(K419,FIND("/",K419)-1))&gt;=1,VALUE(LEFT(K419,FIND("/",K419)-1))&lt;=31,VALUE(LEFT(MID(K419,FIND("/",K419)+1,10),FIND("/",MID(K419,FIND("/",K419)+1,10))-1))&gt;=1,VALUE(LEFT(MID(K419,FIND("/",K419)+1,10),FIND("/",MID(K419,FIND("/",K419)+1,10))-1))&lt;=12,VALUE(LEFT(K419,FIND("/",K419)-1))&lt;=DAY(EOMONTH(DATE(VALUE(MID(MID(K419,FIND("/",K419)+1,10),FIND("/",MID(K419,FIND("/",K419)+1,10))+1,4)),VALUE(LEFT(MID(K419,FIND("/",K419)+1,10),FIND("/",MID(K419,FIND("/",K419)+1,10))-1)),1),0))),0,1),1)+IFERROR(IF(M419&gt;=0,0,1),1)+IFERROR(IF(ISNUMBER(MATCH(N419,Lists!$B$2:$B$7,0)),0,1),1))=0,"OK","ERROR"))</f>
        <v>OK</v>
      </c>
      <c r="Q419" s="3" t="str">
        <f aca="false">IF(D419="","",TRIM(IF(IFERROR(IF(AND(TRIM(D419)=D419,LEN(D419)&gt;0),0,1),1)=1,"Name; ","")&amp;IF(IFERROR(IF(AND(LEN(E419)=10,ISNUMBER(VALUE(E419))),0,1),1)=1,"Phone; ","")&amp;IF(IFERROR(IF(AND(ISNUMBER(SEARCH("@",F419)),ISNUMBER(SEARCH(".",F419))),0,1),1)=1,"Email; ","")&amp;IF(IFERROR(IF(AND(LEN(J419)=6,ISNUMBER(VALUE(J419))),0,1),1)=1,"Pincode; ","")&amp;IF(IFERROR(IF(ISNUMBER(MATCH(TRIM(I419),Lists!$A$2:$A$20,0)),0,1),1)=1,"State; ","")&amp;IF(IFERROR(IF(AND(LEN(K419)=10,VALUE(LEFT(K419,FIND("/",K419)-1))&gt;=1,VALUE(LEFT(K419,FIND("/",K419)-1))&lt;=31,VALUE(LEFT(MID(K419,FIND("/",K419)+1,10),FIND("/",MID(K419,FIND("/",K419)+1,10))-1))&gt;=1,VALUE(LEFT(MID(K419,FIND("/",K419)+1,10),FIND("/",MID(K419,FIND("/",K419)+1,10))-1))&lt;=12,VALUE(LEFT(K419,FIND("/",K419)-1))&lt;=DAY(EOMONTH(DATE(VALUE(MID(MID(K419,FIND("/",K419)+1,10),FIND("/",MID(K419,FIND("/",K419)+1,10))+1,4)),VALUE(LEFT(MID(K419,FIND("/",K419)+1,10),FIND("/",MID(K419,FIND("/",K419)+1,10))-1)),1),0))),0,1),1)=1,"Date; ","")&amp;IF(IFERROR(IF(M419&gt;=0,0,1),1)=1,"Amount; ","")&amp;IF(IFERROR(IF(ISNUMBER(MATCH(N419,Lists!$B$2:$B$7,0)),0,1),1)=1,"Payment; ","")))</f>
        <v/>
      </c>
      <c r="R419" s="3" t="str">
        <f aca="false">IF(D419="","",IF(COUNTIFS($D$2:$D$701,D419,$E$2:$E$701,E419)&gt;1,"DUPLICATE","Unique"))</f>
        <v>Unique</v>
      </c>
    </row>
    <row r="420" customFormat="false" ht="15" hidden="false" customHeight="false" outlineLevel="0" collapsed="false">
      <c r="A420" s="3" t="n">
        <v>419</v>
      </c>
      <c r="B420" s="3" t="n">
        <v>9</v>
      </c>
      <c r="C420" s="3" t="s">
        <v>3009</v>
      </c>
      <c r="D420" s="3" t="s">
        <v>3010</v>
      </c>
      <c r="E420" s="3" t="s">
        <v>3011</v>
      </c>
      <c r="F420" s="3" t="s">
        <v>3012</v>
      </c>
      <c r="G420" s="3" t="s">
        <v>3013</v>
      </c>
      <c r="H420" s="3" t="s">
        <v>819</v>
      </c>
      <c r="I420" s="3" t="s">
        <v>75</v>
      </c>
      <c r="J420" s="3" t="s">
        <v>3014</v>
      </c>
      <c r="K420" s="3" t="s">
        <v>3015</v>
      </c>
      <c r="L420" s="3" t="s">
        <v>44</v>
      </c>
      <c r="M420" s="3" t="n">
        <v>1145.78</v>
      </c>
      <c r="N420" s="3" t="s">
        <v>46</v>
      </c>
      <c r="O420" s="3" t="n">
        <f aca="false">IFERROR(LEN(C420&amp;D420&amp;E420&amp;F420&amp;G420&amp;H420&amp;I420&amp;J420&amp;K420&amp;L420&amp;M420&amp;N420)/5,0)</f>
        <v>26.6</v>
      </c>
      <c r="P420" s="3" t="str">
        <f aca="false">IF(OR(D420="",C420=""),"",IF((IFERROR(IF(AND(TRIM(D420)=D420,LEN(D420)&gt;0),0,1),1)+IFERROR(IF(AND(LEN(E420)=10,ISNUMBER(VALUE(E420))),0,1),1)+IFERROR(IF(AND(ISNUMBER(SEARCH("@",F420)),ISNUMBER(SEARCH(".",F420))),0,1),1)+IFERROR(IF(AND(LEN(J420)=6,ISNUMBER(VALUE(J420))),0,1),1)+IFERROR(IF(ISNUMBER(MATCH(TRIM(I420),Lists!$A$2:$A$20,0)),0,1),1)+IFERROR(IF(AND(LEN(K420)=10,VALUE(LEFT(K420,FIND("/",K420)-1))&gt;=1,VALUE(LEFT(K420,FIND("/",K420)-1))&lt;=31,VALUE(LEFT(MID(K420,FIND("/",K420)+1,10),FIND("/",MID(K420,FIND("/",K420)+1,10))-1))&gt;=1,VALUE(LEFT(MID(K420,FIND("/",K420)+1,10),FIND("/",MID(K420,FIND("/",K420)+1,10))-1))&lt;=12,VALUE(LEFT(K420,FIND("/",K420)-1))&lt;=DAY(EOMONTH(DATE(VALUE(MID(MID(K420,FIND("/",K420)+1,10),FIND("/",MID(K420,FIND("/",K420)+1,10))+1,4)),VALUE(LEFT(MID(K420,FIND("/",K420)+1,10),FIND("/",MID(K420,FIND("/",K420)+1,10))-1)),1),0))),0,1),1)+IFERROR(IF(M420&gt;=0,0,1),1)+IFERROR(IF(ISNUMBER(MATCH(N420,Lists!$B$2:$B$7,0)),0,1),1))=0,"OK","ERROR"))</f>
        <v>OK</v>
      </c>
      <c r="Q420" s="3" t="str">
        <f aca="false">IF(D420="","",TRIM(IF(IFERROR(IF(AND(TRIM(D420)=D420,LEN(D420)&gt;0),0,1),1)=1,"Name; ","")&amp;IF(IFERROR(IF(AND(LEN(E420)=10,ISNUMBER(VALUE(E420))),0,1),1)=1,"Phone; ","")&amp;IF(IFERROR(IF(AND(ISNUMBER(SEARCH("@",F420)),ISNUMBER(SEARCH(".",F420))),0,1),1)=1,"Email; ","")&amp;IF(IFERROR(IF(AND(LEN(J420)=6,ISNUMBER(VALUE(J420))),0,1),1)=1,"Pincode; ","")&amp;IF(IFERROR(IF(ISNUMBER(MATCH(TRIM(I420),Lists!$A$2:$A$20,0)),0,1),1)=1,"State; ","")&amp;IF(IFERROR(IF(AND(LEN(K420)=10,VALUE(LEFT(K420,FIND("/",K420)-1))&gt;=1,VALUE(LEFT(K420,FIND("/",K420)-1))&lt;=31,VALUE(LEFT(MID(K420,FIND("/",K420)+1,10),FIND("/",MID(K420,FIND("/",K420)+1,10))-1))&gt;=1,VALUE(LEFT(MID(K420,FIND("/",K420)+1,10),FIND("/",MID(K420,FIND("/",K420)+1,10))-1))&lt;=12,VALUE(LEFT(K420,FIND("/",K420)-1))&lt;=DAY(EOMONTH(DATE(VALUE(MID(MID(K420,FIND("/",K420)+1,10),FIND("/",MID(K420,FIND("/",K420)+1,10))+1,4)),VALUE(LEFT(MID(K420,FIND("/",K420)+1,10),FIND("/",MID(K420,FIND("/",K420)+1,10))-1)),1),0))),0,1),1)=1,"Date; ","")&amp;IF(IFERROR(IF(M420&gt;=0,0,1),1)=1,"Amount; ","")&amp;IF(IFERROR(IF(ISNUMBER(MATCH(N420,Lists!$B$2:$B$7,0)),0,1),1)=1,"Payment; ","")))</f>
        <v/>
      </c>
      <c r="R420" s="3" t="str">
        <f aca="false">IF(D420="","",IF(COUNTIFS($D$2:$D$701,D420,$E$2:$E$701,E420)&gt;1,"DUPLICATE","Unique"))</f>
        <v>Unique</v>
      </c>
    </row>
    <row r="421" customFormat="false" ht="15" hidden="false" customHeight="false" outlineLevel="0" collapsed="false">
      <c r="A421" s="3" t="n">
        <v>420</v>
      </c>
      <c r="B421" s="3" t="n">
        <v>9</v>
      </c>
      <c r="C421" s="3" t="s">
        <v>3016</v>
      </c>
      <c r="D421" s="3" t="s">
        <v>3017</v>
      </c>
      <c r="E421" s="3" t="s">
        <v>3018</v>
      </c>
      <c r="F421" s="3" t="s">
        <v>3019</v>
      </c>
      <c r="G421" s="3" t="s">
        <v>3020</v>
      </c>
      <c r="H421" s="3" t="s">
        <v>340</v>
      </c>
      <c r="I421" s="3" t="s">
        <v>75</v>
      </c>
      <c r="J421" s="3" t="s">
        <v>3021</v>
      </c>
      <c r="K421" s="3" t="s">
        <v>3022</v>
      </c>
      <c r="L421" s="3" t="s">
        <v>56</v>
      </c>
      <c r="M421" s="3" t="n">
        <v>4026.53</v>
      </c>
      <c r="N421" s="3" t="s">
        <v>52</v>
      </c>
      <c r="O421" s="3" t="n">
        <f aca="false">IFERROR(LEN(C421&amp;D421&amp;E421&amp;F421&amp;G421&amp;H421&amp;I421&amp;J421&amp;K421&amp;L421&amp;M421&amp;N421)/5,0)</f>
        <v>26.6</v>
      </c>
      <c r="P421" s="3" t="str">
        <f aca="false">IF(OR(D421="",C421=""),"",IF((IFERROR(IF(AND(TRIM(D421)=D421,LEN(D421)&gt;0),0,1),1)+IFERROR(IF(AND(LEN(E421)=10,ISNUMBER(VALUE(E421))),0,1),1)+IFERROR(IF(AND(ISNUMBER(SEARCH("@",F421)),ISNUMBER(SEARCH(".",F421))),0,1),1)+IFERROR(IF(AND(LEN(J421)=6,ISNUMBER(VALUE(J421))),0,1),1)+IFERROR(IF(ISNUMBER(MATCH(TRIM(I421),Lists!$A$2:$A$20,0)),0,1),1)+IFERROR(IF(AND(LEN(K421)=10,VALUE(LEFT(K421,FIND("/",K421)-1))&gt;=1,VALUE(LEFT(K421,FIND("/",K421)-1))&lt;=31,VALUE(LEFT(MID(K421,FIND("/",K421)+1,10),FIND("/",MID(K421,FIND("/",K421)+1,10))-1))&gt;=1,VALUE(LEFT(MID(K421,FIND("/",K421)+1,10),FIND("/",MID(K421,FIND("/",K421)+1,10))-1))&lt;=12,VALUE(LEFT(K421,FIND("/",K421)-1))&lt;=DAY(EOMONTH(DATE(VALUE(MID(MID(K421,FIND("/",K421)+1,10),FIND("/",MID(K421,FIND("/",K421)+1,10))+1,4)),VALUE(LEFT(MID(K421,FIND("/",K421)+1,10),FIND("/",MID(K421,FIND("/",K421)+1,10))-1)),1),0))),0,1),1)+IFERROR(IF(M421&gt;=0,0,1),1)+IFERROR(IF(ISNUMBER(MATCH(N421,Lists!$B$2:$B$7,0)),0,1),1))=0,"OK","ERROR"))</f>
        <v>OK</v>
      </c>
      <c r="Q421" s="3" t="str">
        <f aca="false">IF(D421="","",TRIM(IF(IFERROR(IF(AND(TRIM(D421)=D421,LEN(D421)&gt;0),0,1),1)=1,"Name; ","")&amp;IF(IFERROR(IF(AND(LEN(E421)=10,ISNUMBER(VALUE(E421))),0,1),1)=1,"Phone; ","")&amp;IF(IFERROR(IF(AND(ISNUMBER(SEARCH("@",F421)),ISNUMBER(SEARCH(".",F421))),0,1),1)=1,"Email; ","")&amp;IF(IFERROR(IF(AND(LEN(J421)=6,ISNUMBER(VALUE(J421))),0,1),1)=1,"Pincode; ","")&amp;IF(IFERROR(IF(ISNUMBER(MATCH(TRIM(I421),Lists!$A$2:$A$20,0)),0,1),1)=1,"State; ","")&amp;IF(IFERROR(IF(AND(LEN(K421)=10,VALUE(LEFT(K421,FIND("/",K421)-1))&gt;=1,VALUE(LEFT(K421,FIND("/",K421)-1))&lt;=31,VALUE(LEFT(MID(K421,FIND("/",K421)+1,10),FIND("/",MID(K421,FIND("/",K421)+1,10))-1))&gt;=1,VALUE(LEFT(MID(K421,FIND("/",K421)+1,10),FIND("/",MID(K421,FIND("/",K421)+1,10))-1))&lt;=12,VALUE(LEFT(K421,FIND("/",K421)-1))&lt;=DAY(EOMONTH(DATE(VALUE(MID(MID(K421,FIND("/",K421)+1,10),FIND("/",MID(K421,FIND("/",K421)+1,10))+1,4)),VALUE(LEFT(MID(K421,FIND("/",K421)+1,10),FIND("/",MID(K421,FIND("/",K421)+1,10))-1)),1),0))),0,1),1)=1,"Date; ","")&amp;IF(IFERROR(IF(M421&gt;=0,0,1),1)=1,"Amount; ","")&amp;IF(IFERROR(IF(ISNUMBER(MATCH(N421,Lists!$B$2:$B$7,0)),0,1),1)=1,"Payment; ","")))</f>
        <v/>
      </c>
      <c r="R421" s="3" t="str">
        <f aca="false">IF(D421="","",IF(COUNTIFS($D$2:$D$701,D421,$E$2:$E$701,E421)&gt;1,"DUPLICATE","Unique"))</f>
        <v>Unique</v>
      </c>
    </row>
    <row r="422" customFormat="false" ht="15" hidden="false" customHeight="false" outlineLevel="0" collapsed="false">
      <c r="A422" s="3" t="n">
        <v>421</v>
      </c>
      <c r="B422" s="3" t="n">
        <v>9</v>
      </c>
      <c r="C422" s="3" t="s">
        <v>3023</v>
      </c>
      <c r="D422" s="3" t="s">
        <v>3024</v>
      </c>
      <c r="E422" s="3" t="s">
        <v>3025</v>
      </c>
      <c r="F422" s="3" t="s">
        <v>3026</v>
      </c>
      <c r="G422" s="3" t="s">
        <v>3027</v>
      </c>
      <c r="H422" s="3" t="s">
        <v>370</v>
      </c>
      <c r="I422" s="3" t="s">
        <v>42</v>
      </c>
      <c r="J422" s="3" t="s">
        <v>3028</v>
      </c>
      <c r="K422" s="3" t="s">
        <v>1790</v>
      </c>
      <c r="L422" s="3" t="s">
        <v>47</v>
      </c>
      <c r="M422" s="3" t="n">
        <v>9562.56</v>
      </c>
      <c r="N422" s="3" t="s">
        <v>43</v>
      </c>
      <c r="O422" s="3" t="n">
        <f aca="false">IFERROR(LEN(C422&amp;D422&amp;E422&amp;F422&amp;G422&amp;H422&amp;I422&amp;J422&amp;K422&amp;L422&amp;M422&amp;N422)/5,0)</f>
        <v>29.2</v>
      </c>
      <c r="P422" s="3" t="str">
        <f aca="false">IF(OR(D422="",C422=""),"",IF((IFERROR(IF(AND(TRIM(D422)=D422,LEN(D422)&gt;0),0,1),1)+IFERROR(IF(AND(LEN(E422)=10,ISNUMBER(VALUE(E422))),0,1),1)+IFERROR(IF(AND(ISNUMBER(SEARCH("@",F422)),ISNUMBER(SEARCH(".",F422))),0,1),1)+IFERROR(IF(AND(LEN(J422)=6,ISNUMBER(VALUE(J422))),0,1),1)+IFERROR(IF(ISNUMBER(MATCH(TRIM(I422),Lists!$A$2:$A$20,0)),0,1),1)+IFERROR(IF(AND(LEN(K422)=10,VALUE(LEFT(K422,FIND("/",K422)-1))&gt;=1,VALUE(LEFT(K422,FIND("/",K422)-1))&lt;=31,VALUE(LEFT(MID(K422,FIND("/",K422)+1,10),FIND("/",MID(K422,FIND("/",K422)+1,10))-1))&gt;=1,VALUE(LEFT(MID(K422,FIND("/",K422)+1,10),FIND("/",MID(K422,FIND("/",K422)+1,10))-1))&lt;=12,VALUE(LEFT(K422,FIND("/",K422)-1))&lt;=DAY(EOMONTH(DATE(VALUE(MID(MID(K422,FIND("/",K422)+1,10),FIND("/",MID(K422,FIND("/",K422)+1,10))+1,4)),VALUE(LEFT(MID(K422,FIND("/",K422)+1,10),FIND("/",MID(K422,FIND("/",K422)+1,10))-1)),1),0))),0,1),1)+IFERROR(IF(M422&gt;=0,0,1),1)+IFERROR(IF(ISNUMBER(MATCH(N422,Lists!$B$2:$B$7,0)),0,1),1))=0,"OK","ERROR"))</f>
        <v>OK</v>
      </c>
      <c r="Q422" s="3" t="str">
        <f aca="false">IF(D422="","",TRIM(IF(IFERROR(IF(AND(TRIM(D422)=D422,LEN(D422)&gt;0),0,1),1)=1,"Name; ","")&amp;IF(IFERROR(IF(AND(LEN(E422)=10,ISNUMBER(VALUE(E422))),0,1),1)=1,"Phone; ","")&amp;IF(IFERROR(IF(AND(ISNUMBER(SEARCH("@",F422)),ISNUMBER(SEARCH(".",F422))),0,1),1)=1,"Email; ","")&amp;IF(IFERROR(IF(AND(LEN(J422)=6,ISNUMBER(VALUE(J422))),0,1),1)=1,"Pincode; ","")&amp;IF(IFERROR(IF(ISNUMBER(MATCH(TRIM(I422),Lists!$A$2:$A$20,0)),0,1),1)=1,"State; ","")&amp;IF(IFERROR(IF(AND(LEN(K422)=10,VALUE(LEFT(K422,FIND("/",K422)-1))&gt;=1,VALUE(LEFT(K422,FIND("/",K422)-1))&lt;=31,VALUE(LEFT(MID(K422,FIND("/",K422)+1,10),FIND("/",MID(K422,FIND("/",K422)+1,10))-1))&gt;=1,VALUE(LEFT(MID(K422,FIND("/",K422)+1,10),FIND("/",MID(K422,FIND("/",K422)+1,10))-1))&lt;=12,VALUE(LEFT(K422,FIND("/",K422)-1))&lt;=DAY(EOMONTH(DATE(VALUE(MID(MID(K422,FIND("/",K422)+1,10),FIND("/",MID(K422,FIND("/",K422)+1,10))+1,4)),VALUE(LEFT(MID(K422,FIND("/",K422)+1,10),FIND("/",MID(K422,FIND("/",K422)+1,10))-1)),1),0))),0,1),1)=1,"Date; ","")&amp;IF(IFERROR(IF(M422&gt;=0,0,1),1)=1,"Amount; ","")&amp;IF(IFERROR(IF(ISNUMBER(MATCH(N422,Lists!$B$2:$B$7,0)),0,1),1)=1,"Payment; ","")))</f>
        <v/>
      </c>
      <c r="R422" s="3" t="str">
        <f aca="false">IF(D422="","",IF(COUNTIFS($D$2:$D$701,D422,$E$2:$E$701,E422)&gt;1,"DUPLICATE","Unique"))</f>
        <v>Unique</v>
      </c>
    </row>
    <row r="423" customFormat="false" ht="15" hidden="false" customHeight="false" outlineLevel="0" collapsed="false">
      <c r="A423" s="3" t="n">
        <v>422</v>
      </c>
      <c r="B423" s="3" t="n">
        <v>9</v>
      </c>
      <c r="C423" s="3" t="s">
        <v>3029</v>
      </c>
      <c r="D423" s="3" t="s">
        <v>3030</v>
      </c>
      <c r="E423" s="3" t="s">
        <v>3031</v>
      </c>
      <c r="F423" s="3" t="s">
        <v>3032</v>
      </c>
      <c r="G423" s="3" t="s">
        <v>3033</v>
      </c>
      <c r="H423" s="3" t="s">
        <v>641</v>
      </c>
      <c r="I423" s="3" t="s">
        <v>59</v>
      </c>
      <c r="J423" s="3" t="s">
        <v>3034</v>
      </c>
      <c r="K423" s="3" t="s">
        <v>3035</v>
      </c>
      <c r="L423" s="3" t="s">
        <v>58</v>
      </c>
      <c r="M423" s="3" t="n">
        <v>6166.94</v>
      </c>
      <c r="N423" s="3" t="s">
        <v>49</v>
      </c>
      <c r="O423" s="3" t="n">
        <f aca="false">IFERROR(LEN(C423&amp;D423&amp;E423&amp;F423&amp;G423&amp;H423&amp;I423&amp;J423&amp;K423&amp;L423&amp;M423&amp;N423)/5,0)</f>
        <v>25.6</v>
      </c>
      <c r="P423" s="3" t="str">
        <f aca="false">IF(OR(D423="",C423=""),"",IF((IFERROR(IF(AND(TRIM(D423)=D423,LEN(D423)&gt;0),0,1),1)+IFERROR(IF(AND(LEN(E423)=10,ISNUMBER(VALUE(E423))),0,1),1)+IFERROR(IF(AND(ISNUMBER(SEARCH("@",F423)),ISNUMBER(SEARCH(".",F423))),0,1),1)+IFERROR(IF(AND(LEN(J423)=6,ISNUMBER(VALUE(J423))),0,1),1)+IFERROR(IF(ISNUMBER(MATCH(TRIM(I423),Lists!$A$2:$A$20,0)),0,1),1)+IFERROR(IF(AND(LEN(K423)=10,VALUE(LEFT(K423,FIND("/",K423)-1))&gt;=1,VALUE(LEFT(K423,FIND("/",K423)-1))&lt;=31,VALUE(LEFT(MID(K423,FIND("/",K423)+1,10),FIND("/",MID(K423,FIND("/",K423)+1,10))-1))&gt;=1,VALUE(LEFT(MID(K423,FIND("/",K423)+1,10),FIND("/",MID(K423,FIND("/",K423)+1,10))-1))&lt;=12,VALUE(LEFT(K423,FIND("/",K423)-1))&lt;=DAY(EOMONTH(DATE(VALUE(MID(MID(K423,FIND("/",K423)+1,10),FIND("/",MID(K423,FIND("/",K423)+1,10))+1,4)),VALUE(LEFT(MID(K423,FIND("/",K423)+1,10),FIND("/",MID(K423,FIND("/",K423)+1,10))-1)),1),0))),0,1),1)+IFERROR(IF(M423&gt;=0,0,1),1)+IFERROR(IF(ISNUMBER(MATCH(N423,Lists!$B$2:$B$7,0)),0,1),1))=0,"OK","ERROR"))</f>
        <v>OK</v>
      </c>
      <c r="Q423" s="3" t="str">
        <f aca="false">IF(D423="","",TRIM(IF(IFERROR(IF(AND(TRIM(D423)=D423,LEN(D423)&gt;0),0,1),1)=1,"Name; ","")&amp;IF(IFERROR(IF(AND(LEN(E423)=10,ISNUMBER(VALUE(E423))),0,1),1)=1,"Phone; ","")&amp;IF(IFERROR(IF(AND(ISNUMBER(SEARCH("@",F423)),ISNUMBER(SEARCH(".",F423))),0,1),1)=1,"Email; ","")&amp;IF(IFERROR(IF(AND(LEN(J423)=6,ISNUMBER(VALUE(J423))),0,1),1)=1,"Pincode; ","")&amp;IF(IFERROR(IF(ISNUMBER(MATCH(TRIM(I423),Lists!$A$2:$A$20,0)),0,1),1)=1,"State; ","")&amp;IF(IFERROR(IF(AND(LEN(K423)=10,VALUE(LEFT(K423,FIND("/",K423)-1))&gt;=1,VALUE(LEFT(K423,FIND("/",K423)-1))&lt;=31,VALUE(LEFT(MID(K423,FIND("/",K423)+1,10),FIND("/",MID(K423,FIND("/",K423)+1,10))-1))&gt;=1,VALUE(LEFT(MID(K423,FIND("/",K423)+1,10),FIND("/",MID(K423,FIND("/",K423)+1,10))-1))&lt;=12,VALUE(LEFT(K423,FIND("/",K423)-1))&lt;=DAY(EOMONTH(DATE(VALUE(MID(MID(K423,FIND("/",K423)+1,10),FIND("/",MID(K423,FIND("/",K423)+1,10))+1,4)),VALUE(LEFT(MID(K423,FIND("/",K423)+1,10),FIND("/",MID(K423,FIND("/",K423)+1,10))-1)),1),0))),0,1),1)=1,"Date; ","")&amp;IF(IFERROR(IF(M423&gt;=0,0,1),1)=1,"Amount; ","")&amp;IF(IFERROR(IF(ISNUMBER(MATCH(N423,Lists!$B$2:$B$7,0)),0,1),1)=1,"Payment; ","")))</f>
        <v/>
      </c>
      <c r="R423" s="3" t="str">
        <f aca="false">IF(D423="","",IF(COUNTIFS($D$2:$D$701,D423,$E$2:$E$701,E423)&gt;1,"DUPLICATE","Unique"))</f>
        <v>Unique</v>
      </c>
    </row>
    <row r="424" customFormat="false" ht="15" hidden="false" customHeight="false" outlineLevel="0" collapsed="false">
      <c r="A424" s="3" t="n">
        <v>423</v>
      </c>
      <c r="B424" s="3" t="n">
        <v>9</v>
      </c>
      <c r="C424" s="3" t="s">
        <v>3036</v>
      </c>
      <c r="D424" s="3" t="s">
        <v>3037</v>
      </c>
      <c r="E424" s="3" t="s">
        <v>3038</v>
      </c>
      <c r="F424" s="3" t="s">
        <v>3039</v>
      </c>
      <c r="G424" s="3" t="s">
        <v>3040</v>
      </c>
      <c r="H424" s="3" t="s">
        <v>502</v>
      </c>
      <c r="I424" s="3" t="s">
        <v>73</v>
      </c>
      <c r="J424" s="3" t="s">
        <v>3041</v>
      </c>
      <c r="K424" s="3" t="s">
        <v>3042</v>
      </c>
      <c r="L424" s="3" t="s">
        <v>53</v>
      </c>
      <c r="M424" s="3" t="n">
        <v>6126.32</v>
      </c>
      <c r="N424" s="3" t="s">
        <v>183</v>
      </c>
      <c r="O424" s="3" t="n">
        <f aca="false">IFERROR(LEN(C424&amp;D424&amp;E424&amp;F424&amp;G424&amp;H424&amp;I424&amp;J424&amp;K424&amp;L424&amp;M424&amp;N424)/5,0)</f>
        <v>28.2</v>
      </c>
      <c r="P424" s="3" t="str">
        <f aca="false">IF(OR(D424="",C424=""),"",IF((IFERROR(IF(AND(TRIM(D424)=D424,LEN(D424)&gt;0),0,1),1)+IFERROR(IF(AND(LEN(E424)=10,ISNUMBER(VALUE(E424))),0,1),1)+IFERROR(IF(AND(ISNUMBER(SEARCH("@",F424)),ISNUMBER(SEARCH(".",F424))),0,1),1)+IFERROR(IF(AND(LEN(J424)=6,ISNUMBER(VALUE(J424))),0,1),1)+IFERROR(IF(ISNUMBER(MATCH(TRIM(I424),Lists!$A$2:$A$20,0)),0,1),1)+IFERROR(IF(AND(LEN(K424)=10,VALUE(LEFT(K424,FIND("/",K424)-1))&gt;=1,VALUE(LEFT(K424,FIND("/",K424)-1))&lt;=31,VALUE(LEFT(MID(K424,FIND("/",K424)+1,10),FIND("/",MID(K424,FIND("/",K424)+1,10))-1))&gt;=1,VALUE(LEFT(MID(K424,FIND("/",K424)+1,10),FIND("/",MID(K424,FIND("/",K424)+1,10))-1))&lt;=12,VALUE(LEFT(K424,FIND("/",K424)-1))&lt;=DAY(EOMONTH(DATE(VALUE(MID(MID(K424,FIND("/",K424)+1,10),FIND("/",MID(K424,FIND("/",K424)+1,10))+1,4)),VALUE(LEFT(MID(K424,FIND("/",K424)+1,10),FIND("/",MID(K424,FIND("/",K424)+1,10))-1)),1),0))),0,1),1)+IFERROR(IF(M424&gt;=0,0,1),1)+IFERROR(IF(ISNUMBER(MATCH(N424,Lists!$B$2:$B$7,0)),0,1),1))=0,"OK","ERROR"))</f>
        <v>ERROR</v>
      </c>
      <c r="Q424" s="3" t="str">
        <f aca="false">IF(D424="","",TRIM(IF(IFERROR(IF(AND(TRIM(D424)=D424,LEN(D424)&gt;0),0,1),1)=1,"Name; ","")&amp;IF(IFERROR(IF(AND(LEN(E424)=10,ISNUMBER(VALUE(E424))),0,1),1)=1,"Phone; ","")&amp;IF(IFERROR(IF(AND(ISNUMBER(SEARCH("@",F424)),ISNUMBER(SEARCH(".",F424))),0,1),1)=1,"Email; ","")&amp;IF(IFERROR(IF(AND(LEN(J424)=6,ISNUMBER(VALUE(J424))),0,1),1)=1,"Pincode; ","")&amp;IF(IFERROR(IF(ISNUMBER(MATCH(TRIM(I424),Lists!$A$2:$A$20,0)),0,1),1)=1,"State; ","")&amp;IF(IFERROR(IF(AND(LEN(K424)=10,VALUE(LEFT(K424,FIND("/",K424)-1))&gt;=1,VALUE(LEFT(K424,FIND("/",K424)-1))&lt;=31,VALUE(LEFT(MID(K424,FIND("/",K424)+1,10),FIND("/",MID(K424,FIND("/",K424)+1,10))-1))&gt;=1,VALUE(LEFT(MID(K424,FIND("/",K424)+1,10),FIND("/",MID(K424,FIND("/",K424)+1,10))-1))&lt;=12,VALUE(LEFT(K424,FIND("/",K424)-1))&lt;=DAY(EOMONTH(DATE(VALUE(MID(MID(K424,FIND("/",K424)+1,10),FIND("/",MID(K424,FIND("/",K424)+1,10))+1,4)),VALUE(LEFT(MID(K424,FIND("/",K424)+1,10),FIND("/",MID(K424,FIND("/",K424)+1,10))-1)),1),0))),0,1),1)=1,"Date; ","")&amp;IF(IFERROR(IF(M424&gt;=0,0,1),1)=1,"Amount; ","")&amp;IF(IFERROR(IF(ISNUMBER(MATCH(N424,Lists!$B$2:$B$7,0)),0,1),1)=1,"Payment; ","")))</f>
        <v>Payment;</v>
      </c>
      <c r="R424" s="3" t="str">
        <f aca="false">IF(D424="","",IF(COUNTIFS($D$2:$D$701,D424,$E$2:$E$701,E424)&gt;1,"DUPLICATE","Unique"))</f>
        <v>Unique</v>
      </c>
    </row>
    <row r="425" customFormat="false" ht="15" hidden="false" customHeight="false" outlineLevel="0" collapsed="false">
      <c r="A425" s="3" t="n">
        <v>424</v>
      </c>
      <c r="B425" s="3" t="n">
        <v>9</v>
      </c>
      <c r="C425" s="3" t="s">
        <v>3043</v>
      </c>
      <c r="D425" s="3" t="s">
        <v>3044</v>
      </c>
      <c r="E425" s="3" t="s">
        <v>3045</v>
      </c>
      <c r="F425" s="3" t="s">
        <v>3046</v>
      </c>
      <c r="G425" s="3" t="s">
        <v>3047</v>
      </c>
      <c r="H425" s="3" t="s">
        <v>819</v>
      </c>
      <c r="I425" s="3" t="s">
        <v>75</v>
      </c>
      <c r="J425" s="3" t="s">
        <v>3048</v>
      </c>
      <c r="K425" s="3" t="s">
        <v>1117</v>
      </c>
      <c r="L425" s="3" t="s">
        <v>58</v>
      </c>
      <c r="M425" s="3" t="n">
        <v>14181.99</v>
      </c>
      <c r="N425" s="3" t="s">
        <v>40</v>
      </c>
      <c r="O425" s="3" t="n">
        <f aca="false">IFERROR(LEN(C425&amp;D425&amp;E425&amp;F425&amp;G425&amp;H425&amp;I425&amp;J425&amp;K425&amp;L425&amp;M425&amp;N425)/5,0)</f>
        <v>25.8</v>
      </c>
      <c r="P425" s="3" t="str">
        <f aca="false">IF(OR(D425="",C425=""),"",IF((IFERROR(IF(AND(TRIM(D425)=D425,LEN(D425)&gt;0),0,1),1)+IFERROR(IF(AND(LEN(E425)=10,ISNUMBER(VALUE(E425))),0,1),1)+IFERROR(IF(AND(ISNUMBER(SEARCH("@",F425)),ISNUMBER(SEARCH(".",F425))),0,1),1)+IFERROR(IF(AND(LEN(J425)=6,ISNUMBER(VALUE(J425))),0,1),1)+IFERROR(IF(ISNUMBER(MATCH(TRIM(I425),Lists!$A$2:$A$20,0)),0,1),1)+IFERROR(IF(AND(LEN(K425)=10,VALUE(LEFT(K425,FIND("/",K425)-1))&gt;=1,VALUE(LEFT(K425,FIND("/",K425)-1))&lt;=31,VALUE(LEFT(MID(K425,FIND("/",K425)+1,10),FIND("/",MID(K425,FIND("/",K425)+1,10))-1))&gt;=1,VALUE(LEFT(MID(K425,FIND("/",K425)+1,10),FIND("/",MID(K425,FIND("/",K425)+1,10))-1))&lt;=12,VALUE(LEFT(K425,FIND("/",K425)-1))&lt;=DAY(EOMONTH(DATE(VALUE(MID(MID(K425,FIND("/",K425)+1,10),FIND("/",MID(K425,FIND("/",K425)+1,10))+1,4)),VALUE(LEFT(MID(K425,FIND("/",K425)+1,10),FIND("/",MID(K425,FIND("/",K425)+1,10))-1)),1),0))),0,1),1)+IFERROR(IF(M425&gt;=0,0,1),1)+IFERROR(IF(ISNUMBER(MATCH(N425,Lists!$B$2:$B$7,0)),0,1),1))=0,"OK","ERROR"))</f>
        <v>OK</v>
      </c>
      <c r="Q425" s="3" t="str">
        <f aca="false">IF(D425="","",TRIM(IF(IFERROR(IF(AND(TRIM(D425)=D425,LEN(D425)&gt;0),0,1),1)=1,"Name; ","")&amp;IF(IFERROR(IF(AND(LEN(E425)=10,ISNUMBER(VALUE(E425))),0,1),1)=1,"Phone; ","")&amp;IF(IFERROR(IF(AND(ISNUMBER(SEARCH("@",F425)),ISNUMBER(SEARCH(".",F425))),0,1),1)=1,"Email; ","")&amp;IF(IFERROR(IF(AND(LEN(J425)=6,ISNUMBER(VALUE(J425))),0,1),1)=1,"Pincode; ","")&amp;IF(IFERROR(IF(ISNUMBER(MATCH(TRIM(I425),Lists!$A$2:$A$20,0)),0,1),1)=1,"State; ","")&amp;IF(IFERROR(IF(AND(LEN(K425)=10,VALUE(LEFT(K425,FIND("/",K425)-1))&gt;=1,VALUE(LEFT(K425,FIND("/",K425)-1))&lt;=31,VALUE(LEFT(MID(K425,FIND("/",K425)+1,10),FIND("/",MID(K425,FIND("/",K425)+1,10))-1))&gt;=1,VALUE(LEFT(MID(K425,FIND("/",K425)+1,10),FIND("/",MID(K425,FIND("/",K425)+1,10))-1))&lt;=12,VALUE(LEFT(K425,FIND("/",K425)-1))&lt;=DAY(EOMONTH(DATE(VALUE(MID(MID(K425,FIND("/",K425)+1,10),FIND("/",MID(K425,FIND("/",K425)+1,10))+1,4)),VALUE(LEFT(MID(K425,FIND("/",K425)+1,10),FIND("/",MID(K425,FIND("/",K425)+1,10))-1)),1),0))),0,1),1)=1,"Date; ","")&amp;IF(IFERROR(IF(M425&gt;=0,0,1),1)=1,"Amount; ","")&amp;IF(IFERROR(IF(ISNUMBER(MATCH(N425,Lists!$B$2:$B$7,0)),0,1),1)=1,"Payment; ","")))</f>
        <v/>
      </c>
      <c r="R425" s="3" t="str">
        <f aca="false">IF(D425="","",IF(COUNTIFS($D$2:$D$701,D425,$E$2:$E$701,E425)&gt;1,"DUPLICATE","Unique"))</f>
        <v>Unique</v>
      </c>
    </row>
    <row r="426" customFormat="false" ht="15" hidden="false" customHeight="false" outlineLevel="0" collapsed="false">
      <c r="A426" s="3" t="n">
        <v>425</v>
      </c>
      <c r="B426" s="3" t="n">
        <v>9</v>
      </c>
      <c r="C426" s="3" t="s">
        <v>3049</v>
      </c>
      <c r="D426" s="3" t="s">
        <v>3050</v>
      </c>
      <c r="E426" s="3" t="s">
        <v>3051</v>
      </c>
      <c r="F426" s="3" t="s">
        <v>3052</v>
      </c>
      <c r="G426" s="3" t="s">
        <v>3053</v>
      </c>
      <c r="H426" s="3" t="s">
        <v>118</v>
      </c>
      <c r="I426" s="3" t="s">
        <v>69</v>
      </c>
      <c r="J426" s="3" t="s">
        <v>3054</v>
      </c>
      <c r="K426" s="3" t="s">
        <v>3055</v>
      </c>
      <c r="L426" s="3" t="s">
        <v>64</v>
      </c>
      <c r="M426" s="3" t="n">
        <v>7395.44</v>
      </c>
      <c r="N426" s="3" t="s">
        <v>55</v>
      </c>
      <c r="O426" s="3" t="n">
        <f aca="false">IFERROR(LEN(C426&amp;D426&amp;E426&amp;F426&amp;G426&amp;H426&amp;I426&amp;J426&amp;K426&amp;L426&amp;M426&amp;N426)/5,0)</f>
        <v>28</v>
      </c>
      <c r="P426" s="3" t="str">
        <f aca="false">IF(OR(D426="",C426=""),"",IF((IFERROR(IF(AND(TRIM(D426)=D426,LEN(D426)&gt;0),0,1),1)+IFERROR(IF(AND(LEN(E426)=10,ISNUMBER(VALUE(E426))),0,1),1)+IFERROR(IF(AND(ISNUMBER(SEARCH("@",F426)),ISNUMBER(SEARCH(".",F426))),0,1),1)+IFERROR(IF(AND(LEN(J426)=6,ISNUMBER(VALUE(J426))),0,1),1)+IFERROR(IF(ISNUMBER(MATCH(TRIM(I426),Lists!$A$2:$A$20,0)),0,1),1)+IFERROR(IF(AND(LEN(K426)=10,VALUE(LEFT(K426,FIND("/",K426)-1))&gt;=1,VALUE(LEFT(K426,FIND("/",K426)-1))&lt;=31,VALUE(LEFT(MID(K426,FIND("/",K426)+1,10),FIND("/",MID(K426,FIND("/",K426)+1,10))-1))&gt;=1,VALUE(LEFT(MID(K426,FIND("/",K426)+1,10),FIND("/",MID(K426,FIND("/",K426)+1,10))-1))&lt;=12,VALUE(LEFT(K426,FIND("/",K426)-1))&lt;=DAY(EOMONTH(DATE(VALUE(MID(MID(K426,FIND("/",K426)+1,10),FIND("/",MID(K426,FIND("/",K426)+1,10))+1,4)),VALUE(LEFT(MID(K426,FIND("/",K426)+1,10),FIND("/",MID(K426,FIND("/",K426)+1,10))-1)),1),0))),0,1),1)+IFERROR(IF(M426&gt;=0,0,1),1)+IFERROR(IF(ISNUMBER(MATCH(N426,Lists!$B$2:$B$7,0)),0,1),1))=0,"OK","ERROR"))</f>
        <v>OK</v>
      </c>
      <c r="Q426" s="3" t="str">
        <f aca="false">IF(D426="","",TRIM(IF(IFERROR(IF(AND(TRIM(D426)=D426,LEN(D426)&gt;0),0,1),1)=1,"Name; ","")&amp;IF(IFERROR(IF(AND(LEN(E426)=10,ISNUMBER(VALUE(E426))),0,1),1)=1,"Phone; ","")&amp;IF(IFERROR(IF(AND(ISNUMBER(SEARCH("@",F426)),ISNUMBER(SEARCH(".",F426))),0,1),1)=1,"Email; ","")&amp;IF(IFERROR(IF(AND(LEN(J426)=6,ISNUMBER(VALUE(J426))),0,1),1)=1,"Pincode; ","")&amp;IF(IFERROR(IF(ISNUMBER(MATCH(TRIM(I426),Lists!$A$2:$A$20,0)),0,1),1)=1,"State; ","")&amp;IF(IFERROR(IF(AND(LEN(K426)=10,VALUE(LEFT(K426,FIND("/",K426)-1))&gt;=1,VALUE(LEFT(K426,FIND("/",K426)-1))&lt;=31,VALUE(LEFT(MID(K426,FIND("/",K426)+1,10),FIND("/",MID(K426,FIND("/",K426)+1,10))-1))&gt;=1,VALUE(LEFT(MID(K426,FIND("/",K426)+1,10),FIND("/",MID(K426,FIND("/",K426)+1,10))-1))&lt;=12,VALUE(LEFT(K426,FIND("/",K426)-1))&lt;=DAY(EOMONTH(DATE(VALUE(MID(MID(K426,FIND("/",K426)+1,10),FIND("/",MID(K426,FIND("/",K426)+1,10))+1,4)),VALUE(LEFT(MID(K426,FIND("/",K426)+1,10),FIND("/",MID(K426,FIND("/",K426)+1,10))-1)),1),0))),0,1),1)=1,"Date; ","")&amp;IF(IFERROR(IF(M426&gt;=0,0,1),1)=1,"Amount; ","")&amp;IF(IFERROR(IF(ISNUMBER(MATCH(N426,Lists!$B$2:$B$7,0)),0,1),1)=1,"Payment; ","")))</f>
        <v/>
      </c>
      <c r="R426" s="3" t="str">
        <f aca="false">IF(D426="","",IF(COUNTIFS($D$2:$D$701,D426,$E$2:$E$701,E426)&gt;1,"DUPLICATE","Unique"))</f>
        <v>Unique</v>
      </c>
    </row>
    <row r="427" customFormat="false" ht="15" hidden="false" customHeight="false" outlineLevel="0" collapsed="false">
      <c r="A427" s="3" t="n">
        <v>426</v>
      </c>
      <c r="B427" s="3" t="n">
        <v>9</v>
      </c>
      <c r="C427" s="3" t="s">
        <v>3056</v>
      </c>
      <c r="D427" s="3" t="s">
        <v>3057</v>
      </c>
      <c r="E427" s="3" t="s">
        <v>3058</v>
      </c>
      <c r="F427" s="3" t="s">
        <v>3059</v>
      </c>
      <c r="G427" s="3" t="s">
        <v>3060</v>
      </c>
      <c r="H427" s="3" t="s">
        <v>281</v>
      </c>
      <c r="I427" s="3" t="s">
        <v>51</v>
      </c>
      <c r="J427" s="3" t="s">
        <v>3061</v>
      </c>
      <c r="K427" s="3" t="s">
        <v>2274</v>
      </c>
      <c r="L427" s="3" t="s">
        <v>66</v>
      </c>
      <c r="M427" s="3" t="n">
        <v>14208.08</v>
      </c>
      <c r="N427" s="3" t="s">
        <v>52</v>
      </c>
      <c r="O427" s="3" t="n">
        <f aca="false">IFERROR(LEN(C427&amp;D427&amp;E427&amp;F427&amp;G427&amp;H427&amp;I427&amp;J427&amp;K427&amp;L427&amp;M427&amp;N427)/5,0)</f>
        <v>29.8</v>
      </c>
      <c r="P427" s="3" t="str">
        <f aca="false">IF(OR(D427="",C427=""),"",IF((IFERROR(IF(AND(TRIM(D427)=D427,LEN(D427)&gt;0),0,1),1)+IFERROR(IF(AND(LEN(E427)=10,ISNUMBER(VALUE(E427))),0,1),1)+IFERROR(IF(AND(ISNUMBER(SEARCH("@",F427)),ISNUMBER(SEARCH(".",F427))),0,1),1)+IFERROR(IF(AND(LEN(J427)=6,ISNUMBER(VALUE(J427))),0,1),1)+IFERROR(IF(ISNUMBER(MATCH(TRIM(I427),Lists!$A$2:$A$20,0)),0,1),1)+IFERROR(IF(AND(LEN(K427)=10,VALUE(LEFT(K427,FIND("/",K427)-1))&gt;=1,VALUE(LEFT(K427,FIND("/",K427)-1))&lt;=31,VALUE(LEFT(MID(K427,FIND("/",K427)+1,10),FIND("/",MID(K427,FIND("/",K427)+1,10))-1))&gt;=1,VALUE(LEFT(MID(K427,FIND("/",K427)+1,10),FIND("/",MID(K427,FIND("/",K427)+1,10))-1))&lt;=12,VALUE(LEFT(K427,FIND("/",K427)-1))&lt;=DAY(EOMONTH(DATE(VALUE(MID(MID(K427,FIND("/",K427)+1,10),FIND("/",MID(K427,FIND("/",K427)+1,10))+1,4)),VALUE(LEFT(MID(K427,FIND("/",K427)+1,10),FIND("/",MID(K427,FIND("/",K427)+1,10))-1)),1),0))),0,1),1)+IFERROR(IF(M427&gt;=0,0,1),1)+IFERROR(IF(ISNUMBER(MATCH(N427,Lists!$B$2:$B$7,0)),0,1),1))=0,"OK","ERROR"))</f>
        <v>OK</v>
      </c>
      <c r="Q427" s="3" t="str">
        <f aca="false">IF(D427="","",TRIM(IF(IFERROR(IF(AND(TRIM(D427)=D427,LEN(D427)&gt;0),0,1),1)=1,"Name; ","")&amp;IF(IFERROR(IF(AND(LEN(E427)=10,ISNUMBER(VALUE(E427))),0,1),1)=1,"Phone; ","")&amp;IF(IFERROR(IF(AND(ISNUMBER(SEARCH("@",F427)),ISNUMBER(SEARCH(".",F427))),0,1),1)=1,"Email; ","")&amp;IF(IFERROR(IF(AND(LEN(J427)=6,ISNUMBER(VALUE(J427))),0,1),1)=1,"Pincode; ","")&amp;IF(IFERROR(IF(ISNUMBER(MATCH(TRIM(I427),Lists!$A$2:$A$20,0)),0,1),1)=1,"State; ","")&amp;IF(IFERROR(IF(AND(LEN(K427)=10,VALUE(LEFT(K427,FIND("/",K427)-1))&gt;=1,VALUE(LEFT(K427,FIND("/",K427)-1))&lt;=31,VALUE(LEFT(MID(K427,FIND("/",K427)+1,10),FIND("/",MID(K427,FIND("/",K427)+1,10))-1))&gt;=1,VALUE(LEFT(MID(K427,FIND("/",K427)+1,10),FIND("/",MID(K427,FIND("/",K427)+1,10))-1))&lt;=12,VALUE(LEFT(K427,FIND("/",K427)-1))&lt;=DAY(EOMONTH(DATE(VALUE(MID(MID(K427,FIND("/",K427)+1,10),FIND("/",MID(K427,FIND("/",K427)+1,10))+1,4)),VALUE(LEFT(MID(K427,FIND("/",K427)+1,10),FIND("/",MID(K427,FIND("/",K427)+1,10))-1)),1),0))),0,1),1)=1,"Date; ","")&amp;IF(IFERROR(IF(M427&gt;=0,0,1),1)=1,"Amount; ","")&amp;IF(IFERROR(IF(ISNUMBER(MATCH(N427,Lists!$B$2:$B$7,0)),0,1),1)=1,"Payment; ","")))</f>
        <v/>
      </c>
      <c r="R427" s="3" t="str">
        <f aca="false">IF(D427="","",IF(COUNTIFS($D$2:$D$701,D427,$E$2:$E$701,E427)&gt;1,"DUPLICATE","Unique"))</f>
        <v>Unique</v>
      </c>
    </row>
    <row r="428" customFormat="false" ht="15" hidden="false" customHeight="false" outlineLevel="0" collapsed="false">
      <c r="A428" s="3" t="n">
        <v>427</v>
      </c>
      <c r="B428" s="3" t="n">
        <v>9</v>
      </c>
      <c r="C428" s="3" t="s">
        <v>3062</v>
      </c>
      <c r="D428" s="3" t="s">
        <v>3063</v>
      </c>
      <c r="E428" s="3" t="s">
        <v>3064</v>
      </c>
      <c r="F428" s="3" t="s">
        <v>3065</v>
      </c>
      <c r="G428" s="3" t="s">
        <v>3066</v>
      </c>
      <c r="H428" s="3" t="s">
        <v>258</v>
      </c>
      <c r="I428" s="3" t="s">
        <v>63</v>
      </c>
      <c r="J428" s="3" t="s">
        <v>3067</v>
      </c>
      <c r="K428" s="3" t="s">
        <v>1970</v>
      </c>
      <c r="L428" s="3" t="s">
        <v>66</v>
      </c>
      <c r="M428" s="3" t="n">
        <v>4754.78</v>
      </c>
      <c r="N428" s="3" t="s">
        <v>49</v>
      </c>
      <c r="O428" s="3" t="n">
        <f aca="false">IFERROR(LEN(C428&amp;D428&amp;E428&amp;F428&amp;G428&amp;H428&amp;I428&amp;J428&amp;K428&amp;L428&amp;M428&amp;N428)/5,0)</f>
        <v>27.4</v>
      </c>
      <c r="P428" s="3" t="str">
        <f aca="false">IF(OR(D428="",C428=""),"",IF((IFERROR(IF(AND(TRIM(D428)=D428,LEN(D428)&gt;0),0,1),1)+IFERROR(IF(AND(LEN(E428)=10,ISNUMBER(VALUE(E428))),0,1),1)+IFERROR(IF(AND(ISNUMBER(SEARCH("@",F428)),ISNUMBER(SEARCH(".",F428))),0,1),1)+IFERROR(IF(AND(LEN(J428)=6,ISNUMBER(VALUE(J428))),0,1),1)+IFERROR(IF(ISNUMBER(MATCH(TRIM(I428),Lists!$A$2:$A$20,0)),0,1),1)+IFERROR(IF(AND(LEN(K428)=10,VALUE(LEFT(K428,FIND("/",K428)-1))&gt;=1,VALUE(LEFT(K428,FIND("/",K428)-1))&lt;=31,VALUE(LEFT(MID(K428,FIND("/",K428)+1,10),FIND("/",MID(K428,FIND("/",K428)+1,10))-1))&gt;=1,VALUE(LEFT(MID(K428,FIND("/",K428)+1,10),FIND("/",MID(K428,FIND("/",K428)+1,10))-1))&lt;=12,VALUE(LEFT(K428,FIND("/",K428)-1))&lt;=DAY(EOMONTH(DATE(VALUE(MID(MID(K428,FIND("/",K428)+1,10),FIND("/",MID(K428,FIND("/",K428)+1,10))+1,4)),VALUE(LEFT(MID(K428,FIND("/",K428)+1,10),FIND("/",MID(K428,FIND("/",K428)+1,10))-1)),1),0))),0,1),1)+IFERROR(IF(M428&gt;=0,0,1),1)+IFERROR(IF(ISNUMBER(MATCH(N428,Lists!$B$2:$B$7,0)),0,1),1))=0,"OK","ERROR"))</f>
        <v>OK</v>
      </c>
      <c r="Q428" s="3" t="str">
        <f aca="false">IF(D428="","",TRIM(IF(IFERROR(IF(AND(TRIM(D428)=D428,LEN(D428)&gt;0),0,1),1)=1,"Name; ","")&amp;IF(IFERROR(IF(AND(LEN(E428)=10,ISNUMBER(VALUE(E428))),0,1),1)=1,"Phone; ","")&amp;IF(IFERROR(IF(AND(ISNUMBER(SEARCH("@",F428)),ISNUMBER(SEARCH(".",F428))),0,1),1)=1,"Email; ","")&amp;IF(IFERROR(IF(AND(LEN(J428)=6,ISNUMBER(VALUE(J428))),0,1),1)=1,"Pincode; ","")&amp;IF(IFERROR(IF(ISNUMBER(MATCH(TRIM(I428),Lists!$A$2:$A$20,0)),0,1),1)=1,"State; ","")&amp;IF(IFERROR(IF(AND(LEN(K428)=10,VALUE(LEFT(K428,FIND("/",K428)-1))&gt;=1,VALUE(LEFT(K428,FIND("/",K428)-1))&lt;=31,VALUE(LEFT(MID(K428,FIND("/",K428)+1,10),FIND("/",MID(K428,FIND("/",K428)+1,10))-1))&gt;=1,VALUE(LEFT(MID(K428,FIND("/",K428)+1,10),FIND("/",MID(K428,FIND("/",K428)+1,10))-1))&lt;=12,VALUE(LEFT(K428,FIND("/",K428)-1))&lt;=DAY(EOMONTH(DATE(VALUE(MID(MID(K428,FIND("/",K428)+1,10),FIND("/",MID(K428,FIND("/",K428)+1,10))+1,4)),VALUE(LEFT(MID(K428,FIND("/",K428)+1,10),FIND("/",MID(K428,FIND("/",K428)+1,10))-1)),1),0))),0,1),1)=1,"Date; ","")&amp;IF(IFERROR(IF(M428&gt;=0,0,1),1)=1,"Amount; ","")&amp;IF(IFERROR(IF(ISNUMBER(MATCH(N428,Lists!$B$2:$B$7,0)),0,1),1)=1,"Payment; ","")))</f>
        <v/>
      </c>
      <c r="R428" s="3" t="str">
        <f aca="false">IF(D428="","",IF(COUNTIFS($D$2:$D$701,D428,$E$2:$E$701,E428)&gt;1,"DUPLICATE","Unique"))</f>
        <v>Unique</v>
      </c>
    </row>
    <row r="429" customFormat="false" ht="15" hidden="false" customHeight="false" outlineLevel="0" collapsed="false">
      <c r="A429" s="3" t="n">
        <v>428</v>
      </c>
      <c r="B429" s="3" t="n">
        <v>9</v>
      </c>
      <c r="C429" s="3" t="s">
        <v>3068</v>
      </c>
      <c r="D429" s="3" t="s">
        <v>3069</v>
      </c>
      <c r="E429" s="3" t="s">
        <v>3070</v>
      </c>
      <c r="F429" s="3" t="s">
        <v>3071</v>
      </c>
      <c r="G429" s="3" t="s">
        <v>3072</v>
      </c>
      <c r="H429" s="3" t="s">
        <v>1094</v>
      </c>
      <c r="I429" s="3" t="s">
        <v>54</v>
      </c>
      <c r="J429" s="3" t="s">
        <v>3073</v>
      </c>
      <c r="K429" s="3" t="s">
        <v>2523</v>
      </c>
      <c r="L429" s="3" t="s">
        <v>74</v>
      </c>
      <c r="M429" s="3" t="n">
        <v>10064.86</v>
      </c>
      <c r="N429" s="3" t="s">
        <v>55</v>
      </c>
      <c r="O429" s="3" t="n">
        <f aca="false">IFERROR(LEN(C429&amp;D429&amp;E429&amp;F429&amp;G429&amp;H429&amp;I429&amp;J429&amp;K429&amp;L429&amp;M429&amp;N429)/5,0)</f>
        <v>25.4</v>
      </c>
      <c r="P429" s="3" t="str">
        <f aca="false">IF(OR(D429="",C429=""),"",IF((IFERROR(IF(AND(TRIM(D429)=D429,LEN(D429)&gt;0),0,1),1)+IFERROR(IF(AND(LEN(E429)=10,ISNUMBER(VALUE(E429))),0,1),1)+IFERROR(IF(AND(ISNUMBER(SEARCH("@",F429)),ISNUMBER(SEARCH(".",F429))),0,1),1)+IFERROR(IF(AND(LEN(J429)=6,ISNUMBER(VALUE(J429))),0,1),1)+IFERROR(IF(ISNUMBER(MATCH(TRIM(I429),Lists!$A$2:$A$20,0)),0,1),1)+IFERROR(IF(AND(LEN(K429)=10,VALUE(LEFT(K429,FIND("/",K429)-1))&gt;=1,VALUE(LEFT(K429,FIND("/",K429)-1))&lt;=31,VALUE(LEFT(MID(K429,FIND("/",K429)+1,10),FIND("/",MID(K429,FIND("/",K429)+1,10))-1))&gt;=1,VALUE(LEFT(MID(K429,FIND("/",K429)+1,10),FIND("/",MID(K429,FIND("/",K429)+1,10))-1))&lt;=12,VALUE(LEFT(K429,FIND("/",K429)-1))&lt;=DAY(EOMONTH(DATE(VALUE(MID(MID(K429,FIND("/",K429)+1,10),FIND("/",MID(K429,FIND("/",K429)+1,10))+1,4)),VALUE(LEFT(MID(K429,FIND("/",K429)+1,10),FIND("/",MID(K429,FIND("/",K429)+1,10))-1)),1),0))),0,1),1)+IFERROR(IF(M429&gt;=0,0,1),1)+IFERROR(IF(ISNUMBER(MATCH(N429,Lists!$B$2:$B$7,0)),0,1),1))=0,"OK","ERROR"))</f>
        <v>OK</v>
      </c>
      <c r="Q429" s="3" t="str">
        <f aca="false">IF(D429="","",TRIM(IF(IFERROR(IF(AND(TRIM(D429)=D429,LEN(D429)&gt;0),0,1),1)=1,"Name; ","")&amp;IF(IFERROR(IF(AND(LEN(E429)=10,ISNUMBER(VALUE(E429))),0,1),1)=1,"Phone; ","")&amp;IF(IFERROR(IF(AND(ISNUMBER(SEARCH("@",F429)),ISNUMBER(SEARCH(".",F429))),0,1),1)=1,"Email; ","")&amp;IF(IFERROR(IF(AND(LEN(J429)=6,ISNUMBER(VALUE(J429))),0,1),1)=1,"Pincode; ","")&amp;IF(IFERROR(IF(ISNUMBER(MATCH(TRIM(I429),Lists!$A$2:$A$20,0)),0,1),1)=1,"State; ","")&amp;IF(IFERROR(IF(AND(LEN(K429)=10,VALUE(LEFT(K429,FIND("/",K429)-1))&gt;=1,VALUE(LEFT(K429,FIND("/",K429)-1))&lt;=31,VALUE(LEFT(MID(K429,FIND("/",K429)+1,10),FIND("/",MID(K429,FIND("/",K429)+1,10))-1))&gt;=1,VALUE(LEFT(MID(K429,FIND("/",K429)+1,10),FIND("/",MID(K429,FIND("/",K429)+1,10))-1))&lt;=12,VALUE(LEFT(K429,FIND("/",K429)-1))&lt;=DAY(EOMONTH(DATE(VALUE(MID(MID(K429,FIND("/",K429)+1,10),FIND("/",MID(K429,FIND("/",K429)+1,10))+1,4)),VALUE(LEFT(MID(K429,FIND("/",K429)+1,10),FIND("/",MID(K429,FIND("/",K429)+1,10))-1)),1),0))),0,1),1)=1,"Date; ","")&amp;IF(IFERROR(IF(M429&gt;=0,0,1),1)=1,"Amount; ","")&amp;IF(IFERROR(IF(ISNUMBER(MATCH(N429,Lists!$B$2:$B$7,0)),0,1),1)=1,"Payment; ","")))</f>
        <v/>
      </c>
      <c r="R429" s="3" t="str">
        <f aca="false">IF(D429="","",IF(COUNTIFS($D$2:$D$701,D429,$E$2:$E$701,E429)&gt;1,"DUPLICATE","Unique"))</f>
        <v>Unique</v>
      </c>
    </row>
    <row r="430" customFormat="false" ht="15" hidden="false" customHeight="false" outlineLevel="0" collapsed="false">
      <c r="A430" s="3" t="n">
        <v>429</v>
      </c>
      <c r="B430" s="3" t="n">
        <v>9</v>
      </c>
      <c r="C430" s="3" t="s">
        <v>3074</v>
      </c>
      <c r="D430" s="3" t="s">
        <v>3075</v>
      </c>
      <c r="E430" s="3" t="s">
        <v>3076</v>
      </c>
      <c r="F430" s="3" t="s">
        <v>3077</v>
      </c>
      <c r="G430" s="3" t="s">
        <v>3078</v>
      </c>
      <c r="H430" s="3" t="s">
        <v>1094</v>
      </c>
      <c r="I430" s="3" t="s">
        <v>54</v>
      </c>
      <c r="J430" s="3" t="s">
        <v>3079</v>
      </c>
      <c r="K430" s="3" t="s">
        <v>3080</v>
      </c>
      <c r="L430" s="3" t="s">
        <v>44</v>
      </c>
      <c r="M430" s="3" t="n">
        <v>3533.88</v>
      </c>
      <c r="N430" s="3" t="s">
        <v>40</v>
      </c>
      <c r="O430" s="3" t="n">
        <f aca="false">IFERROR(LEN(C430&amp;D430&amp;E430&amp;F430&amp;G430&amp;H430&amp;I430&amp;J430&amp;K430&amp;L430&amp;M430&amp;N430)/5,0)</f>
        <v>27.6</v>
      </c>
      <c r="P430" s="3" t="str">
        <f aca="false">IF(OR(D430="",C430=""),"",IF((IFERROR(IF(AND(TRIM(D430)=D430,LEN(D430)&gt;0),0,1),1)+IFERROR(IF(AND(LEN(E430)=10,ISNUMBER(VALUE(E430))),0,1),1)+IFERROR(IF(AND(ISNUMBER(SEARCH("@",F430)),ISNUMBER(SEARCH(".",F430))),0,1),1)+IFERROR(IF(AND(LEN(J430)=6,ISNUMBER(VALUE(J430))),0,1),1)+IFERROR(IF(ISNUMBER(MATCH(TRIM(I430),Lists!$A$2:$A$20,0)),0,1),1)+IFERROR(IF(AND(LEN(K430)=10,VALUE(LEFT(K430,FIND("/",K430)-1))&gt;=1,VALUE(LEFT(K430,FIND("/",K430)-1))&lt;=31,VALUE(LEFT(MID(K430,FIND("/",K430)+1,10),FIND("/",MID(K430,FIND("/",K430)+1,10))-1))&gt;=1,VALUE(LEFT(MID(K430,FIND("/",K430)+1,10),FIND("/",MID(K430,FIND("/",K430)+1,10))-1))&lt;=12,VALUE(LEFT(K430,FIND("/",K430)-1))&lt;=DAY(EOMONTH(DATE(VALUE(MID(MID(K430,FIND("/",K430)+1,10),FIND("/",MID(K430,FIND("/",K430)+1,10))+1,4)),VALUE(LEFT(MID(K430,FIND("/",K430)+1,10),FIND("/",MID(K430,FIND("/",K430)+1,10))-1)),1),0))),0,1),1)+IFERROR(IF(M430&gt;=0,0,1),1)+IFERROR(IF(ISNUMBER(MATCH(N430,Lists!$B$2:$B$7,0)),0,1),1))=0,"OK","ERROR"))</f>
        <v>OK</v>
      </c>
      <c r="Q430" s="3" t="str">
        <f aca="false">IF(D430="","",TRIM(IF(IFERROR(IF(AND(TRIM(D430)=D430,LEN(D430)&gt;0),0,1),1)=1,"Name; ","")&amp;IF(IFERROR(IF(AND(LEN(E430)=10,ISNUMBER(VALUE(E430))),0,1),1)=1,"Phone; ","")&amp;IF(IFERROR(IF(AND(ISNUMBER(SEARCH("@",F430)),ISNUMBER(SEARCH(".",F430))),0,1),1)=1,"Email; ","")&amp;IF(IFERROR(IF(AND(LEN(J430)=6,ISNUMBER(VALUE(J430))),0,1),1)=1,"Pincode; ","")&amp;IF(IFERROR(IF(ISNUMBER(MATCH(TRIM(I430),Lists!$A$2:$A$20,0)),0,1),1)=1,"State; ","")&amp;IF(IFERROR(IF(AND(LEN(K430)=10,VALUE(LEFT(K430,FIND("/",K430)-1))&gt;=1,VALUE(LEFT(K430,FIND("/",K430)-1))&lt;=31,VALUE(LEFT(MID(K430,FIND("/",K430)+1,10),FIND("/",MID(K430,FIND("/",K430)+1,10))-1))&gt;=1,VALUE(LEFT(MID(K430,FIND("/",K430)+1,10),FIND("/",MID(K430,FIND("/",K430)+1,10))-1))&lt;=12,VALUE(LEFT(K430,FIND("/",K430)-1))&lt;=DAY(EOMONTH(DATE(VALUE(MID(MID(K430,FIND("/",K430)+1,10),FIND("/",MID(K430,FIND("/",K430)+1,10))+1,4)),VALUE(LEFT(MID(K430,FIND("/",K430)+1,10),FIND("/",MID(K430,FIND("/",K430)+1,10))-1)),1),0))),0,1),1)=1,"Date; ","")&amp;IF(IFERROR(IF(M430&gt;=0,0,1),1)=1,"Amount; ","")&amp;IF(IFERROR(IF(ISNUMBER(MATCH(N430,Lists!$B$2:$B$7,0)),0,1),1)=1,"Payment; ","")))</f>
        <v/>
      </c>
      <c r="R430" s="3" t="str">
        <f aca="false">IF(D430="","",IF(COUNTIFS($D$2:$D$701,D430,$E$2:$E$701,E430)&gt;1,"DUPLICATE","Unique"))</f>
        <v>Unique</v>
      </c>
    </row>
    <row r="431" customFormat="false" ht="15" hidden="false" customHeight="false" outlineLevel="0" collapsed="false">
      <c r="A431" s="3" t="n">
        <v>430</v>
      </c>
      <c r="B431" s="3" t="n">
        <v>9</v>
      </c>
      <c r="C431" s="3" t="s">
        <v>3081</v>
      </c>
      <c r="D431" s="3" t="s">
        <v>3082</v>
      </c>
      <c r="E431" s="3" t="s">
        <v>3083</v>
      </c>
      <c r="F431" s="3" t="s">
        <v>3084</v>
      </c>
      <c r="G431" s="3" t="s">
        <v>3085</v>
      </c>
      <c r="H431" s="3" t="s">
        <v>310</v>
      </c>
      <c r="I431" s="3" t="s">
        <v>69</v>
      </c>
      <c r="J431" s="3" t="s">
        <v>3086</v>
      </c>
      <c r="K431" s="3" t="s">
        <v>3087</v>
      </c>
      <c r="L431" s="3" t="s">
        <v>41</v>
      </c>
      <c r="M431" s="3" t="n">
        <v>7418.32</v>
      </c>
      <c r="N431" s="3" t="s">
        <v>55</v>
      </c>
      <c r="O431" s="3" t="n">
        <f aca="false">IFERROR(LEN(C431&amp;D431&amp;E431&amp;F431&amp;G431&amp;H431&amp;I431&amp;J431&amp;K431&amp;L431&amp;M431&amp;N431)/5,0)</f>
        <v>31.4</v>
      </c>
      <c r="P431" s="3" t="str">
        <f aca="false">IF(OR(D431="",C431=""),"",IF((IFERROR(IF(AND(TRIM(D431)=D431,LEN(D431)&gt;0),0,1),1)+IFERROR(IF(AND(LEN(E431)=10,ISNUMBER(VALUE(E431))),0,1),1)+IFERROR(IF(AND(ISNUMBER(SEARCH("@",F431)),ISNUMBER(SEARCH(".",F431))),0,1),1)+IFERROR(IF(AND(LEN(J431)=6,ISNUMBER(VALUE(J431))),0,1),1)+IFERROR(IF(ISNUMBER(MATCH(TRIM(I431),Lists!$A$2:$A$20,0)),0,1),1)+IFERROR(IF(AND(LEN(K431)=10,VALUE(LEFT(K431,FIND("/",K431)-1))&gt;=1,VALUE(LEFT(K431,FIND("/",K431)-1))&lt;=31,VALUE(LEFT(MID(K431,FIND("/",K431)+1,10),FIND("/",MID(K431,FIND("/",K431)+1,10))-1))&gt;=1,VALUE(LEFT(MID(K431,FIND("/",K431)+1,10),FIND("/",MID(K431,FIND("/",K431)+1,10))-1))&lt;=12,VALUE(LEFT(K431,FIND("/",K431)-1))&lt;=DAY(EOMONTH(DATE(VALUE(MID(MID(K431,FIND("/",K431)+1,10),FIND("/",MID(K431,FIND("/",K431)+1,10))+1,4)),VALUE(LEFT(MID(K431,FIND("/",K431)+1,10),FIND("/",MID(K431,FIND("/",K431)+1,10))-1)),1),0))),0,1),1)+IFERROR(IF(M431&gt;=0,0,1),1)+IFERROR(IF(ISNUMBER(MATCH(N431,Lists!$B$2:$B$7,0)),0,1),1))=0,"OK","ERROR"))</f>
        <v>OK</v>
      </c>
      <c r="Q431" s="3" t="str">
        <f aca="false">IF(D431="","",TRIM(IF(IFERROR(IF(AND(TRIM(D431)=D431,LEN(D431)&gt;0),0,1),1)=1,"Name; ","")&amp;IF(IFERROR(IF(AND(LEN(E431)=10,ISNUMBER(VALUE(E431))),0,1),1)=1,"Phone; ","")&amp;IF(IFERROR(IF(AND(ISNUMBER(SEARCH("@",F431)),ISNUMBER(SEARCH(".",F431))),0,1),1)=1,"Email; ","")&amp;IF(IFERROR(IF(AND(LEN(J431)=6,ISNUMBER(VALUE(J431))),0,1),1)=1,"Pincode; ","")&amp;IF(IFERROR(IF(ISNUMBER(MATCH(TRIM(I431),Lists!$A$2:$A$20,0)),0,1),1)=1,"State; ","")&amp;IF(IFERROR(IF(AND(LEN(K431)=10,VALUE(LEFT(K431,FIND("/",K431)-1))&gt;=1,VALUE(LEFT(K431,FIND("/",K431)-1))&lt;=31,VALUE(LEFT(MID(K431,FIND("/",K431)+1,10),FIND("/",MID(K431,FIND("/",K431)+1,10))-1))&gt;=1,VALUE(LEFT(MID(K431,FIND("/",K431)+1,10),FIND("/",MID(K431,FIND("/",K431)+1,10))-1))&lt;=12,VALUE(LEFT(K431,FIND("/",K431)-1))&lt;=DAY(EOMONTH(DATE(VALUE(MID(MID(K431,FIND("/",K431)+1,10),FIND("/",MID(K431,FIND("/",K431)+1,10))+1,4)),VALUE(LEFT(MID(K431,FIND("/",K431)+1,10),FIND("/",MID(K431,FIND("/",K431)+1,10))-1)),1),0))),0,1),1)=1,"Date; ","")&amp;IF(IFERROR(IF(M431&gt;=0,0,1),1)=1,"Amount; ","")&amp;IF(IFERROR(IF(ISNUMBER(MATCH(N431,Lists!$B$2:$B$7,0)),0,1),1)=1,"Payment; ","")))</f>
        <v/>
      </c>
      <c r="R431" s="3" t="str">
        <f aca="false">IF(D431="","",IF(COUNTIFS($D$2:$D$701,D431,$E$2:$E$701,E431)&gt;1,"DUPLICATE","Unique"))</f>
        <v>Unique</v>
      </c>
    </row>
    <row r="432" customFormat="false" ht="15" hidden="false" customHeight="false" outlineLevel="0" collapsed="false">
      <c r="A432" s="3" t="n">
        <v>431</v>
      </c>
      <c r="B432" s="3" t="n">
        <v>9</v>
      </c>
      <c r="C432" s="3" t="s">
        <v>3088</v>
      </c>
      <c r="D432" s="3" t="s">
        <v>3089</v>
      </c>
      <c r="E432" s="3" t="s">
        <v>3090</v>
      </c>
      <c r="F432" s="3" t="s">
        <v>3091</v>
      </c>
      <c r="G432" s="3" t="s">
        <v>3092</v>
      </c>
      <c r="H432" s="3" t="s">
        <v>118</v>
      </c>
      <c r="I432" s="3" t="s">
        <v>69</v>
      </c>
      <c r="J432" s="3" t="s">
        <v>3093</v>
      </c>
      <c r="K432" s="3" t="s">
        <v>3094</v>
      </c>
      <c r="L432" s="3" t="s">
        <v>66</v>
      </c>
      <c r="M432" s="3" t="n">
        <v>7219.04</v>
      </c>
      <c r="N432" s="3" t="s">
        <v>52</v>
      </c>
      <c r="O432" s="3" t="n">
        <f aca="false">IFERROR(LEN(C432&amp;D432&amp;E432&amp;F432&amp;G432&amp;H432&amp;I432&amp;J432&amp;K432&amp;L432&amp;M432&amp;N432)/5,0)</f>
        <v>31.4</v>
      </c>
      <c r="P432" s="3" t="str">
        <f aca="false">IF(OR(D432="",C432=""),"",IF((IFERROR(IF(AND(TRIM(D432)=D432,LEN(D432)&gt;0),0,1),1)+IFERROR(IF(AND(LEN(E432)=10,ISNUMBER(VALUE(E432))),0,1),1)+IFERROR(IF(AND(ISNUMBER(SEARCH("@",F432)),ISNUMBER(SEARCH(".",F432))),0,1),1)+IFERROR(IF(AND(LEN(J432)=6,ISNUMBER(VALUE(J432))),0,1),1)+IFERROR(IF(ISNUMBER(MATCH(TRIM(I432),Lists!$A$2:$A$20,0)),0,1),1)+IFERROR(IF(AND(LEN(K432)=10,VALUE(LEFT(K432,FIND("/",K432)-1))&gt;=1,VALUE(LEFT(K432,FIND("/",K432)-1))&lt;=31,VALUE(LEFT(MID(K432,FIND("/",K432)+1,10),FIND("/",MID(K432,FIND("/",K432)+1,10))-1))&gt;=1,VALUE(LEFT(MID(K432,FIND("/",K432)+1,10),FIND("/",MID(K432,FIND("/",K432)+1,10))-1))&lt;=12,VALUE(LEFT(K432,FIND("/",K432)-1))&lt;=DAY(EOMONTH(DATE(VALUE(MID(MID(K432,FIND("/",K432)+1,10),FIND("/",MID(K432,FIND("/",K432)+1,10))+1,4)),VALUE(LEFT(MID(K432,FIND("/",K432)+1,10),FIND("/",MID(K432,FIND("/",K432)+1,10))-1)),1),0))),0,1),1)+IFERROR(IF(M432&gt;=0,0,1),1)+IFERROR(IF(ISNUMBER(MATCH(N432,Lists!$B$2:$B$7,0)),0,1),1))=0,"OK","ERROR"))</f>
        <v>OK</v>
      </c>
      <c r="Q432" s="3" t="str">
        <f aca="false">IF(D432="","",TRIM(IF(IFERROR(IF(AND(TRIM(D432)=D432,LEN(D432)&gt;0),0,1),1)=1,"Name; ","")&amp;IF(IFERROR(IF(AND(LEN(E432)=10,ISNUMBER(VALUE(E432))),0,1),1)=1,"Phone; ","")&amp;IF(IFERROR(IF(AND(ISNUMBER(SEARCH("@",F432)),ISNUMBER(SEARCH(".",F432))),0,1),1)=1,"Email; ","")&amp;IF(IFERROR(IF(AND(LEN(J432)=6,ISNUMBER(VALUE(J432))),0,1),1)=1,"Pincode; ","")&amp;IF(IFERROR(IF(ISNUMBER(MATCH(TRIM(I432),Lists!$A$2:$A$20,0)),0,1),1)=1,"State; ","")&amp;IF(IFERROR(IF(AND(LEN(K432)=10,VALUE(LEFT(K432,FIND("/",K432)-1))&gt;=1,VALUE(LEFT(K432,FIND("/",K432)-1))&lt;=31,VALUE(LEFT(MID(K432,FIND("/",K432)+1,10),FIND("/",MID(K432,FIND("/",K432)+1,10))-1))&gt;=1,VALUE(LEFT(MID(K432,FIND("/",K432)+1,10),FIND("/",MID(K432,FIND("/",K432)+1,10))-1))&lt;=12,VALUE(LEFT(K432,FIND("/",K432)-1))&lt;=DAY(EOMONTH(DATE(VALUE(MID(MID(K432,FIND("/",K432)+1,10),FIND("/",MID(K432,FIND("/",K432)+1,10))+1,4)),VALUE(LEFT(MID(K432,FIND("/",K432)+1,10),FIND("/",MID(K432,FIND("/",K432)+1,10))-1)),1),0))),0,1),1)=1,"Date; ","")&amp;IF(IFERROR(IF(M432&gt;=0,0,1),1)=1,"Amount; ","")&amp;IF(IFERROR(IF(ISNUMBER(MATCH(N432,Lists!$B$2:$B$7,0)),0,1),1)=1,"Payment; ","")))</f>
        <v/>
      </c>
      <c r="R432" s="3" t="str">
        <f aca="false">IF(D432="","",IF(COUNTIFS($D$2:$D$701,D432,$E$2:$E$701,E432)&gt;1,"DUPLICATE","Unique"))</f>
        <v>Unique</v>
      </c>
    </row>
    <row r="433" customFormat="false" ht="15" hidden="false" customHeight="false" outlineLevel="0" collapsed="false">
      <c r="A433" s="3" t="n">
        <v>432</v>
      </c>
      <c r="B433" s="3" t="n">
        <v>9</v>
      </c>
      <c r="C433" s="3" t="s">
        <v>3095</v>
      </c>
      <c r="D433" s="3" t="s">
        <v>3096</v>
      </c>
      <c r="E433" s="3" t="s">
        <v>3097</v>
      </c>
      <c r="F433" s="3" t="s">
        <v>3098</v>
      </c>
      <c r="G433" s="3" t="s">
        <v>3099</v>
      </c>
      <c r="H433" s="3" t="s">
        <v>340</v>
      </c>
      <c r="I433" s="3" t="s">
        <v>75</v>
      </c>
      <c r="J433" s="3" t="s">
        <v>3100</v>
      </c>
      <c r="K433" s="3" t="s">
        <v>3101</v>
      </c>
      <c r="L433" s="3" t="s">
        <v>53</v>
      </c>
      <c r="M433" s="3" t="n">
        <v>13350.19</v>
      </c>
      <c r="N433" s="3" t="s">
        <v>52</v>
      </c>
      <c r="O433" s="3" t="n">
        <f aca="false">IFERROR(LEN(C433&amp;D433&amp;E433&amp;F433&amp;G433&amp;H433&amp;I433&amp;J433&amp;K433&amp;L433&amp;M433&amp;N433)/5,0)</f>
        <v>28.2</v>
      </c>
      <c r="P433" s="3" t="str">
        <f aca="false">IF(OR(D433="",C433=""),"",IF((IFERROR(IF(AND(TRIM(D433)=D433,LEN(D433)&gt;0),0,1),1)+IFERROR(IF(AND(LEN(E433)=10,ISNUMBER(VALUE(E433))),0,1),1)+IFERROR(IF(AND(ISNUMBER(SEARCH("@",F433)),ISNUMBER(SEARCH(".",F433))),0,1),1)+IFERROR(IF(AND(LEN(J433)=6,ISNUMBER(VALUE(J433))),0,1),1)+IFERROR(IF(ISNUMBER(MATCH(TRIM(I433),Lists!$A$2:$A$20,0)),0,1),1)+IFERROR(IF(AND(LEN(K433)=10,VALUE(LEFT(K433,FIND("/",K433)-1))&gt;=1,VALUE(LEFT(K433,FIND("/",K433)-1))&lt;=31,VALUE(LEFT(MID(K433,FIND("/",K433)+1,10),FIND("/",MID(K433,FIND("/",K433)+1,10))-1))&gt;=1,VALUE(LEFT(MID(K433,FIND("/",K433)+1,10),FIND("/",MID(K433,FIND("/",K433)+1,10))-1))&lt;=12,VALUE(LEFT(K433,FIND("/",K433)-1))&lt;=DAY(EOMONTH(DATE(VALUE(MID(MID(K433,FIND("/",K433)+1,10),FIND("/",MID(K433,FIND("/",K433)+1,10))+1,4)),VALUE(LEFT(MID(K433,FIND("/",K433)+1,10),FIND("/",MID(K433,FIND("/",K433)+1,10))-1)),1),0))),0,1),1)+IFERROR(IF(M433&gt;=0,0,1),1)+IFERROR(IF(ISNUMBER(MATCH(N433,Lists!$B$2:$B$7,0)),0,1),1))=0,"OK","ERROR"))</f>
        <v>OK</v>
      </c>
      <c r="Q433" s="3" t="str">
        <f aca="false">IF(D433="","",TRIM(IF(IFERROR(IF(AND(TRIM(D433)=D433,LEN(D433)&gt;0),0,1),1)=1,"Name; ","")&amp;IF(IFERROR(IF(AND(LEN(E433)=10,ISNUMBER(VALUE(E433))),0,1),1)=1,"Phone; ","")&amp;IF(IFERROR(IF(AND(ISNUMBER(SEARCH("@",F433)),ISNUMBER(SEARCH(".",F433))),0,1),1)=1,"Email; ","")&amp;IF(IFERROR(IF(AND(LEN(J433)=6,ISNUMBER(VALUE(J433))),0,1),1)=1,"Pincode; ","")&amp;IF(IFERROR(IF(ISNUMBER(MATCH(TRIM(I433),Lists!$A$2:$A$20,0)),0,1),1)=1,"State; ","")&amp;IF(IFERROR(IF(AND(LEN(K433)=10,VALUE(LEFT(K433,FIND("/",K433)-1))&gt;=1,VALUE(LEFT(K433,FIND("/",K433)-1))&lt;=31,VALUE(LEFT(MID(K433,FIND("/",K433)+1,10),FIND("/",MID(K433,FIND("/",K433)+1,10))-1))&gt;=1,VALUE(LEFT(MID(K433,FIND("/",K433)+1,10),FIND("/",MID(K433,FIND("/",K433)+1,10))-1))&lt;=12,VALUE(LEFT(K433,FIND("/",K433)-1))&lt;=DAY(EOMONTH(DATE(VALUE(MID(MID(K433,FIND("/",K433)+1,10),FIND("/",MID(K433,FIND("/",K433)+1,10))+1,4)),VALUE(LEFT(MID(K433,FIND("/",K433)+1,10),FIND("/",MID(K433,FIND("/",K433)+1,10))-1)),1),0))),0,1),1)=1,"Date; ","")&amp;IF(IFERROR(IF(M433&gt;=0,0,1),1)=1,"Amount; ","")&amp;IF(IFERROR(IF(ISNUMBER(MATCH(N433,Lists!$B$2:$B$7,0)),0,1),1)=1,"Payment; ","")))</f>
        <v/>
      </c>
      <c r="R433" s="3" t="str">
        <f aca="false">IF(D433="","",IF(COUNTIFS($D$2:$D$701,D433,$E$2:$E$701,E433)&gt;1,"DUPLICATE","Unique"))</f>
        <v>Unique</v>
      </c>
    </row>
    <row r="434" customFormat="false" ht="15" hidden="false" customHeight="false" outlineLevel="0" collapsed="false">
      <c r="A434" s="3" t="n">
        <v>433</v>
      </c>
      <c r="B434" s="3" t="n">
        <v>9</v>
      </c>
      <c r="C434" s="3" t="s">
        <v>3102</v>
      </c>
      <c r="D434" s="3" t="s">
        <v>3103</v>
      </c>
      <c r="E434" s="3" t="s">
        <v>3104</v>
      </c>
      <c r="F434" s="3" t="s">
        <v>3105</v>
      </c>
      <c r="G434" s="3" t="s">
        <v>3106</v>
      </c>
      <c r="H434" s="3" t="s">
        <v>385</v>
      </c>
      <c r="I434" s="3" t="s">
        <v>73</v>
      </c>
      <c r="J434" s="3" t="s">
        <v>3107</v>
      </c>
      <c r="K434" s="3" t="s">
        <v>3108</v>
      </c>
      <c r="L434" s="3" t="s">
        <v>66</v>
      </c>
      <c r="M434" s="3" t="n">
        <v>7724.58</v>
      </c>
      <c r="N434" s="3" t="s">
        <v>55</v>
      </c>
      <c r="O434" s="3" t="n">
        <f aca="false">IFERROR(LEN(C434&amp;D434&amp;E434&amp;F434&amp;G434&amp;H434&amp;I434&amp;J434&amp;K434&amp;L434&amp;M434&amp;N434)/5,0)</f>
        <v>27.8</v>
      </c>
      <c r="P434" s="3" t="str">
        <f aca="false">IF(OR(D434="",C434=""),"",IF((IFERROR(IF(AND(TRIM(D434)=D434,LEN(D434)&gt;0),0,1),1)+IFERROR(IF(AND(LEN(E434)=10,ISNUMBER(VALUE(E434))),0,1),1)+IFERROR(IF(AND(ISNUMBER(SEARCH("@",F434)),ISNUMBER(SEARCH(".",F434))),0,1),1)+IFERROR(IF(AND(LEN(J434)=6,ISNUMBER(VALUE(J434))),0,1),1)+IFERROR(IF(ISNUMBER(MATCH(TRIM(I434),Lists!$A$2:$A$20,0)),0,1),1)+IFERROR(IF(AND(LEN(K434)=10,VALUE(LEFT(K434,FIND("/",K434)-1))&gt;=1,VALUE(LEFT(K434,FIND("/",K434)-1))&lt;=31,VALUE(LEFT(MID(K434,FIND("/",K434)+1,10),FIND("/",MID(K434,FIND("/",K434)+1,10))-1))&gt;=1,VALUE(LEFT(MID(K434,FIND("/",K434)+1,10),FIND("/",MID(K434,FIND("/",K434)+1,10))-1))&lt;=12,VALUE(LEFT(K434,FIND("/",K434)-1))&lt;=DAY(EOMONTH(DATE(VALUE(MID(MID(K434,FIND("/",K434)+1,10),FIND("/",MID(K434,FIND("/",K434)+1,10))+1,4)),VALUE(LEFT(MID(K434,FIND("/",K434)+1,10),FIND("/",MID(K434,FIND("/",K434)+1,10))-1)),1),0))),0,1),1)+IFERROR(IF(M434&gt;=0,0,1),1)+IFERROR(IF(ISNUMBER(MATCH(N434,Lists!$B$2:$B$7,0)),0,1),1))=0,"OK","ERROR"))</f>
        <v>OK</v>
      </c>
      <c r="Q434" s="3" t="str">
        <f aca="false">IF(D434="","",TRIM(IF(IFERROR(IF(AND(TRIM(D434)=D434,LEN(D434)&gt;0),0,1),1)=1,"Name; ","")&amp;IF(IFERROR(IF(AND(LEN(E434)=10,ISNUMBER(VALUE(E434))),0,1),1)=1,"Phone; ","")&amp;IF(IFERROR(IF(AND(ISNUMBER(SEARCH("@",F434)),ISNUMBER(SEARCH(".",F434))),0,1),1)=1,"Email; ","")&amp;IF(IFERROR(IF(AND(LEN(J434)=6,ISNUMBER(VALUE(J434))),0,1),1)=1,"Pincode; ","")&amp;IF(IFERROR(IF(ISNUMBER(MATCH(TRIM(I434),Lists!$A$2:$A$20,0)),0,1),1)=1,"State; ","")&amp;IF(IFERROR(IF(AND(LEN(K434)=10,VALUE(LEFT(K434,FIND("/",K434)-1))&gt;=1,VALUE(LEFT(K434,FIND("/",K434)-1))&lt;=31,VALUE(LEFT(MID(K434,FIND("/",K434)+1,10),FIND("/",MID(K434,FIND("/",K434)+1,10))-1))&gt;=1,VALUE(LEFT(MID(K434,FIND("/",K434)+1,10),FIND("/",MID(K434,FIND("/",K434)+1,10))-1))&lt;=12,VALUE(LEFT(K434,FIND("/",K434)-1))&lt;=DAY(EOMONTH(DATE(VALUE(MID(MID(K434,FIND("/",K434)+1,10),FIND("/",MID(K434,FIND("/",K434)+1,10))+1,4)),VALUE(LEFT(MID(K434,FIND("/",K434)+1,10),FIND("/",MID(K434,FIND("/",K434)+1,10))-1)),1),0))),0,1),1)=1,"Date; ","")&amp;IF(IFERROR(IF(M434&gt;=0,0,1),1)=1,"Amount; ","")&amp;IF(IFERROR(IF(ISNUMBER(MATCH(N434,Lists!$B$2:$B$7,0)),0,1),1)=1,"Payment; ","")))</f>
        <v/>
      </c>
      <c r="R434" s="3" t="str">
        <f aca="false">IF(D434="","",IF(COUNTIFS($D$2:$D$701,D434,$E$2:$E$701,E434)&gt;1,"DUPLICATE","Unique"))</f>
        <v>Unique</v>
      </c>
    </row>
    <row r="435" customFormat="false" ht="15" hidden="false" customHeight="false" outlineLevel="0" collapsed="false">
      <c r="A435" s="3" t="n">
        <v>434</v>
      </c>
      <c r="B435" s="3" t="n">
        <v>9</v>
      </c>
      <c r="C435" s="3" t="s">
        <v>3109</v>
      </c>
      <c r="D435" s="3" t="s">
        <v>3110</v>
      </c>
      <c r="E435" s="3" t="s">
        <v>3111</v>
      </c>
      <c r="F435" s="3" t="s">
        <v>3112</v>
      </c>
      <c r="G435" s="3" t="s">
        <v>3113</v>
      </c>
      <c r="H435" s="3" t="s">
        <v>318</v>
      </c>
      <c r="I435" s="3" t="s">
        <v>48</v>
      </c>
      <c r="J435" s="3" t="s">
        <v>3114</v>
      </c>
      <c r="K435" s="3" t="s">
        <v>3115</v>
      </c>
      <c r="L435" s="3" t="s">
        <v>53</v>
      </c>
      <c r="M435" s="3" t="n">
        <v>1584.35</v>
      </c>
      <c r="N435" s="3" t="s">
        <v>40</v>
      </c>
      <c r="O435" s="3" t="n">
        <f aca="false">IFERROR(LEN(C435&amp;D435&amp;E435&amp;F435&amp;G435&amp;H435&amp;I435&amp;J435&amp;K435&amp;L435&amp;M435&amp;N435)/5,0)</f>
        <v>26.2</v>
      </c>
      <c r="P435" s="3" t="str">
        <f aca="false">IF(OR(D435="",C435=""),"",IF((IFERROR(IF(AND(TRIM(D435)=D435,LEN(D435)&gt;0),0,1),1)+IFERROR(IF(AND(LEN(E435)=10,ISNUMBER(VALUE(E435))),0,1),1)+IFERROR(IF(AND(ISNUMBER(SEARCH("@",F435)),ISNUMBER(SEARCH(".",F435))),0,1),1)+IFERROR(IF(AND(LEN(J435)=6,ISNUMBER(VALUE(J435))),0,1),1)+IFERROR(IF(ISNUMBER(MATCH(TRIM(I435),Lists!$A$2:$A$20,0)),0,1),1)+IFERROR(IF(AND(LEN(K435)=10,VALUE(LEFT(K435,FIND("/",K435)-1))&gt;=1,VALUE(LEFT(K435,FIND("/",K435)-1))&lt;=31,VALUE(LEFT(MID(K435,FIND("/",K435)+1,10),FIND("/",MID(K435,FIND("/",K435)+1,10))-1))&gt;=1,VALUE(LEFT(MID(K435,FIND("/",K435)+1,10),FIND("/",MID(K435,FIND("/",K435)+1,10))-1))&lt;=12,VALUE(LEFT(K435,FIND("/",K435)-1))&lt;=DAY(EOMONTH(DATE(VALUE(MID(MID(K435,FIND("/",K435)+1,10),FIND("/",MID(K435,FIND("/",K435)+1,10))+1,4)),VALUE(LEFT(MID(K435,FIND("/",K435)+1,10),FIND("/",MID(K435,FIND("/",K435)+1,10))-1)),1),0))),0,1),1)+IFERROR(IF(M435&gt;=0,0,1),1)+IFERROR(IF(ISNUMBER(MATCH(N435,Lists!$B$2:$B$7,0)),0,1),1))=0,"OK","ERROR"))</f>
        <v>OK</v>
      </c>
      <c r="Q435" s="3" t="str">
        <f aca="false">IF(D435="","",TRIM(IF(IFERROR(IF(AND(TRIM(D435)=D435,LEN(D435)&gt;0),0,1),1)=1,"Name; ","")&amp;IF(IFERROR(IF(AND(LEN(E435)=10,ISNUMBER(VALUE(E435))),0,1),1)=1,"Phone; ","")&amp;IF(IFERROR(IF(AND(ISNUMBER(SEARCH("@",F435)),ISNUMBER(SEARCH(".",F435))),0,1),1)=1,"Email; ","")&amp;IF(IFERROR(IF(AND(LEN(J435)=6,ISNUMBER(VALUE(J435))),0,1),1)=1,"Pincode; ","")&amp;IF(IFERROR(IF(ISNUMBER(MATCH(TRIM(I435),Lists!$A$2:$A$20,0)),0,1),1)=1,"State; ","")&amp;IF(IFERROR(IF(AND(LEN(K435)=10,VALUE(LEFT(K435,FIND("/",K435)-1))&gt;=1,VALUE(LEFT(K435,FIND("/",K435)-1))&lt;=31,VALUE(LEFT(MID(K435,FIND("/",K435)+1,10),FIND("/",MID(K435,FIND("/",K435)+1,10))-1))&gt;=1,VALUE(LEFT(MID(K435,FIND("/",K435)+1,10),FIND("/",MID(K435,FIND("/",K435)+1,10))-1))&lt;=12,VALUE(LEFT(K435,FIND("/",K435)-1))&lt;=DAY(EOMONTH(DATE(VALUE(MID(MID(K435,FIND("/",K435)+1,10),FIND("/",MID(K435,FIND("/",K435)+1,10))+1,4)),VALUE(LEFT(MID(K435,FIND("/",K435)+1,10),FIND("/",MID(K435,FIND("/",K435)+1,10))-1)),1),0))),0,1),1)=1,"Date; ","")&amp;IF(IFERROR(IF(M435&gt;=0,0,1),1)=1,"Amount; ","")&amp;IF(IFERROR(IF(ISNUMBER(MATCH(N435,Lists!$B$2:$B$7,0)),0,1),1)=1,"Payment; ","")))</f>
        <v/>
      </c>
      <c r="R435" s="3" t="str">
        <f aca="false">IF(D435="","",IF(COUNTIFS($D$2:$D$701,D435,$E$2:$E$701,E435)&gt;1,"DUPLICATE","Unique"))</f>
        <v>Unique</v>
      </c>
    </row>
    <row r="436" customFormat="false" ht="15" hidden="false" customHeight="false" outlineLevel="0" collapsed="false">
      <c r="A436" s="3" t="n">
        <v>435</v>
      </c>
      <c r="B436" s="3" t="n">
        <v>9</v>
      </c>
      <c r="C436" s="3" t="s">
        <v>3116</v>
      </c>
      <c r="D436" s="3" t="s">
        <v>3117</v>
      </c>
      <c r="E436" s="3" t="s">
        <v>3118</v>
      </c>
      <c r="F436" s="3" t="s">
        <v>3119</v>
      </c>
      <c r="G436" s="3" t="s">
        <v>3120</v>
      </c>
      <c r="H436" s="3" t="s">
        <v>428</v>
      </c>
      <c r="I436" s="3" t="s">
        <v>65</v>
      </c>
      <c r="J436" s="3" t="s">
        <v>3121</v>
      </c>
      <c r="K436" s="3" t="s">
        <v>3122</v>
      </c>
      <c r="L436" s="3" t="s">
        <v>70</v>
      </c>
      <c r="M436" s="3" t="n">
        <v>10931.97</v>
      </c>
      <c r="N436" s="3" t="s">
        <v>43</v>
      </c>
      <c r="O436" s="3" t="n">
        <f aca="false">IFERROR(LEN(C436&amp;D436&amp;E436&amp;F436&amp;G436&amp;H436&amp;I436&amp;J436&amp;K436&amp;L436&amp;M436&amp;N436)/5,0)</f>
        <v>26</v>
      </c>
      <c r="P436" s="3" t="str">
        <f aca="false">IF(OR(D436="",C436=""),"",IF((IFERROR(IF(AND(TRIM(D436)=D436,LEN(D436)&gt;0),0,1),1)+IFERROR(IF(AND(LEN(E436)=10,ISNUMBER(VALUE(E436))),0,1),1)+IFERROR(IF(AND(ISNUMBER(SEARCH("@",F436)),ISNUMBER(SEARCH(".",F436))),0,1),1)+IFERROR(IF(AND(LEN(J436)=6,ISNUMBER(VALUE(J436))),0,1),1)+IFERROR(IF(ISNUMBER(MATCH(TRIM(I436),Lists!$A$2:$A$20,0)),0,1),1)+IFERROR(IF(AND(LEN(K436)=10,VALUE(LEFT(K436,FIND("/",K436)-1))&gt;=1,VALUE(LEFT(K436,FIND("/",K436)-1))&lt;=31,VALUE(LEFT(MID(K436,FIND("/",K436)+1,10),FIND("/",MID(K436,FIND("/",K436)+1,10))-1))&gt;=1,VALUE(LEFT(MID(K436,FIND("/",K436)+1,10),FIND("/",MID(K436,FIND("/",K436)+1,10))-1))&lt;=12,VALUE(LEFT(K436,FIND("/",K436)-1))&lt;=DAY(EOMONTH(DATE(VALUE(MID(MID(K436,FIND("/",K436)+1,10),FIND("/",MID(K436,FIND("/",K436)+1,10))+1,4)),VALUE(LEFT(MID(K436,FIND("/",K436)+1,10),FIND("/",MID(K436,FIND("/",K436)+1,10))-1)),1),0))),0,1),1)+IFERROR(IF(M436&gt;=0,0,1),1)+IFERROR(IF(ISNUMBER(MATCH(N436,Lists!$B$2:$B$7,0)),0,1),1))=0,"OK","ERROR"))</f>
        <v>OK</v>
      </c>
      <c r="Q436" s="3" t="str">
        <f aca="false">IF(D436="","",TRIM(IF(IFERROR(IF(AND(TRIM(D436)=D436,LEN(D436)&gt;0),0,1),1)=1,"Name; ","")&amp;IF(IFERROR(IF(AND(LEN(E436)=10,ISNUMBER(VALUE(E436))),0,1),1)=1,"Phone; ","")&amp;IF(IFERROR(IF(AND(ISNUMBER(SEARCH("@",F436)),ISNUMBER(SEARCH(".",F436))),0,1),1)=1,"Email; ","")&amp;IF(IFERROR(IF(AND(LEN(J436)=6,ISNUMBER(VALUE(J436))),0,1),1)=1,"Pincode; ","")&amp;IF(IFERROR(IF(ISNUMBER(MATCH(TRIM(I436),Lists!$A$2:$A$20,0)),0,1),1)=1,"State; ","")&amp;IF(IFERROR(IF(AND(LEN(K436)=10,VALUE(LEFT(K436,FIND("/",K436)-1))&gt;=1,VALUE(LEFT(K436,FIND("/",K436)-1))&lt;=31,VALUE(LEFT(MID(K436,FIND("/",K436)+1,10),FIND("/",MID(K436,FIND("/",K436)+1,10))-1))&gt;=1,VALUE(LEFT(MID(K436,FIND("/",K436)+1,10),FIND("/",MID(K436,FIND("/",K436)+1,10))-1))&lt;=12,VALUE(LEFT(K436,FIND("/",K436)-1))&lt;=DAY(EOMONTH(DATE(VALUE(MID(MID(K436,FIND("/",K436)+1,10),FIND("/",MID(K436,FIND("/",K436)+1,10))+1,4)),VALUE(LEFT(MID(K436,FIND("/",K436)+1,10),FIND("/",MID(K436,FIND("/",K436)+1,10))-1)),1),0))),0,1),1)=1,"Date; ","")&amp;IF(IFERROR(IF(M436&gt;=0,0,1),1)=1,"Amount; ","")&amp;IF(IFERROR(IF(ISNUMBER(MATCH(N436,Lists!$B$2:$B$7,0)),0,1),1)=1,"Payment; ","")))</f>
        <v/>
      </c>
      <c r="R436" s="3" t="str">
        <f aca="false">IF(D436="","",IF(COUNTIFS($D$2:$D$701,D436,$E$2:$E$701,E436)&gt;1,"DUPLICATE","Unique"))</f>
        <v>Unique</v>
      </c>
    </row>
    <row r="437" customFormat="false" ht="15" hidden="false" customHeight="false" outlineLevel="0" collapsed="false">
      <c r="A437" s="3" t="n">
        <v>436</v>
      </c>
      <c r="B437" s="3" t="n">
        <v>9</v>
      </c>
      <c r="C437" s="3" t="s">
        <v>3123</v>
      </c>
      <c r="D437" s="3" t="s">
        <v>3124</v>
      </c>
      <c r="E437" s="3" t="s">
        <v>3125</v>
      </c>
      <c r="F437" s="3" t="s">
        <v>3126</v>
      </c>
      <c r="G437" s="3" t="s">
        <v>3127</v>
      </c>
      <c r="H437" s="3" t="s">
        <v>633</v>
      </c>
      <c r="I437" s="3" t="s">
        <v>76</v>
      </c>
      <c r="J437" s="3" t="s">
        <v>3128</v>
      </c>
      <c r="K437" s="3" t="s">
        <v>3129</v>
      </c>
      <c r="L437" s="3" t="s">
        <v>68</v>
      </c>
      <c r="M437" s="3" t="n">
        <v>2149.73</v>
      </c>
      <c r="N437" s="3" t="s">
        <v>55</v>
      </c>
      <c r="O437" s="3" t="n">
        <f aca="false">IFERROR(LEN(C437&amp;D437&amp;E437&amp;F437&amp;G437&amp;H437&amp;I437&amp;J437&amp;K437&amp;L437&amp;M437&amp;N437)/5,0)</f>
        <v>25.6</v>
      </c>
      <c r="P437" s="3" t="str">
        <f aca="false">IF(OR(D437="",C437=""),"",IF((IFERROR(IF(AND(TRIM(D437)=D437,LEN(D437)&gt;0),0,1),1)+IFERROR(IF(AND(LEN(E437)=10,ISNUMBER(VALUE(E437))),0,1),1)+IFERROR(IF(AND(ISNUMBER(SEARCH("@",F437)),ISNUMBER(SEARCH(".",F437))),0,1),1)+IFERROR(IF(AND(LEN(J437)=6,ISNUMBER(VALUE(J437))),0,1),1)+IFERROR(IF(ISNUMBER(MATCH(TRIM(I437),Lists!$A$2:$A$20,0)),0,1),1)+IFERROR(IF(AND(LEN(K437)=10,VALUE(LEFT(K437,FIND("/",K437)-1))&gt;=1,VALUE(LEFT(K437,FIND("/",K437)-1))&lt;=31,VALUE(LEFT(MID(K437,FIND("/",K437)+1,10),FIND("/",MID(K437,FIND("/",K437)+1,10))-1))&gt;=1,VALUE(LEFT(MID(K437,FIND("/",K437)+1,10),FIND("/",MID(K437,FIND("/",K437)+1,10))-1))&lt;=12,VALUE(LEFT(K437,FIND("/",K437)-1))&lt;=DAY(EOMONTH(DATE(VALUE(MID(MID(K437,FIND("/",K437)+1,10),FIND("/",MID(K437,FIND("/",K437)+1,10))+1,4)),VALUE(LEFT(MID(K437,FIND("/",K437)+1,10),FIND("/",MID(K437,FIND("/",K437)+1,10))-1)),1),0))),0,1),1)+IFERROR(IF(M437&gt;=0,0,1),1)+IFERROR(IF(ISNUMBER(MATCH(N437,Lists!$B$2:$B$7,0)),0,1),1))=0,"OK","ERROR"))</f>
        <v>OK</v>
      </c>
      <c r="Q437" s="3" t="str">
        <f aca="false">IF(D437="","",TRIM(IF(IFERROR(IF(AND(TRIM(D437)=D437,LEN(D437)&gt;0),0,1),1)=1,"Name; ","")&amp;IF(IFERROR(IF(AND(LEN(E437)=10,ISNUMBER(VALUE(E437))),0,1),1)=1,"Phone; ","")&amp;IF(IFERROR(IF(AND(ISNUMBER(SEARCH("@",F437)),ISNUMBER(SEARCH(".",F437))),0,1),1)=1,"Email; ","")&amp;IF(IFERROR(IF(AND(LEN(J437)=6,ISNUMBER(VALUE(J437))),0,1),1)=1,"Pincode; ","")&amp;IF(IFERROR(IF(ISNUMBER(MATCH(TRIM(I437),Lists!$A$2:$A$20,0)),0,1),1)=1,"State; ","")&amp;IF(IFERROR(IF(AND(LEN(K437)=10,VALUE(LEFT(K437,FIND("/",K437)-1))&gt;=1,VALUE(LEFT(K437,FIND("/",K437)-1))&lt;=31,VALUE(LEFT(MID(K437,FIND("/",K437)+1,10),FIND("/",MID(K437,FIND("/",K437)+1,10))-1))&gt;=1,VALUE(LEFT(MID(K437,FIND("/",K437)+1,10),FIND("/",MID(K437,FIND("/",K437)+1,10))-1))&lt;=12,VALUE(LEFT(K437,FIND("/",K437)-1))&lt;=DAY(EOMONTH(DATE(VALUE(MID(MID(K437,FIND("/",K437)+1,10),FIND("/",MID(K437,FIND("/",K437)+1,10))+1,4)),VALUE(LEFT(MID(K437,FIND("/",K437)+1,10),FIND("/",MID(K437,FIND("/",K437)+1,10))-1)),1),0))),0,1),1)=1,"Date; ","")&amp;IF(IFERROR(IF(M437&gt;=0,0,1),1)=1,"Amount; ","")&amp;IF(IFERROR(IF(ISNUMBER(MATCH(N437,Lists!$B$2:$B$7,0)),0,1),1)=1,"Payment; ","")))</f>
        <v/>
      </c>
      <c r="R437" s="3" t="str">
        <f aca="false">IF(D437="","",IF(COUNTIFS($D$2:$D$701,D437,$E$2:$E$701,E437)&gt;1,"DUPLICATE","Unique"))</f>
        <v>Unique</v>
      </c>
    </row>
    <row r="438" customFormat="false" ht="15" hidden="false" customHeight="false" outlineLevel="0" collapsed="false">
      <c r="A438" s="3" t="n">
        <v>437</v>
      </c>
      <c r="B438" s="3" t="n">
        <v>9</v>
      </c>
      <c r="C438" s="3" t="s">
        <v>3130</v>
      </c>
      <c r="D438" s="3" t="s">
        <v>3131</v>
      </c>
      <c r="E438" s="3" t="s">
        <v>3132</v>
      </c>
      <c r="F438" s="3" t="s">
        <v>3133</v>
      </c>
      <c r="G438" s="3" t="s">
        <v>3134</v>
      </c>
      <c r="H438" s="3" t="s">
        <v>266</v>
      </c>
      <c r="I438" s="3" t="s">
        <v>78</v>
      </c>
      <c r="J438" s="3" t="s">
        <v>3135</v>
      </c>
      <c r="K438" s="3" t="s">
        <v>857</v>
      </c>
      <c r="L438" s="3" t="s">
        <v>62</v>
      </c>
      <c r="M438" s="3" t="n">
        <v>6397.11</v>
      </c>
      <c r="N438" s="3" t="s">
        <v>49</v>
      </c>
      <c r="O438" s="3" t="n">
        <f aca="false">IFERROR(LEN(C438&amp;D438&amp;E438&amp;F438&amp;G438&amp;H438&amp;I438&amp;J438&amp;K438&amp;L438&amp;M438&amp;N438)/5,0)</f>
        <v>25.8</v>
      </c>
      <c r="P438" s="3" t="str">
        <f aca="false">IF(OR(D438="",C438=""),"",IF((IFERROR(IF(AND(TRIM(D438)=D438,LEN(D438)&gt;0),0,1),1)+IFERROR(IF(AND(LEN(E438)=10,ISNUMBER(VALUE(E438))),0,1),1)+IFERROR(IF(AND(ISNUMBER(SEARCH("@",F438)),ISNUMBER(SEARCH(".",F438))),0,1),1)+IFERROR(IF(AND(LEN(J438)=6,ISNUMBER(VALUE(J438))),0,1),1)+IFERROR(IF(ISNUMBER(MATCH(TRIM(I438),Lists!$A$2:$A$20,0)),0,1),1)+IFERROR(IF(AND(LEN(K438)=10,VALUE(LEFT(K438,FIND("/",K438)-1))&gt;=1,VALUE(LEFT(K438,FIND("/",K438)-1))&lt;=31,VALUE(LEFT(MID(K438,FIND("/",K438)+1,10),FIND("/",MID(K438,FIND("/",K438)+1,10))-1))&gt;=1,VALUE(LEFT(MID(K438,FIND("/",K438)+1,10),FIND("/",MID(K438,FIND("/",K438)+1,10))-1))&lt;=12,VALUE(LEFT(K438,FIND("/",K438)-1))&lt;=DAY(EOMONTH(DATE(VALUE(MID(MID(K438,FIND("/",K438)+1,10),FIND("/",MID(K438,FIND("/",K438)+1,10))+1,4)),VALUE(LEFT(MID(K438,FIND("/",K438)+1,10),FIND("/",MID(K438,FIND("/",K438)+1,10))-1)),1),0))),0,1),1)+IFERROR(IF(M438&gt;=0,0,1),1)+IFERROR(IF(ISNUMBER(MATCH(N438,Lists!$B$2:$B$7,0)),0,1),1))=0,"OK","ERROR"))</f>
        <v>OK</v>
      </c>
      <c r="Q438" s="3" t="str">
        <f aca="false">IF(D438="","",TRIM(IF(IFERROR(IF(AND(TRIM(D438)=D438,LEN(D438)&gt;0),0,1),1)=1,"Name; ","")&amp;IF(IFERROR(IF(AND(LEN(E438)=10,ISNUMBER(VALUE(E438))),0,1),1)=1,"Phone; ","")&amp;IF(IFERROR(IF(AND(ISNUMBER(SEARCH("@",F438)),ISNUMBER(SEARCH(".",F438))),0,1),1)=1,"Email; ","")&amp;IF(IFERROR(IF(AND(LEN(J438)=6,ISNUMBER(VALUE(J438))),0,1),1)=1,"Pincode; ","")&amp;IF(IFERROR(IF(ISNUMBER(MATCH(TRIM(I438),Lists!$A$2:$A$20,0)),0,1),1)=1,"State; ","")&amp;IF(IFERROR(IF(AND(LEN(K438)=10,VALUE(LEFT(K438,FIND("/",K438)-1))&gt;=1,VALUE(LEFT(K438,FIND("/",K438)-1))&lt;=31,VALUE(LEFT(MID(K438,FIND("/",K438)+1,10),FIND("/",MID(K438,FIND("/",K438)+1,10))-1))&gt;=1,VALUE(LEFT(MID(K438,FIND("/",K438)+1,10),FIND("/",MID(K438,FIND("/",K438)+1,10))-1))&lt;=12,VALUE(LEFT(K438,FIND("/",K438)-1))&lt;=DAY(EOMONTH(DATE(VALUE(MID(MID(K438,FIND("/",K438)+1,10),FIND("/",MID(K438,FIND("/",K438)+1,10))+1,4)),VALUE(LEFT(MID(K438,FIND("/",K438)+1,10),FIND("/",MID(K438,FIND("/",K438)+1,10))-1)),1),0))),0,1),1)=1,"Date; ","")&amp;IF(IFERROR(IF(M438&gt;=0,0,1),1)=1,"Amount; ","")&amp;IF(IFERROR(IF(ISNUMBER(MATCH(N438,Lists!$B$2:$B$7,0)),0,1),1)=1,"Payment; ","")))</f>
        <v/>
      </c>
      <c r="R438" s="3" t="str">
        <f aca="false">IF(D438="","",IF(COUNTIFS($D$2:$D$701,D438,$E$2:$E$701,E438)&gt;1,"DUPLICATE","Unique"))</f>
        <v>Unique</v>
      </c>
    </row>
    <row r="439" customFormat="false" ht="15" hidden="false" customHeight="false" outlineLevel="0" collapsed="false">
      <c r="A439" s="3" t="n">
        <v>438</v>
      </c>
      <c r="B439" s="3" t="n">
        <v>9</v>
      </c>
      <c r="C439" s="3" t="s">
        <v>3136</v>
      </c>
      <c r="D439" s="3" t="s">
        <v>3137</v>
      </c>
      <c r="E439" s="3" t="s">
        <v>3138</v>
      </c>
      <c r="F439" s="3" t="s">
        <v>3139</v>
      </c>
      <c r="G439" s="3" t="s">
        <v>3140</v>
      </c>
      <c r="H439" s="3" t="s">
        <v>340</v>
      </c>
      <c r="I439" s="3" t="s">
        <v>75</v>
      </c>
      <c r="J439" s="3" t="s">
        <v>3141</v>
      </c>
      <c r="K439" s="3" t="s">
        <v>3142</v>
      </c>
      <c r="L439" s="3" t="s">
        <v>60</v>
      </c>
      <c r="M439" s="3" t="n">
        <v>11195.1</v>
      </c>
      <c r="N439" s="3" t="s">
        <v>46</v>
      </c>
      <c r="O439" s="3" t="n">
        <f aca="false">IFERROR(LEN(C439&amp;D439&amp;E439&amp;F439&amp;G439&amp;H439&amp;I439&amp;J439&amp;K439&amp;L439&amp;M439&amp;N439)/5,0)</f>
        <v>27.8</v>
      </c>
      <c r="P439" s="3" t="str">
        <f aca="false">IF(OR(D439="",C439=""),"",IF((IFERROR(IF(AND(TRIM(D439)=D439,LEN(D439)&gt;0),0,1),1)+IFERROR(IF(AND(LEN(E439)=10,ISNUMBER(VALUE(E439))),0,1),1)+IFERROR(IF(AND(ISNUMBER(SEARCH("@",F439)),ISNUMBER(SEARCH(".",F439))),0,1),1)+IFERROR(IF(AND(LEN(J439)=6,ISNUMBER(VALUE(J439))),0,1),1)+IFERROR(IF(ISNUMBER(MATCH(TRIM(I439),Lists!$A$2:$A$20,0)),0,1),1)+IFERROR(IF(AND(LEN(K439)=10,VALUE(LEFT(K439,FIND("/",K439)-1))&gt;=1,VALUE(LEFT(K439,FIND("/",K439)-1))&lt;=31,VALUE(LEFT(MID(K439,FIND("/",K439)+1,10),FIND("/",MID(K439,FIND("/",K439)+1,10))-1))&gt;=1,VALUE(LEFT(MID(K439,FIND("/",K439)+1,10),FIND("/",MID(K439,FIND("/",K439)+1,10))-1))&lt;=12,VALUE(LEFT(K439,FIND("/",K439)-1))&lt;=DAY(EOMONTH(DATE(VALUE(MID(MID(K439,FIND("/",K439)+1,10),FIND("/",MID(K439,FIND("/",K439)+1,10))+1,4)),VALUE(LEFT(MID(K439,FIND("/",K439)+1,10),FIND("/",MID(K439,FIND("/",K439)+1,10))-1)),1),0))),0,1),1)+IFERROR(IF(M439&gt;=0,0,1),1)+IFERROR(IF(ISNUMBER(MATCH(N439,Lists!$B$2:$B$7,0)),0,1),1))=0,"OK","ERROR"))</f>
        <v>OK</v>
      </c>
      <c r="Q439" s="3" t="str">
        <f aca="false">IF(D439="","",TRIM(IF(IFERROR(IF(AND(TRIM(D439)=D439,LEN(D439)&gt;0),0,1),1)=1,"Name; ","")&amp;IF(IFERROR(IF(AND(LEN(E439)=10,ISNUMBER(VALUE(E439))),0,1),1)=1,"Phone; ","")&amp;IF(IFERROR(IF(AND(ISNUMBER(SEARCH("@",F439)),ISNUMBER(SEARCH(".",F439))),0,1),1)=1,"Email; ","")&amp;IF(IFERROR(IF(AND(LEN(J439)=6,ISNUMBER(VALUE(J439))),0,1),1)=1,"Pincode; ","")&amp;IF(IFERROR(IF(ISNUMBER(MATCH(TRIM(I439),Lists!$A$2:$A$20,0)),0,1),1)=1,"State; ","")&amp;IF(IFERROR(IF(AND(LEN(K439)=10,VALUE(LEFT(K439,FIND("/",K439)-1))&gt;=1,VALUE(LEFT(K439,FIND("/",K439)-1))&lt;=31,VALUE(LEFT(MID(K439,FIND("/",K439)+1,10),FIND("/",MID(K439,FIND("/",K439)+1,10))-1))&gt;=1,VALUE(LEFT(MID(K439,FIND("/",K439)+1,10),FIND("/",MID(K439,FIND("/",K439)+1,10))-1))&lt;=12,VALUE(LEFT(K439,FIND("/",K439)-1))&lt;=DAY(EOMONTH(DATE(VALUE(MID(MID(K439,FIND("/",K439)+1,10),FIND("/",MID(K439,FIND("/",K439)+1,10))+1,4)),VALUE(LEFT(MID(K439,FIND("/",K439)+1,10),FIND("/",MID(K439,FIND("/",K439)+1,10))-1)),1),0))),0,1),1)=1,"Date; ","")&amp;IF(IFERROR(IF(M439&gt;=0,0,1),1)=1,"Amount; ","")&amp;IF(IFERROR(IF(ISNUMBER(MATCH(N439,Lists!$B$2:$B$7,0)),0,1),1)=1,"Payment; ","")))</f>
        <v/>
      </c>
      <c r="R439" s="3" t="str">
        <f aca="false">IF(D439="","",IF(COUNTIFS($D$2:$D$701,D439,$E$2:$E$701,E439)&gt;1,"DUPLICATE","Unique"))</f>
        <v>Unique</v>
      </c>
    </row>
    <row r="440" customFormat="false" ht="15" hidden="false" customHeight="false" outlineLevel="0" collapsed="false">
      <c r="A440" s="3" t="n">
        <v>439</v>
      </c>
      <c r="B440" s="3" t="n">
        <v>9</v>
      </c>
      <c r="C440" s="3" t="s">
        <v>3143</v>
      </c>
      <c r="D440" s="3" t="s">
        <v>3144</v>
      </c>
      <c r="E440" s="3" t="s">
        <v>3145</v>
      </c>
      <c r="F440" s="3" t="s">
        <v>3146</v>
      </c>
      <c r="G440" s="3" t="s">
        <v>3147</v>
      </c>
      <c r="H440" s="3" t="s">
        <v>1690</v>
      </c>
      <c r="I440" s="3" t="s">
        <v>51</v>
      </c>
      <c r="J440" s="3" t="s">
        <v>3148</v>
      </c>
      <c r="K440" s="3" t="s">
        <v>3149</v>
      </c>
      <c r="L440" s="3" t="s">
        <v>66</v>
      </c>
      <c r="M440" s="3" t="n">
        <v>5547.08</v>
      </c>
      <c r="N440" s="3" t="s">
        <v>49</v>
      </c>
      <c r="O440" s="3" t="n">
        <f aca="false">IFERROR(LEN(C440&amp;D440&amp;E440&amp;F440&amp;G440&amp;H440&amp;I440&amp;J440&amp;K440&amp;L440&amp;M440&amp;N440)/5,0)</f>
        <v>31.2</v>
      </c>
      <c r="P440" s="3" t="str">
        <f aca="false">IF(OR(D440="",C440=""),"",IF((IFERROR(IF(AND(TRIM(D440)=D440,LEN(D440)&gt;0),0,1),1)+IFERROR(IF(AND(LEN(E440)=10,ISNUMBER(VALUE(E440))),0,1),1)+IFERROR(IF(AND(ISNUMBER(SEARCH("@",F440)),ISNUMBER(SEARCH(".",F440))),0,1),1)+IFERROR(IF(AND(LEN(J440)=6,ISNUMBER(VALUE(J440))),0,1),1)+IFERROR(IF(ISNUMBER(MATCH(TRIM(I440),Lists!$A$2:$A$20,0)),0,1),1)+IFERROR(IF(AND(LEN(K440)=10,VALUE(LEFT(K440,FIND("/",K440)-1))&gt;=1,VALUE(LEFT(K440,FIND("/",K440)-1))&lt;=31,VALUE(LEFT(MID(K440,FIND("/",K440)+1,10),FIND("/",MID(K440,FIND("/",K440)+1,10))-1))&gt;=1,VALUE(LEFT(MID(K440,FIND("/",K440)+1,10),FIND("/",MID(K440,FIND("/",K440)+1,10))-1))&lt;=12,VALUE(LEFT(K440,FIND("/",K440)-1))&lt;=DAY(EOMONTH(DATE(VALUE(MID(MID(K440,FIND("/",K440)+1,10),FIND("/",MID(K440,FIND("/",K440)+1,10))+1,4)),VALUE(LEFT(MID(K440,FIND("/",K440)+1,10),FIND("/",MID(K440,FIND("/",K440)+1,10))-1)),1),0))),0,1),1)+IFERROR(IF(M440&gt;=0,0,1),1)+IFERROR(IF(ISNUMBER(MATCH(N440,Lists!$B$2:$B$7,0)),0,1),1))=0,"OK","ERROR"))</f>
        <v>OK</v>
      </c>
      <c r="Q440" s="3" t="str">
        <f aca="false">IF(D440="","",TRIM(IF(IFERROR(IF(AND(TRIM(D440)=D440,LEN(D440)&gt;0),0,1),1)=1,"Name; ","")&amp;IF(IFERROR(IF(AND(LEN(E440)=10,ISNUMBER(VALUE(E440))),0,1),1)=1,"Phone; ","")&amp;IF(IFERROR(IF(AND(ISNUMBER(SEARCH("@",F440)),ISNUMBER(SEARCH(".",F440))),0,1),1)=1,"Email; ","")&amp;IF(IFERROR(IF(AND(LEN(J440)=6,ISNUMBER(VALUE(J440))),0,1),1)=1,"Pincode; ","")&amp;IF(IFERROR(IF(ISNUMBER(MATCH(TRIM(I440),Lists!$A$2:$A$20,0)),0,1),1)=1,"State; ","")&amp;IF(IFERROR(IF(AND(LEN(K440)=10,VALUE(LEFT(K440,FIND("/",K440)-1))&gt;=1,VALUE(LEFT(K440,FIND("/",K440)-1))&lt;=31,VALUE(LEFT(MID(K440,FIND("/",K440)+1,10),FIND("/",MID(K440,FIND("/",K440)+1,10))-1))&gt;=1,VALUE(LEFT(MID(K440,FIND("/",K440)+1,10),FIND("/",MID(K440,FIND("/",K440)+1,10))-1))&lt;=12,VALUE(LEFT(K440,FIND("/",K440)-1))&lt;=DAY(EOMONTH(DATE(VALUE(MID(MID(K440,FIND("/",K440)+1,10),FIND("/",MID(K440,FIND("/",K440)+1,10))+1,4)),VALUE(LEFT(MID(K440,FIND("/",K440)+1,10),FIND("/",MID(K440,FIND("/",K440)+1,10))-1)),1),0))),0,1),1)=1,"Date; ","")&amp;IF(IFERROR(IF(M440&gt;=0,0,1),1)=1,"Amount; ","")&amp;IF(IFERROR(IF(ISNUMBER(MATCH(N440,Lists!$B$2:$B$7,0)),0,1),1)=1,"Payment; ","")))</f>
        <v/>
      </c>
      <c r="R440" s="3" t="str">
        <f aca="false">IF(D440="","",IF(COUNTIFS($D$2:$D$701,D440,$E$2:$E$701,E440)&gt;1,"DUPLICATE","Unique"))</f>
        <v>Unique</v>
      </c>
    </row>
    <row r="441" customFormat="false" ht="15" hidden="false" customHeight="false" outlineLevel="0" collapsed="false">
      <c r="A441" s="3" t="n">
        <v>440</v>
      </c>
      <c r="B441" s="3" t="n">
        <v>9</v>
      </c>
      <c r="C441" s="3" t="s">
        <v>3150</v>
      </c>
      <c r="D441" s="3" t="s">
        <v>3151</v>
      </c>
      <c r="E441" s="3" t="s">
        <v>3152</v>
      </c>
      <c r="F441" s="3" t="s">
        <v>3153</v>
      </c>
      <c r="G441" s="3" t="s">
        <v>3154</v>
      </c>
      <c r="H441" s="3" t="s">
        <v>480</v>
      </c>
      <c r="I441" s="3" t="s">
        <v>51</v>
      </c>
      <c r="J441" s="3" t="s">
        <v>3155</v>
      </c>
      <c r="K441" s="3" t="s">
        <v>2906</v>
      </c>
      <c r="L441" s="3" t="s">
        <v>41</v>
      </c>
      <c r="M441" s="3" t="n">
        <v>2095.01</v>
      </c>
      <c r="N441" s="3" t="s">
        <v>40</v>
      </c>
      <c r="O441" s="3" t="n">
        <f aca="false">IFERROR(LEN(C441&amp;D441&amp;E441&amp;F441&amp;G441&amp;H441&amp;I441&amp;J441&amp;K441&amp;L441&amp;M441&amp;N441)/5,0)</f>
        <v>27.2</v>
      </c>
      <c r="P441" s="3" t="str">
        <f aca="false">IF(OR(D441="",C441=""),"",IF((IFERROR(IF(AND(TRIM(D441)=D441,LEN(D441)&gt;0),0,1),1)+IFERROR(IF(AND(LEN(E441)=10,ISNUMBER(VALUE(E441))),0,1),1)+IFERROR(IF(AND(ISNUMBER(SEARCH("@",F441)),ISNUMBER(SEARCH(".",F441))),0,1),1)+IFERROR(IF(AND(LEN(J441)=6,ISNUMBER(VALUE(J441))),0,1),1)+IFERROR(IF(ISNUMBER(MATCH(TRIM(I441),Lists!$A$2:$A$20,0)),0,1),1)+IFERROR(IF(AND(LEN(K441)=10,VALUE(LEFT(K441,FIND("/",K441)-1))&gt;=1,VALUE(LEFT(K441,FIND("/",K441)-1))&lt;=31,VALUE(LEFT(MID(K441,FIND("/",K441)+1,10),FIND("/",MID(K441,FIND("/",K441)+1,10))-1))&gt;=1,VALUE(LEFT(MID(K441,FIND("/",K441)+1,10),FIND("/",MID(K441,FIND("/",K441)+1,10))-1))&lt;=12,VALUE(LEFT(K441,FIND("/",K441)-1))&lt;=DAY(EOMONTH(DATE(VALUE(MID(MID(K441,FIND("/",K441)+1,10),FIND("/",MID(K441,FIND("/",K441)+1,10))+1,4)),VALUE(LEFT(MID(K441,FIND("/",K441)+1,10),FIND("/",MID(K441,FIND("/",K441)+1,10))-1)),1),0))),0,1),1)+IFERROR(IF(M441&gt;=0,0,1),1)+IFERROR(IF(ISNUMBER(MATCH(N441,Lists!$B$2:$B$7,0)),0,1),1))=0,"OK","ERROR"))</f>
        <v>OK</v>
      </c>
      <c r="Q441" s="3" t="str">
        <f aca="false">IF(D441="","",TRIM(IF(IFERROR(IF(AND(TRIM(D441)=D441,LEN(D441)&gt;0),0,1),1)=1,"Name; ","")&amp;IF(IFERROR(IF(AND(LEN(E441)=10,ISNUMBER(VALUE(E441))),0,1),1)=1,"Phone; ","")&amp;IF(IFERROR(IF(AND(ISNUMBER(SEARCH("@",F441)),ISNUMBER(SEARCH(".",F441))),0,1),1)=1,"Email; ","")&amp;IF(IFERROR(IF(AND(LEN(J441)=6,ISNUMBER(VALUE(J441))),0,1),1)=1,"Pincode; ","")&amp;IF(IFERROR(IF(ISNUMBER(MATCH(TRIM(I441),Lists!$A$2:$A$20,0)),0,1),1)=1,"State; ","")&amp;IF(IFERROR(IF(AND(LEN(K441)=10,VALUE(LEFT(K441,FIND("/",K441)-1))&gt;=1,VALUE(LEFT(K441,FIND("/",K441)-1))&lt;=31,VALUE(LEFT(MID(K441,FIND("/",K441)+1,10),FIND("/",MID(K441,FIND("/",K441)+1,10))-1))&gt;=1,VALUE(LEFT(MID(K441,FIND("/",K441)+1,10),FIND("/",MID(K441,FIND("/",K441)+1,10))-1))&lt;=12,VALUE(LEFT(K441,FIND("/",K441)-1))&lt;=DAY(EOMONTH(DATE(VALUE(MID(MID(K441,FIND("/",K441)+1,10),FIND("/",MID(K441,FIND("/",K441)+1,10))+1,4)),VALUE(LEFT(MID(K441,FIND("/",K441)+1,10),FIND("/",MID(K441,FIND("/",K441)+1,10))-1)),1),0))),0,1),1)=1,"Date; ","")&amp;IF(IFERROR(IF(M441&gt;=0,0,1),1)=1,"Amount; ","")&amp;IF(IFERROR(IF(ISNUMBER(MATCH(N441,Lists!$B$2:$B$7,0)),0,1),1)=1,"Payment; ","")))</f>
        <v/>
      </c>
      <c r="R441" s="3" t="str">
        <f aca="false">IF(D441="","",IF(COUNTIFS($D$2:$D$701,D441,$E$2:$E$701,E441)&gt;1,"DUPLICATE","Unique"))</f>
        <v>Unique</v>
      </c>
    </row>
    <row r="442" customFormat="false" ht="15" hidden="false" customHeight="false" outlineLevel="0" collapsed="false">
      <c r="A442" s="3" t="n">
        <v>441</v>
      </c>
      <c r="B442" s="3" t="n">
        <v>9</v>
      </c>
      <c r="C442" s="3" t="s">
        <v>3156</v>
      </c>
      <c r="D442" s="3" t="s">
        <v>3157</v>
      </c>
      <c r="E442" s="3" t="s">
        <v>3158</v>
      </c>
      <c r="F442" s="3" t="s">
        <v>3159</v>
      </c>
      <c r="G442" s="3" t="s">
        <v>3160</v>
      </c>
      <c r="H442" s="3" t="s">
        <v>663</v>
      </c>
      <c r="I442" s="3" t="s">
        <v>48</v>
      </c>
      <c r="J442" s="3" t="s">
        <v>3161</v>
      </c>
      <c r="K442" s="3" t="s">
        <v>1725</v>
      </c>
      <c r="L442" s="3" t="s">
        <v>44</v>
      </c>
      <c r="M442" s="3" t="n">
        <v>5337.62</v>
      </c>
      <c r="N442" s="3" t="s">
        <v>55</v>
      </c>
      <c r="O442" s="3" t="n">
        <f aca="false">IFERROR(LEN(C442&amp;D442&amp;E442&amp;F442&amp;G442&amp;H442&amp;I442&amp;J442&amp;K442&amp;L442&amp;M442&amp;N442)/5,0)</f>
        <v>29.2</v>
      </c>
      <c r="P442" s="3" t="str">
        <f aca="false">IF(OR(D442="",C442=""),"",IF((IFERROR(IF(AND(TRIM(D442)=D442,LEN(D442)&gt;0),0,1),1)+IFERROR(IF(AND(LEN(E442)=10,ISNUMBER(VALUE(E442))),0,1),1)+IFERROR(IF(AND(ISNUMBER(SEARCH("@",F442)),ISNUMBER(SEARCH(".",F442))),0,1),1)+IFERROR(IF(AND(LEN(J442)=6,ISNUMBER(VALUE(J442))),0,1),1)+IFERROR(IF(ISNUMBER(MATCH(TRIM(I442),Lists!$A$2:$A$20,0)),0,1),1)+IFERROR(IF(AND(LEN(K442)=10,VALUE(LEFT(K442,FIND("/",K442)-1))&gt;=1,VALUE(LEFT(K442,FIND("/",K442)-1))&lt;=31,VALUE(LEFT(MID(K442,FIND("/",K442)+1,10),FIND("/",MID(K442,FIND("/",K442)+1,10))-1))&gt;=1,VALUE(LEFT(MID(K442,FIND("/",K442)+1,10),FIND("/",MID(K442,FIND("/",K442)+1,10))-1))&lt;=12,VALUE(LEFT(K442,FIND("/",K442)-1))&lt;=DAY(EOMONTH(DATE(VALUE(MID(MID(K442,FIND("/",K442)+1,10),FIND("/",MID(K442,FIND("/",K442)+1,10))+1,4)),VALUE(LEFT(MID(K442,FIND("/",K442)+1,10),FIND("/",MID(K442,FIND("/",K442)+1,10))-1)),1),0))),0,1),1)+IFERROR(IF(M442&gt;=0,0,1),1)+IFERROR(IF(ISNUMBER(MATCH(N442,Lists!$B$2:$B$7,0)),0,1),1))=0,"OK","ERROR"))</f>
        <v>OK</v>
      </c>
      <c r="Q442" s="3" t="str">
        <f aca="false">IF(D442="","",TRIM(IF(IFERROR(IF(AND(TRIM(D442)=D442,LEN(D442)&gt;0),0,1),1)=1,"Name; ","")&amp;IF(IFERROR(IF(AND(LEN(E442)=10,ISNUMBER(VALUE(E442))),0,1),1)=1,"Phone; ","")&amp;IF(IFERROR(IF(AND(ISNUMBER(SEARCH("@",F442)),ISNUMBER(SEARCH(".",F442))),0,1),1)=1,"Email; ","")&amp;IF(IFERROR(IF(AND(LEN(J442)=6,ISNUMBER(VALUE(J442))),0,1),1)=1,"Pincode; ","")&amp;IF(IFERROR(IF(ISNUMBER(MATCH(TRIM(I442),Lists!$A$2:$A$20,0)),0,1),1)=1,"State; ","")&amp;IF(IFERROR(IF(AND(LEN(K442)=10,VALUE(LEFT(K442,FIND("/",K442)-1))&gt;=1,VALUE(LEFT(K442,FIND("/",K442)-1))&lt;=31,VALUE(LEFT(MID(K442,FIND("/",K442)+1,10),FIND("/",MID(K442,FIND("/",K442)+1,10))-1))&gt;=1,VALUE(LEFT(MID(K442,FIND("/",K442)+1,10),FIND("/",MID(K442,FIND("/",K442)+1,10))-1))&lt;=12,VALUE(LEFT(K442,FIND("/",K442)-1))&lt;=DAY(EOMONTH(DATE(VALUE(MID(MID(K442,FIND("/",K442)+1,10),FIND("/",MID(K442,FIND("/",K442)+1,10))+1,4)),VALUE(LEFT(MID(K442,FIND("/",K442)+1,10),FIND("/",MID(K442,FIND("/",K442)+1,10))-1)),1),0))),0,1),1)=1,"Date; ","")&amp;IF(IFERROR(IF(M442&gt;=0,0,1),1)=1,"Amount; ","")&amp;IF(IFERROR(IF(ISNUMBER(MATCH(N442,Lists!$B$2:$B$7,0)),0,1),1)=1,"Payment; ","")))</f>
        <v/>
      </c>
      <c r="R442" s="3" t="str">
        <f aca="false">IF(D442="","",IF(COUNTIFS($D$2:$D$701,D442,$E$2:$E$701,E442)&gt;1,"DUPLICATE","Unique"))</f>
        <v>Unique</v>
      </c>
    </row>
    <row r="443" customFormat="false" ht="15" hidden="false" customHeight="false" outlineLevel="0" collapsed="false">
      <c r="A443" s="3" t="n">
        <v>442</v>
      </c>
      <c r="B443" s="3" t="n">
        <v>9</v>
      </c>
      <c r="C443" s="3" t="s">
        <v>3162</v>
      </c>
      <c r="D443" s="3" t="s">
        <v>3163</v>
      </c>
      <c r="E443" s="3" t="s">
        <v>3164</v>
      </c>
      <c r="F443" s="3" t="s">
        <v>3165</v>
      </c>
      <c r="G443" s="3" t="s">
        <v>3166</v>
      </c>
      <c r="H443" s="3" t="s">
        <v>197</v>
      </c>
      <c r="I443" s="3" t="s">
        <v>77</v>
      </c>
      <c r="J443" s="3" t="s">
        <v>3167</v>
      </c>
      <c r="K443" s="3" t="s">
        <v>962</v>
      </c>
      <c r="L443" s="3" t="s">
        <v>62</v>
      </c>
      <c r="M443" s="3" t="n">
        <v>7265.28</v>
      </c>
      <c r="N443" s="3" t="s">
        <v>46</v>
      </c>
      <c r="O443" s="3" t="n">
        <f aca="false">IFERROR(LEN(C443&amp;D443&amp;E443&amp;F443&amp;G443&amp;H443&amp;I443&amp;J443&amp;K443&amp;L443&amp;M443&amp;N443)/5,0)</f>
        <v>27.8</v>
      </c>
      <c r="P443" s="3" t="str">
        <f aca="false">IF(OR(D443="",C443=""),"",IF((IFERROR(IF(AND(TRIM(D443)=D443,LEN(D443)&gt;0),0,1),1)+IFERROR(IF(AND(LEN(E443)=10,ISNUMBER(VALUE(E443))),0,1),1)+IFERROR(IF(AND(ISNUMBER(SEARCH("@",F443)),ISNUMBER(SEARCH(".",F443))),0,1),1)+IFERROR(IF(AND(LEN(J443)=6,ISNUMBER(VALUE(J443))),0,1),1)+IFERROR(IF(ISNUMBER(MATCH(TRIM(I443),Lists!$A$2:$A$20,0)),0,1),1)+IFERROR(IF(AND(LEN(K443)=10,VALUE(LEFT(K443,FIND("/",K443)-1))&gt;=1,VALUE(LEFT(K443,FIND("/",K443)-1))&lt;=31,VALUE(LEFT(MID(K443,FIND("/",K443)+1,10),FIND("/",MID(K443,FIND("/",K443)+1,10))-1))&gt;=1,VALUE(LEFT(MID(K443,FIND("/",K443)+1,10),FIND("/",MID(K443,FIND("/",K443)+1,10))-1))&lt;=12,VALUE(LEFT(K443,FIND("/",K443)-1))&lt;=DAY(EOMONTH(DATE(VALUE(MID(MID(K443,FIND("/",K443)+1,10),FIND("/",MID(K443,FIND("/",K443)+1,10))+1,4)),VALUE(LEFT(MID(K443,FIND("/",K443)+1,10),FIND("/",MID(K443,FIND("/",K443)+1,10))-1)),1),0))),0,1),1)+IFERROR(IF(M443&gt;=0,0,1),1)+IFERROR(IF(ISNUMBER(MATCH(N443,Lists!$B$2:$B$7,0)),0,1),1))=0,"OK","ERROR"))</f>
        <v>OK</v>
      </c>
      <c r="Q443" s="3" t="str">
        <f aca="false">IF(D443="","",TRIM(IF(IFERROR(IF(AND(TRIM(D443)=D443,LEN(D443)&gt;0),0,1),1)=1,"Name; ","")&amp;IF(IFERROR(IF(AND(LEN(E443)=10,ISNUMBER(VALUE(E443))),0,1),1)=1,"Phone; ","")&amp;IF(IFERROR(IF(AND(ISNUMBER(SEARCH("@",F443)),ISNUMBER(SEARCH(".",F443))),0,1),1)=1,"Email; ","")&amp;IF(IFERROR(IF(AND(LEN(J443)=6,ISNUMBER(VALUE(J443))),0,1),1)=1,"Pincode; ","")&amp;IF(IFERROR(IF(ISNUMBER(MATCH(TRIM(I443),Lists!$A$2:$A$20,0)),0,1),1)=1,"State; ","")&amp;IF(IFERROR(IF(AND(LEN(K443)=10,VALUE(LEFT(K443,FIND("/",K443)-1))&gt;=1,VALUE(LEFT(K443,FIND("/",K443)-1))&lt;=31,VALUE(LEFT(MID(K443,FIND("/",K443)+1,10),FIND("/",MID(K443,FIND("/",K443)+1,10))-1))&gt;=1,VALUE(LEFT(MID(K443,FIND("/",K443)+1,10),FIND("/",MID(K443,FIND("/",K443)+1,10))-1))&lt;=12,VALUE(LEFT(K443,FIND("/",K443)-1))&lt;=DAY(EOMONTH(DATE(VALUE(MID(MID(K443,FIND("/",K443)+1,10),FIND("/",MID(K443,FIND("/",K443)+1,10))+1,4)),VALUE(LEFT(MID(K443,FIND("/",K443)+1,10),FIND("/",MID(K443,FIND("/",K443)+1,10))-1)),1),0))),0,1),1)=1,"Date; ","")&amp;IF(IFERROR(IF(M443&gt;=0,0,1),1)=1,"Amount; ","")&amp;IF(IFERROR(IF(ISNUMBER(MATCH(N443,Lists!$B$2:$B$7,0)),0,1),1)=1,"Payment; ","")))</f>
        <v/>
      </c>
      <c r="R443" s="3" t="str">
        <f aca="false">IF(D443="","",IF(COUNTIFS($D$2:$D$701,D443,$E$2:$E$701,E443)&gt;1,"DUPLICATE","Unique"))</f>
        <v>Unique</v>
      </c>
    </row>
    <row r="444" customFormat="false" ht="15" hidden="false" customHeight="false" outlineLevel="0" collapsed="false">
      <c r="A444" s="3" t="n">
        <v>443</v>
      </c>
      <c r="B444" s="3" t="n">
        <v>9</v>
      </c>
      <c r="C444" s="3" t="s">
        <v>3168</v>
      </c>
      <c r="D444" s="3" t="s">
        <v>3169</v>
      </c>
      <c r="E444" s="3" t="s">
        <v>3170</v>
      </c>
      <c r="F444" s="3" t="s">
        <v>3171</v>
      </c>
      <c r="G444" s="3" t="s">
        <v>3172</v>
      </c>
      <c r="H444" s="3" t="s">
        <v>102</v>
      </c>
      <c r="I444" s="3" t="s">
        <v>48</v>
      </c>
      <c r="J444" s="3" t="s">
        <v>3173</v>
      </c>
      <c r="K444" s="3" t="s">
        <v>268</v>
      </c>
      <c r="L444" s="3" t="s">
        <v>62</v>
      </c>
      <c r="M444" s="3" t="n">
        <v>14491.99</v>
      </c>
      <c r="N444" s="3" t="s">
        <v>46</v>
      </c>
      <c r="O444" s="3" t="n">
        <f aca="false">IFERROR(LEN(C444&amp;D444&amp;E444&amp;F444&amp;G444&amp;H444&amp;I444&amp;J444&amp;K444&amp;L444&amp;M444&amp;N444)/5,0)</f>
        <v>28</v>
      </c>
      <c r="P444" s="3" t="str">
        <f aca="false">IF(OR(D444="",C444=""),"",IF((IFERROR(IF(AND(TRIM(D444)=D444,LEN(D444)&gt;0),0,1),1)+IFERROR(IF(AND(LEN(E444)=10,ISNUMBER(VALUE(E444))),0,1),1)+IFERROR(IF(AND(ISNUMBER(SEARCH("@",F444)),ISNUMBER(SEARCH(".",F444))),0,1),1)+IFERROR(IF(AND(LEN(J444)=6,ISNUMBER(VALUE(J444))),0,1),1)+IFERROR(IF(ISNUMBER(MATCH(TRIM(I444),Lists!$A$2:$A$20,0)),0,1),1)+IFERROR(IF(AND(LEN(K444)=10,VALUE(LEFT(K444,FIND("/",K444)-1))&gt;=1,VALUE(LEFT(K444,FIND("/",K444)-1))&lt;=31,VALUE(LEFT(MID(K444,FIND("/",K444)+1,10),FIND("/",MID(K444,FIND("/",K444)+1,10))-1))&gt;=1,VALUE(LEFT(MID(K444,FIND("/",K444)+1,10),FIND("/",MID(K444,FIND("/",K444)+1,10))-1))&lt;=12,VALUE(LEFT(K444,FIND("/",K444)-1))&lt;=DAY(EOMONTH(DATE(VALUE(MID(MID(K444,FIND("/",K444)+1,10),FIND("/",MID(K444,FIND("/",K444)+1,10))+1,4)),VALUE(LEFT(MID(K444,FIND("/",K444)+1,10),FIND("/",MID(K444,FIND("/",K444)+1,10))-1)),1),0))),0,1),1)+IFERROR(IF(M444&gt;=0,0,1),1)+IFERROR(IF(ISNUMBER(MATCH(N444,Lists!$B$2:$B$7,0)),0,1),1))=0,"OK","ERROR"))</f>
        <v>OK</v>
      </c>
      <c r="Q444" s="3" t="str">
        <f aca="false">IF(D444="","",TRIM(IF(IFERROR(IF(AND(TRIM(D444)=D444,LEN(D444)&gt;0),0,1),1)=1,"Name; ","")&amp;IF(IFERROR(IF(AND(LEN(E444)=10,ISNUMBER(VALUE(E444))),0,1),1)=1,"Phone; ","")&amp;IF(IFERROR(IF(AND(ISNUMBER(SEARCH("@",F444)),ISNUMBER(SEARCH(".",F444))),0,1),1)=1,"Email; ","")&amp;IF(IFERROR(IF(AND(LEN(J444)=6,ISNUMBER(VALUE(J444))),0,1),1)=1,"Pincode; ","")&amp;IF(IFERROR(IF(ISNUMBER(MATCH(TRIM(I444),Lists!$A$2:$A$20,0)),0,1),1)=1,"State; ","")&amp;IF(IFERROR(IF(AND(LEN(K444)=10,VALUE(LEFT(K444,FIND("/",K444)-1))&gt;=1,VALUE(LEFT(K444,FIND("/",K444)-1))&lt;=31,VALUE(LEFT(MID(K444,FIND("/",K444)+1,10),FIND("/",MID(K444,FIND("/",K444)+1,10))-1))&gt;=1,VALUE(LEFT(MID(K444,FIND("/",K444)+1,10),FIND("/",MID(K444,FIND("/",K444)+1,10))-1))&lt;=12,VALUE(LEFT(K444,FIND("/",K444)-1))&lt;=DAY(EOMONTH(DATE(VALUE(MID(MID(K444,FIND("/",K444)+1,10),FIND("/",MID(K444,FIND("/",K444)+1,10))+1,4)),VALUE(LEFT(MID(K444,FIND("/",K444)+1,10),FIND("/",MID(K444,FIND("/",K444)+1,10))-1)),1),0))),0,1),1)=1,"Date; ","")&amp;IF(IFERROR(IF(M444&gt;=0,0,1),1)=1,"Amount; ","")&amp;IF(IFERROR(IF(ISNUMBER(MATCH(N444,Lists!$B$2:$B$7,0)),0,1),1)=1,"Payment; ","")))</f>
        <v/>
      </c>
      <c r="R444" s="3" t="str">
        <f aca="false">IF(D444="","",IF(COUNTIFS($D$2:$D$701,D444,$E$2:$E$701,E444)&gt;1,"DUPLICATE","Unique"))</f>
        <v>Unique</v>
      </c>
    </row>
    <row r="445" customFormat="false" ht="15" hidden="false" customHeight="false" outlineLevel="0" collapsed="false">
      <c r="A445" s="3" t="n">
        <v>444</v>
      </c>
      <c r="B445" s="3" t="n">
        <v>9</v>
      </c>
      <c r="C445" s="3" t="s">
        <v>3174</v>
      </c>
      <c r="D445" s="3" t="s">
        <v>3175</v>
      </c>
      <c r="E445" s="3" t="s">
        <v>3176</v>
      </c>
      <c r="F445" s="3" t="s">
        <v>3177</v>
      </c>
      <c r="G445" s="3" t="s">
        <v>3178</v>
      </c>
      <c r="H445" s="3" t="s">
        <v>227</v>
      </c>
      <c r="I445" s="3" t="s">
        <v>77</v>
      </c>
      <c r="J445" s="3" t="s">
        <v>3179</v>
      </c>
      <c r="K445" s="3" t="s">
        <v>3180</v>
      </c>
      <c r="L445" s="3" t="s">
        <v>64</v>
      </c>
      <c r="M445" s="3" t="n">
        <v>8921.72</v>
      </c>
      <c r="N445" s="3" t="s">
        <v>52</v>
      </c>
      <c r="O445" s="3" t="n">
        <f aca="false">IFERROR(LEN(C445&amp;D445&amp;E445&amp;F445&amp;G445&amp;H445&amp;I445&amp;J445&amp;K445&amp;L445&amp;M445&amp;N445)/5,0)</f>
        <v>25.6</v>
      </c>
      <c r="P445" s="3" t="str">
        <f aca="false">IF(OR(D445="",C445=""),"",IF((IFERROR(IF(AND(TRIM(D445)=D445,LEN(D445)&gt;0),0,1),1)+IFERROR(IF(AND(LEN(E445)=10,ISNUMBER(VALUE(E445))),0,1),1)+IFERROR(IF(AND(ISNUMBER(SEARCH("@",F445)),ISNUMBER(SEARCH(".",F445))),0,1),1)+IFERROR(IF(AND(LEN(J445)=6,ISNUMBER(VALUE(J445))),0,1),1)+IFERROR(IF(ISNUMBER(MATCH(TRIM(I445),Lists!$A$2:$A$20,0)),0,1),1)+IFERROR(IF(AND(LEN(K445)=10,VALUE(LEFT(K445,FIND("/",K445)-1))&gt;=1,VALUE(LEFT(K445,FIND("/",K445)-1))&lt;=31,VALUE(LEFT(MID(K445,FIND("/",K445)+1,10),FIND("/",MID(K445,FIND("/",K445)+1,10))-1))&gt;=1,VALUE(LEFT(MID(K445,FIND("/",K445)+1,10),FIND("/",MID(K445,FIND("/",K445)+1,10))-1))&lt;=12,VALUE(LEFT(K445,FIND("/",K445)-1))&lt;=DAY(EOMONTH(DATE(VALUE(MID(MID(K445,FIND("/",K445)+1,10),FIND("/",MID(K445,FIND("/",K445)+1,10))+1,4)),VALUE(LEFT(MID(K445,FIND("/",K445)+1,10),FIND("/",MID(K445,FIND("/",K445)+1,10))-1)),1),0))),0,1),1)+IFERROR(IF(M445&gt;=0,0,1),1)+IFERROR(IF(ISNUMBER(MATCH(N445,Lists!$B$2:$B$7,0)),0,1),1))=0,"OK","ERROR"))</f>
        <v>OK</v>
      </c>
      <c r="Q445" s="3" t="str">
        <f aca="false">IF(D445="","",TRIM(IF(IFERROR(IF(AND(TRIM(D445)=D445,LEN(D445)&gt;0),0,1),1)=1,"Name; ","")&amp;IF(IFERROR(IF(AND(LEN(E445)=10,ISNUMBER(VALUE(E445))),0,1),1)=1,"Phone; ","")&amp;IF(IFERROR(IF(AND(ISNUMBER(SEARCH("@",F445)),ISNUMBER(SEARCH(".",F445))),0,1),1)=1,"Email; ","")&amp;IF(IFERROR(IF(AND(LEN(J445)=6,ISNUMBER(VALUE(J445))),0,1),1)=1,"Pincode; ","")&amp;IF(IFERROR(IF(ISNUMBER(MATCH(TRIM(I445),Lists!$A$2:$A$20,0)),0,1),1)=1,"State; ","")&amp;IF(IFERROR(IF(AND(LEN(K445)=10,VALUE(LEFT(K445,FIND("/",K445)-1))&gt;=1,VALUE(LEFT(K445,FIND("/",K445)-1))&lt;=31,VALUE(LEFT(MID(K445,FIND("/",K445)+1,10),FIND("/",MID(K445,FIND("/",K445)+1,10))-1))&gt;=1,VALUE(LEFT(MID(K445,FIND("/",K445)+1,10),FIND("/",MID(K445,FIND("/",K445)+1,10))-1))&lt;=12,VALUE(LEFT(K445,FIND("/",K445)-1))&lt;=DAY(EOMONTH(DATE(VALUE(MID(MID(K445,FIND("/",K445)+1,10),FIND("/",MID(K445,FIND("/",K445)+1,10))+1,4)),VALUE(LEFT(MID(K445,FIND("/",K445)+1,10),FIND("/",MID(K445,FIND("/",K445)+1,10))-1)),1),0))),0,1),1)=1,"Date; ","")&amp;IF(IFERROR(IF(M445&gt;=0,0,1),1)=1,"Amount; ","")&amp;IF(IFERROR(IF(ISNUMBER(MATCH(N445,Lists!$B$2:$B$7,0)),0,1),1)=1,"Payment; ","")))</f>
        <v/>
      </c>
      <c r="R445" s="3" t="str">
        <f aca="false">IF(D445="","",IF(COUNTIFS($D$2:$D$701,D445,$E$2:$E$701,E445)&gt;1,"DUPLICATE","Unique"))</f>
        <v>Unique</v>
      </c>
    </row>
    <row r="446" customFormat="false" ht="15" hidden="false" customHeight="false" outlineLevel="0" collapsed="false">
      <c r="A446" s="3" t="n">
        <v>445</v>
      </c>
      <c r="B446" s="3" t="n">
        <v>9</v>
      </c>
      <c r="C446" s="3" t="s">
        <v>3181</v>
      </c>
      <c r="D446" s="3" t="s">
        <v>3182</v>
      </c>
      <c r="E446" s="3" t="s">
        <v>3183</v>
      </c>
      <c r="F446" s="3" t="s">
        <v>3184</v>
      </c>
      <c r="G446" s="3" t="s">
        <v>3185</v>
      </c>
      <c r="H446" s="3" t="s">
        <v>548</v>
      </c>
      <c r="I446" s="3" t="s">
        <v>67</v>
      </c>
      <c r="J446" s="3" t="s">
        <v>3186</v>
      </c>
      <c r="K446" s="3" t="s">
        <v>3187</v>
      </c>
      <c r="L446" s="3" t="s">
        <v>68</v>
      </c>
      <c r="M446" s="3" t="n">
        <v>4455.52</v>
      </c>
      <c r="N446" s="3" t="s">
        <v>55</v>
      </c>
      <c r="O446" s="3" t="n">
        <f aca="false">IFERROR(LEN(C446&amp;D446&amp;E446&amp;F446&amp;G446&amp;H446&amp;I446&amp;J446&amp;K446&amp;L446&amp;M446&amp;N446)/5,0)</f>
        <v>27.4</v>
      </c>
      <c r="P446" s="3" t="str">
        <f aca="false">IF(OR(D446="",C446=""),"",IF((IFERROR(IF(AND(TRIM(D446)=D446,LEN(D446)&gt;0),0,1),1)+IFERROR(IF(AND(LEN(E446)=10,ISNUMBER(VALUE(E446))),0,1),1)+IFERROR(IF(AND(ISNUMBER(SEARCH("@",F446)),ISNUMBER(SEARCH(".",F446))),0,1),1)+IFERROR(IF(AND(LEN(J446)=6,ISNUMBER(VALUE(J446))),0,1),1)+IFERROR(IF(ISNUMBER(MATCH(TRIM(I446),Lists!$A$2:$A$20,0)),0,1),1)+IFERROR(IF(AND(LEN(K446)=10,VALUE(LEFT(K446,FIND("/",K446)-1))&gt;=1,VALUE(LEFT(K446,FIND("/",K446)-1))&lt;=31,VALUE(LEFT(MID(K446,FIND("/",K446)+1,10),FIND("/",MID(K446,FIND("/",K446)+1,10))-1))&gt;=1,VALUE(LEFT(MID(K446,FIND("/",K446)+1,10),FIND("/",MID(K446,FIND("/",K446)+1,10))-1))&lt;=12,VALUE(LEFT(K446,FIND("/",K446)-1))&lt;=DAY(EOMONTH(DATE(VALUE(MID(MID(K446,FIND("/",K446)+1,10),FIND("/",MID(K446,FIND("/",K446)+1,10))+1,4)),VALUE(LEFT(MID(K446,FIND("/",K446)+1,10),FIND("/",MID(K446,FIND("/",K446)+1,10))-1)),1),0))),0,1),1)+IFERROR(IF(M446&gt;=0,0,1),1)+IFERROR(IF(ISNUMBER(MATCH(N446,Lists!$B$2:$B$7,0)),0,1),1))=0,"OK","ERROR"))</f>
        <v>OK</v>
      </c>
      <c r="Q446" s="3" t="str">
        <f aca="false">IF(D446="","",TRIM(IF(IFERROR(IF(AND(TRIM(D446)=D446,LEN(D446)&gt;0),0,1),1)=1,"Name; ","")&amp;IF(IFERROR(IF(AND(LEN(E446)=10,ISNUMBER(VALUE(E446))),0,1),1)=1,"Phone; ","")&amp;IF(IFERROR(IF(AND(ISNUMBER(SEARCH("@",F446)),ISNUMBER(SEARCH(".",F446))),0,1),1)=1,"Email; ","")&amp;IF(IFERROR(IF(AND(LEN(J446)=6,ISNUMBER(VALUE(J446))),0,1),1)=1,"Pincode; ","")&amp;IF(IFERROR(IF(ISNUMBER(MATCH(TRIM(I446),Lists!$A$2:$A$20,0)),0,1),1)=1,"State; ","")&amp;IF(IFERROR(IF(AND(LEN(K446)=10,VALUE(LEFT(K446,FIND("/",K446)-1))&gt;=1,VALUE(LEFT(K446,FIND("/",K446)-1))&lt;=31,VALUE(LEFT(MID(K446,FIND("/",K446)+1,10),FIND("/",MID(K446,FIND("/",K446)+1,10))-1))&gt;=1,VALUE(LEFT(MID(K446,FIND("/",K446)+1,10),FIND("/",MID(K446,FIND("/",K446)+1,10))-1))&lt;=12,VALUE(LEFT(K446,FIND("/",K446)-1))&lt;=DAY(EOMONTH(DATE(VALUE(MID(MID(K446,FIND("/",K446)+1,10),FIND("/",MID(K446,FIND("/",K446)+1,10))+1,4)),VALUE(LEFT(MID(K446,FIND("/",K446)+1,10),FIND("/",MID(K446,FIND("/",K446)+1,10))-1)),1),0))),0,1),1)=1,"Date; ","")&amp;IF(IFERROR(IF(M446&gt;=0,0,1),1)=1,"Amount; ","")&amp;IF(IFERROR(IF(ISNUMBER(MATCH(N446,Lists!$B$2:$B$7,0)),0,1),1)=1,"Payment; ","")))</f>
        <v/>
      </c>
      <c r="R446" s="3" t="str">
        <f aca="false">IF(D446="","",IF(COUNTIFS($D$2:$D$701,D446,$E$2:$E$701,E446)&gt;1,"DUPLICATE","Unique"))</f>
        <v>Unique</v>
      </c>
    </row>
    <row r="447" customFormat="false" ht="15" hidden="false" customHeight="false" outlineLevel="0" collapsed="false">
      <c r="A447" s="3" t="n">
        <v>446</v>
      </c>
      <c r="B447" s="3" t="n">
        <v>9</v>
      </c>
      <c r="C447" s="3" t="s">
        <v>3188</v>
      </c>
      <c r="D447" s="3" t="s">
        <v>3189</v>
      </c>
      <c r="E447" s="3" t="s">
        <v>3190</v>
      </c>
      <c r="F447" s="3" t="s">
        <v>3191</v>
      </c>
      <c r="G447" s="3" t="s">
        <v>3192</v>
      </c>
      <c r="H447" s="3" t="s">
        <v>863</v>
      </c>
      <c r="I447" s="3" t="s">
        <v>57</v>
      </c>
      <c r="J447" s="3" t="s">
        <v>3193</v>
      </c>
      <c r="K447" s="3" t="s">
        <v>657</v>
      </c>
      <c r="L447" s="3" t="s">
        <v>58</v>
      </c>
      <c r="M447" s="3" t="n">
        <v>1241.16</v>
      </c>
      <c r="N447" s="3" t="s">
        <v>55</v>
      </c>
      <c r="O447" s="3" t="n">
        <f aca="false">IFERROR(LEN(C447&amp;D447&amp;E447&amp;F447&amp;G447&amp;H447&amp;I447&amp;J447&amp;K447&amp;L447&amp;M447&amp;N447)/5,0)</f>
        <v>25.6</v>
      </c>
      <c r="P447" s="3" t="str">
        <f aca="false">IF(OR(D447="",C447=""),"",IF((IFERROR(IF(AND(TRIM(D447)=D447,LEN(D447)&gt;0),0,1),1)+IFERROR(IF(AND(LEN(E447)=10,ISNUMBER(VALUE(E447))),0,1),1)+IFERROR(IF(AND(ISNUMBER(SEARCH("@",F447)),ISNUMBER(SEARCH(".",F447))),0,1),1)+IFERROR(IF(AND(LEN(J447)=6,ISNUMBER(VALUE(J447))),0,1),1)+IFERROR(IF(ISNUMBER(MATCH(TRIM(I447),Lists!$A$2:$A$20,0)),0,1),1)+IFERROR(IF(AND(LEN(K447)=10,VALUE(LEFT(K447,FIND("/",K447)-1))&gt;=1,VALUE(LEFT(K447,FIND("/",K447)-1))&lt;=31,VALUE(LEFT(MID(K447,FIND("/",K447)+1,10),FIND("/",MID(K447,FIND("/",K447)+1,10))-1))&gt;=1,VALUE(LEFT(MID(K447,FIND("/",K447)+1,10),FIND("/",MID(K447,FIND("/",K447)+1,10))-1))&lt;=12,VALUE(LEFT(K447,FIND("/",K447)-1))&lt;=DAY(EOMONTH(DATE(VALUE(MID(MID(K447,FIND("/",K447)+1,10),FIND("/",MID(K447,FIND("/",K447)+1,10))+1,4)),VALUE(LEFT(MID(K447,FIND("/",K447)+1,10),FIND("/",MID(K447,FIND("/",K447)+1,10))-1)),1),0))),0,1),1)+IFERROR(IF(M447&gt;=0,0,1),1)+IFERROR(IF(ISNUMBER(MATCH(N447,Lists!$B$2:$B$7,0)),0,1),1))=0,"OK","ERROR"))</f>
        <v>OK</v>
      </c>
      <c r="Q447" s="3" t="str">
        <f aca="false">IF(D447="","",TRIM(IF(IFERROR(IF(AND(TRIM(D447)=D447,LEN(D447)&gt;0),0,1),1)=1,"Name; ","")&amp;IF(IFERROR(IF(AND(LEN(E447)=10,ISNUMBER(VALUE(E447))),0,1),1)=1,"Phone; ","")&amp;IF(IFERROR(IF(AND(ISNUMBER(SEARCH("@",F447)),ISNUMBER(SEARCH(".",F447))),0,1),1)=1,"Email; ","")&amp;IF(IFERROR(IF(AND(LEN(J447)=6,ISNUMBER(VALUE(J447))),0,1),1)=1,"Pincode; ","")&amp;IF(IFERROR(IF(ISNUMBER(MATCH(TRIM(I447),Lists!$A$2:$A$20,0)),0,1),1)=1,"State; ","")&amp;IF(IFERROR(IF(AND(LEN(K447)=10,VALUE(LEFT(K447,FIND("/",K447)-1))&gt;=1,VALUE(LEFT(K447,FIND("/",K447)-1))&lt;=31,VALUE(LEFT(MID(K447,FIND("/",K447)+1,10),FIND("/",MID(K447,FIND("/",K447)+1,10))-1))&gt;=1,VALUE(LEFT(MID(K447,FIND("/",K447)+1,10),FIND("/",MID(K447,FIND("/",K447)+1,10))-1))&lt;=12,VALUE(LEFT(K447,FIND("/",K447)-1))&lt;=DAY(EOMONTH(DATE(VALUE(MID(MID(K447,FIND("/",K447)+1,10),FIND("/",MID(K447,FIND("/",K447)+1,10))+1,4)),VALUE(LEFT(MID(K447,FIND("/",K447)+1,10),FIND("/",MID(K447,FIND("/",K447)+1,10))-1)),1),0))),0,1),1)=1,"Date; ","")&amp;IF(IFERROR(IF(M447&gt;=0,0,1),1)=1,"Amount; ","")&amp;IF(IFERROR(IF(ISNUMBER(MATCH(N447,Lists!$B$2:$B$7,0)),0,1),1)=1,"Payment; ","")))</f>
        <v/>
      </c>
      <c r="R447" s="3" t="str">
        <f aca="false">IF(D447="","",IF(COUNTIFS($D$2:$D$701,D447,$E$2:$E$701,E447)&gt;1,"DUPLICATE","Unique"))</f>
        <v>Unique</v>
      </c>
    </row>
    <row r="448" customFormat="false" ht="15" hidden="false" customHeight="false" outlineLevel="0" collapsed="false">
      <c r="A448" s="3" t="n">
        <v>447</v>
      </c>
      <c r="B448" s="3" t="n">
        <v>9</v>
      </c>
      <c r="C448" s="3" t="s">
        <v>3194</v>
      </c>
      <c r="D448" s="3" t="s">
        <v>3195</v>
      </c>
      <c r="E448" s="3" t="s">
        <v>3196</v>
      </c>
      <c r="F448" s="3" t="s">
        <v>3197</v>
      </c>
      <c r="G448" s="3" t="s">
        <v>3198</v>
      </c>
      <c r="H448" s="3" t="s">
        <v>205</v>
      </c>
      <c r="I448" s="3" t="s">
        <v>45</v>
      </c>
      <c r="J448" s="3" t="s">
        <v>3199</v>
      </c>
      <c r="K448" s="3" t="s">
        <v>3200</v>
      </c>
      <c r="L448" s="3" t="s">
        <v>62</v>
      </c>
      <c r="M448" s="3" t="n">
        <v>5711.62</v>
      </c>
      <c r="N448" s="3" t="s">
        <v>52</v>
      </c>
      <c r="O448" s="3" t="n">
        <f aca="false">IFERROR(LEN(C448&amp;D448&amp;E448&amp;F448&amp;G448&amp;H448&amp;I448&amp;J448&amp;K448&amp;L448&amp;M448&amp;N448)/5,0)</f>
        <v>24.8</v>
      </c>
      <c r="P448" s="3" t="str">
        <f aca="false">IF(OR(D448="",C448=""),"",IF((IFERROR(IF(AND(TRIM(D448)=D448,LEN(D448)&gt;0),0,1),1)+IFERROR(IF(AND(LEN(E448)=10,ISNUMBER(VALUE(E448))),0,1),1)+IFERROR(IF(AND(ISNUMBER(SEARCH("@",F448)),ISNUMBER(SEARCH(".",F448))),0,1),1)+IFERROR(IF(AND(LEN(J448)=6,ISNUMBER(VALUE(J448))),0,1),1)+IFERROR(IF(ISNUMBER(MATCH(TRIM(I448),Lists!$A$2:$A$20,0)),0,1),1)+IFERROR(IF(AND(LEN(K448)=10,VALUE(LEFT(K448,FIND("/",K448)-1))&gt;=1,VALUE(LEFT(K448,FIND("/",K448)-1))&lt;=31,VALUE(LEFT(MID(K448,FIND("/",K448)+1,10),FIND("/",MID(K448,FIND("/",K448)+1,10))-1))&gt;=1,VALUE(LEFT(MID(K448,FIND("/",K448)+1,10),FIND("/",MID(K448,FIND("/",K448)+1,10))-1))&lt;=12,VALUE(LEFT(K448,FIND("/",K448)-1))&lt;=DAY(EOMONTH(DATE(VALUE(MID(MID(K448,FIND("/",K448)+1,10),FIND("/",MID(K448,FIND("/",K448)+1,10))+1,4)),VALUE(LEFT(MID(K448,FIND("/",K448)+1,10),FIND("/",MID(K448,FIND("/",K448)+1,10))-1)),1),0))),0,1),1)+IFERROR(IF(M448&gt;=0,0,1),1)+IFERROR(IF(ISNUMBER(MATCH(N448,Lists!$B$2:$B$7,0)),0,1),1))=0,"OK","ERROR"))</f>
        <v>OK</v>
      </c>
      <c r="Q448" s="3" t="str">
        <f aca="false">IF(D448="","",TRIM(IF(IFERROR(IF(AND(TRIM(D448)=D448,LEN(D448)&gt;0),0,1),1)=1,"Name; ","")&amp;IF(IFERROR(IF(AND(LEN(E448)=10,ISNUMBER(VALUE(E448))),0,1),1)=1,"Phone; ","")&amp;IF(IFERROR(IF(AND(ISNUMBER(SEARCH("@",F448)),ISNUMBER(SEARCH(".",F448))),0,1),1)=1,"Email; ","")&amp;IF(IFERROR(IF(AND(LEN(J448)=6,ISNUMBER(VALUE(J448))),0,1),1)=1,"Pincode; ","")&amp;IF(IFERROR(IF(ISNUMBER(MATCH(TRIM(I448),Lists!$A$2:$A$20,0)),0,1),1)=1,"State; ","")&amp;IF(IFERROR(IF(AND(LEN(K448)=10,VALUE(LEFT(K448,FIND("/",K448)-1))&gt;=1,VALUE(LEFT(K448,FIND("/",K448)-1))&lt;=31,VALUE(LEFT(MID(K448,FIND("/",K448)+1,10),FIND("/",MID(K448,FIND("/",K448)+1,10))-1))&gt;=1,VALUE(LEFT(MID(K448,FIND("/",K448)+1,10),FIND("/",MID(K448,FIND("/",K448)+1,10))-1))&lt;=12,VALUE(LEFT(K448,FIND("/",K448)-1))&lt;=DAY(EOMONTH(DATE(VALUE(MID(MID(K448,FIND("/",K448)+1,10),FIND("/",MID(K448,FIND("/",K448)+1,10))+1,4)),VALUE(LEFT(MID(K448,FIND("/",K448)+1,10),FIND("/",MID(K448,FIND("/",K448)+1,10))-1)),1),0))),0,1),1)=1,"Date; ","")&amp;IF(IFERROR(IF(M448&gt;=0,0,1),1)=1,"Amount; ","")&amp;IF(IFERROR(IF(ISNUMBER(MATCH(N448,Lists!$B$2:$B$7,0)),0,1),1)=1,"Payment; ","")))</f>
        <v/>
      </c>
      <c r="R448" s="3" t="str">
        <f aca="false">IF(D448="","",IF(COUNTIFS($D$2:$D$701,D448,$E$2:$E$701,E448)&gt;1,"DUPLICATE","Unique"))</f>
        <v>Unique</v>
      </c>
    </row>
    <row r="449" customFormat="false" ht="15" hidden="false" customHeight="false" outlineLevel="0" collapsed="false">
      <c r="A449" s="3" t="n">
        <v>448</v>
      </c>
      <c r="B449" s="3" t="n">
        <v>9</v>
      </c>
      <c r="C449" s="3" t="s">
        <v>3201</v>
      </c>
      <c r="D449" s="3" t="s">
        <v>3202</v>
      </c>
      <c r="E449" s="3" t="s">
        <v>3203</v>
      </c>
      <c r="F449" s="3" t="s">
        <v>3204</v>
      </c>
      <c r="G449" s="3" t="s">
        <v>3205</v>
      </c>
      <c r="H449" s="3" t="s">
        <v>258</v>
      </c>
      <c r="I449" s="3" t="s">
        <v>63</v>
      </c>
      <c r="J449" s="3" t="s">
        <v>3206</v>
      </c>
      <c r="K449" s="3" t="s">
        <v>1180</v>
      </c>
      <c r="L449" s="3" t="s">
        <v>66</v>
      </c>
      <c r="M449" s="3" t="n">
        <v>2195.62</v>
      </c>
      <c r="N449" s="3" t="s">
        <v>49</v>
      </c>
      <c r="O449" s="3" t="n">
        <f aca="false">IFERROR(LEN(C449&amp;D449&amp;E449&amp;F449&amp;G449&amp;H449&amp;I449&amp;J449&amp;K449&amp;L449&amp;M449&amp;N449)/5,0)</f>
        <v>27.6</v>
      </c>
      <c r="P449" s="3" t="str">
        <f aca="false">IF(OR(D449="",C449=""),"",IF((IFERROR(IF(AND(TRIM(D449)=D449,LEN(D449)&gt;0),0,1),1)+IFERROR(IF(AND(LEN(E449)=10,ISNUMBER(VALUE(E449))),0,1),1)+IFERROR(IF(AND(ISNUMBER(SEARCH("@",F449)),ISNUMBER(SEARCH(".",F449))),0,1),1)+IFERROR(IF(AND(LEN(J449)=6,ISNUMBER(VALUE(J449))),0,1),1)+IFERROR(IF(ISNUMBER(MATCH(TRIM(I449),Lists!$A$2:$A$20,0)),0,1),1)+IFERROR(IF(AND(LEN(K449)=10,VALUE(LEFT(K449,FIND("/",K449)-1))&gt;=1,VALUE(LEFT(K449,FIND("/",K449)-1))&lt;=31,VALUE(LEFT(MID(K449,FIND("/",K449)+1,10),FIND("/",MID(K449,FIND("/",K449)+1,10))-1))&gt;=1,VALUE(LEFT(MID(K449,FIND("/",K449)+1,10),FIND("/",MID(K449,FIND("/",K449)+1,10))-1))&lt;=12,VALUE(LEFT(K449,FIND("/",K449)-1))&lt;=DAY(EOMONTH(DATE(VALUE(MID(MID(K449,FIND("/",K449)+1,10),FIND("/",MID(K449,FIND("/",K449)+1,10))+1,4)),VALUE(LEFT(MID(K449,FIND("/",K449)+1,10),FIND("/",MID(K449,FIND("/",K449)+1,10))-1)),1),0))),0,1),1)+IFERROR(IF(M449&gt;=0,0,1),1)+IFERROR(IF(ISNUMBER(MATCH(N449,Lists!$B$2:$B$7,0)),0,1),1))=0,"OK","ERROR"))</f>
        <v>OK</v>
      </c>
      <c r="Q449" s="3" t="str">
        <f aca="false">IF(D449="","",TRIM(IF(IFERROR(IF(AND(TRIM(D449)=D449,LEN(D449)&gt;0),0,1),1)=1,"Name; ","")&amp;IF(IFERROR(IF(AND(LEN(E449)=10,ISNUMBER(VALUE(E449))),0,1),1)=1,"Phone; ","")&amp;IF(IFERROR(IF(AND(ISNUMBER(SEARCH("@",F449)),ISNUMBER(SEARCH(".",F449))),0,1),1)=1,"Email; ","")&amp;IF(IFERROR(IF(AND(LEN(J449)=6,ISNUMBER(VALUE(J449))),0,1),1)=1,"Pincode; ","")&amp;IF(IFERROR(IF(ISNUMBER(MATCH(TRIM(I449),Lists!$A$2:$A$20,0)),0,1),1)=1,"State; ","")&amp;IF(IFERROR(IF(AND(LEN(K449)=10,VALUE(LEFT(K449,FIND("/",K449)-1))&gt;=1,VALUE(LEFT(K449,FIND("/",K449)-1))&lt;=31,VALUE(LEFT(MID(K449,FIND("/",K449)+1,10),FIND("/",MID(K449,FIND("/",K449)+1,10))-1))&gt;=1,VALUE(LEFT(MID(K449,FIND("/",K449)+1,10),FIND("/",MID(K449,FIND("/",K449)+1,10))-1))&lt;=12,VALUE(LEFT(K449,FIND("/",K449)-1))&lt;=DAY(EOMONTH(DATE(VALUE(MID(MID(K449,FIND("/",K449)+1,10),FIND("/",MID(K449,FIND("/",K449)+1,10))+1,4)),VALUE(LEFT(MID(K449,FIND("/",K449)+1,10),FIND("/",MID(K449,FIND("/",K449)+1,10))-1)),1),0))),0,1),1)=1,"Date; ","")&amp;IF(IFERROR(IF(M449&gt;=0,0,1),1)=1,"Amount; ","")&amp;IF(IFERROR(IF(ISNUMBER(MATCH(N449,Lists!$B$2:$B$7,0)),0,1),1)=1,"Payment; ","")))</f>
        <v/>
      </c>
      <c r="R449" s="3" t="str">
        <f aca="false">IF(D449="","",IF(COUNTIFS($D$2:$D$701,D449,$E$2:$E$701,E449)&gt;1,"DUPLICATE","Unique"))</f>
        <v>Unique</v>
      </c>
    </row>
    <row r="450" customFormat="false" ht="15" hidden="false" customHeight="false" outlineLevel="0" collapsed="false">
      <c r="A450" s="3" t="n">
        <v>449</v>
      </c>
      <c r="B450" s="3" t="n">
        <v>9</v>
      </c>
      <c r="C450" s="3" t="s">
        <v>3207</v>
      </c>
      <c r="D450" s="3" t="s">
        <v>3208</v>
      </c>
      <c r="E450" s="3" t="s">
        <v>3209</v>
      </c>
      <c r="F450" s="3" t="s">
        <v>3210</v>
      </c>
      <c r="G450" s="3" t="s">
        <v>3211</v>
      </c>
      <c r="H450" s="3" t="s">
        <v>266</v>
      </c>
      <c r="I450" s="3" t="s">
        <v>78</v>
      </c>
      <c r="J450" s="3" t="s">
        <v>3212</v>
      </c>
      <c r="K450" s="3" t="s">
        <v>3213</v>
      </c>
      <c r="L450" s="3" t="s">
        <v>58</v>
      </c>
      <c r="M450" s="3" t="n">
        <v>12374.14</v>
      </c>
      <c r="N450" s="3" t="s">
        <v>40</v>
      </c>
      <c r="O450" s="3" t="n">
        <f aca="false">IFERROR(LEN(C450&amp;D450&amp;E450&amp;F450&amp;G450&amp;H450&amp;I450&amp;J450&amp;K450&amp;L450&amp;M450&amp;N450)/5,0)</f>
        <v>28.8</v>
      </c>
      <c r="P450" s="3" t="str">
        <f aca="false">IF(OR(D450="",C450=""),"",IF((IFERROR(IF(AND(TRIM(D450)=D450,LEN(D450)&gt;0),0,1),1)+IFERROR(IF(AND(LEN(E450)=10,ISNUMBER(VALUE(E450))),0,1),1)+IFERROR(IF(AND(ISNUMBER(SEARCH("@",F450)),ISNUMBER(SEARCH(".",F450))),0,1),1)+IFERROR(IF(AND(LEN(J450)=6,ISNUMBER(VALUE(J450))),0,1),1)+IFERROR(IF(ISNUMBER(MATCH(TRIM(I450),Lists!$A$2:$A$20,0)),0,1),1)+IFERROR(IF(AND(LEN(K450)=10,VALUE(LEFT(K450,FIND("/",K450)-1))&gt;=1,VALUE(LEFT(K450,FIND("/",K450)-1))&lt;=31,VALUE(LEFT(MID(K450,FIND("/",K450)+1,10),FIND("/",MID(K450,FIND("/",K450)+1,10))-1))&gt;=1,VALUE(LEFT(MID(K450,FIND("/",K450)+1,10),FIND("/",MID(K450,FIND("/",K450)+1,10))-1))&lt;=12,VALUE(LEFT(K450,FIND("/",K450)-1))&lt;=DAY(EOMONTH(DATE(VALUE(MID(MID(K450,FIND("/",K450)+1,10),FIND("/",MID(K450,FIND("/",K450)+1,10))+1,4)),VALUE(LEFT(MID(K450,FIND("/",K450)+1,10),FIND("/",MID(K450,FIND("/",K450)+1,10))-1)),1),0))),0,1),1)+IFERROR(IF(M450&gt;=0,0,1),1)+IFERROR(IF(ISNUMBER(MATCH(N450,Lists!$B$2:$B$7,0)),0,1),1))=0,"OK","ERROR"))</f>
        <v>OK</v>
      </c>
      <c r="Q450" s="3" t="str">
        <f aca="false">IF(D450="","",TRIM(IF(IFERROR(IF(AND(TRIM(D450)=D450,LEN(D450)&gt;0),0,1),1)=1,"Name; ","")&amp;IF(IFERROR(IF(AND(LEN(E450)=10,ISNUMBER(VALUE(E450))),0,1),1)=1,"Phone; ","")&amp;IF(IFERROR(IF(AND(ISNUMBER(SEARCH("@",F450)),ISNUMBER(SEARCH(".",F450))),0,1),1)=1,"Email; ","")&amp;IF(IFERROR(IF(AND(LEN(J450)=6,ISNUMBER(VALUE(J450))),0,1),1)=1,"Pincode; ","")&amp;IF(IFERROR(IF(ISNUMBER(MATCH(TRIM(I450),Lists!$A$2:$A$20,0)),0,1),1)=1,"State; ","")&amp;IF(IFERROR(IF(AND(LEN(K450)=10,VALUE(LEFT(K450,FIND("/",K450)-1))&gt;=1,VALUE(LEFT(K450,FIND("/",K450)-1))&lt;=31,VALUE(LEFT(MID(K450,FIND("/",K450)+1,10),FIND("/",MID(K450,FIND("/",K450)+1,10))-1))&gt;=1,VALUE(LEFT(MID(K450,FIND("/",K450)+1,10),FIND("/",MID(K450,FIND("/",K450)+1,10))-1))&lt;=12,VALUE(LEFT(K450,FIND("/",K450)-1))&lt;=DAY(EOMONTH(DATE(VALUE(MID(MID(K450,FIND("/",K450)+1,10),FIND("/",MID(K450,FIND("/",K450)+1,10))+1,4)),VALUE(LEFT(MID(K450,FIND("/",K450)+1,10),FIND("/",MID(K450,FIND("/",K450)+1,10))-1)),1),0))),0,1),1)=1,"Date; ","")&amp;IF(IFERROR(IF(M450&gt;=0,0,1),1)=1,"Amount; ","")&amp;IF(IFERROR(IF(ISNUMBER(MATCH(N450,Lists!$B$2:$B$7,0)),0,1),1)=1,"Payment; ","")))</f>
        <v/>
      </c>
      <c r="R450" s="3" t="str">
        <f aca="false">IF(D450="","",IF(COUNTIFS($D$2:$D$701,D450,$E$2:$E$701,E450)&gt;1,"DUPLICATE","Unique"))</f>
        <v>Unique</v>
      </c>
    </row>
    <row r="451" customFormat="false" ht="15" hidden="false" customHeight="false" outlineLevel="0" collapsed="false">
      <c r="A451" s="3" t="n">
        <v>450</v>
      </c>
      <c r="B451" s="3" t="n">
        <v>9</v>
      </c>
      <c r="C451" s="3" t="s">
        <v>3214</v>
      </c>
      <c r="D451" s="3" t="s">
        <v>3215</v>
      </c>
      <c r="E451" s="3" t="s">
        <v>3216</v>
      </c>
      <c r="F451" s="3" t="s">
        <v>3217</v>
      </c>
      <c r="G451" s="3" t="s">
        <v>3218</v>
      </c>
      <c r="H451" s="3" t="s">
        <v>189</v>
      </c>
      <c r="I451" s="3" t="s">
        <v>45</v>
      </c>
      <c r="J451" s="3" t="s">
        <v>3219</v>
      </c>
      <c r="K451" s="3" t="s">
        <v>3220</v>
      </c>
      <c r="L451" s="3" t="s">
        <v>58</v>
      </c>
      <c r="M451" s="3" t="n">
        <v>418.62</v>
      </c>
      <c r="N451" s="3" t="s">
        <v>43</v>
      </c>
      <c r="O451" s="3" t="n">
        <f aca="false">IFERROR(LEN(C451&amp;D451&amp;E451&amp;F451&amp;G451&amp;H451&amp;I451&amp;J451&amp;K451&amp;L451&amp;M451&amp;N451)/5,0)</f>
        <v>23.8</v>
      </c>
      <c r="P451" s="3" t="str">
        <f aca="false">IF(OR(D451="",C451=""),"",IF((IFERROR(IF(AND(TRIM(D451)=D451,LEN(D451)&gt;0),0,1),1)+IFERROR(IF(AND(LEN(E451)=10,ISNUMBER(VALUE(E451))),0,1),1)+IFERROR(IF(AND(ISNUMBER(SEARCH("@",F451)),ISNUMBER(SEARCH(".",F451))),0,1),1)+IFERROR(IF(AND(LEN(J451)=6,ISNUMBER(VALUE(J451))),0,1),1)+IFERROR(IF(ISNUMBER(MATCH(TRIM(I451),Lists!$A$2:$A$20,0)),0,1),1)+IFERROR(IF(AND(LEN(K451)=10,VALUE(LEFT(K451,FIND("/",K451)-1))&gt;=1,VALUE(LEFT(K451,FIND("/",K451)-1))&lt;=31,VALUE(LEFT(MID(K451,FIND("/",K451)+1,10),FIND("/",MID(K451,FIND("/",K451)+1,10))-1))&gt;=1,VALUE(LEFT(MID(K451,FIND("/",K451)+1,10),FIND("/",MID(K451,FIND("/",K451)+1,10))-1))&lt;=12,VALUE(LEFT(K451,FIND("/",K451)-1))&lt;=DAY(EOMONTH(DATE(VALUE(MID(MID(K451,FIND("/",K451)+1,10),FIND("/",MID(K451,FIND("/",K451)+1,10))+1,4)),VALUE(LEFT(MID(K451,FIND("/",K451)+1,10),FIND("/",MID(K451,FIND("/",K451)+1,10))-1)),1),0))),0,1),1)+IFERROR(IF(M451&gt;=0,0,1),1)+IFERROR(IF(ISNUMBER(MATCH(N451,Lists!$B$2:$B$7,0)),0,1),1))=0,"OK","ERROR"))</f>
        <v>OK</v>
      </c>
      <c r="Q451" s="3" t="str">
        <f aca="false">IF(D451="","",TRIM(IF(IFERROR(IF(AND(TRIM(D451)=D451,LEN(D451)&gt;0),0,1),1)=1,"Name; ","")&amp;IF(IFERROR(IF(AND(LEN(E451)=10,ISNUMBER(VALUE(E451))),0,1),1)=1,"Phone; ","")&amp;IF(IFERROR(IF(AND(ISNUMBER(SEARCH("@",F451)),ISNUMBER(SEARCH(".",F451))),0,1),1)=1,"Email; ","")&amp;IF(IFERROR(IF(AND(LEN(J451)=6,ISNUMBER(VALUE(J451))),0,1),1)=1,"Pincode; ","")&amp;IF(IFERROR(IF(ISNUMBER(MATCH(TRIM(I451),Lists!$A$2:$A$20,0)),0,1),1)=1,"State; ","")&amp;IF(IFERROR(IF(AND(LEN(K451)=10,VALUE(LEFT(K451,FIND("/",K451)-1))&gt;=1,VALUE(LEFT(K451,FIND("/",K451)-1))&lt;=31,VALUE(LEFT(MID(K451,FIND("/",K451)+1,10),FIND("/",MID(K451,FIND("/",K451)+1,10))-1))&gt;=1,VALUE(LEFT(MID(K451,FIND("/",K451)+1,10),FIND("/",MID(K451,FIND("/",K451)+1,10))-1))&lt;=12,VALUE(LEFT(K451,FIND("/",K451)-1))&lt;=DAY(EOMONTH(DATE(VALUE(MID(MID(K451,FIND("/",K451)+1,10),FIND("/",MID(K451,FIND("/",K451)+1,10))+1,4)),VALUE(LEFT(MID(K451,FIND("/",K451)+1,10),FIND("/",MID(K451,FIND("/",K451)+1,10))-1)),1),0))),0,1),1)=1,"Date; ","")&amp;IF(IFERROR(IF(M451&gt;=0,0,1),1)=1,"Amount; ","")&amp;IF(IFERROR(IF(ISNUMBER(MATCH(N451,Lists!$B$2:$B$7,0)),0,1),1)=1,"Payment; ","")))</f>
        <v/>
      </c>
      <c r="R451" s="3" t="str">
        <f aca="false">IF(D451="","",IF(COUNTIFS($D$2:$D$701,D451,$E$2:$E$701,E451)&gt;1,"DUPLICATE","Unique"))</f>
        <v>Unique</v>
      </c>
    </row>
    <row r="452" customFormat="false" ht="15" hidden="false" customHeight="false" outlineLevel="0" collapsed="false">
      <c r="A452" s="3" t="n">
        <v>451</v>
      </c>
      <c r="B452" s="3" t="n">
        <v>10</v>
      </c>
      <c r="C452" s="3" t="s">
        <v>3221</v>
      </c>
      <c r="D452" s="3" t="s">
        <v>3222</v>
      </c>
      <c r="E452" s="3" t="s">
        <v>3223</v>
      </c>
      <c r="F452" s="3" t="s">
        <v>3224</v>
      </c>
      <c r="G452" s="3" t="s">
        <v>3225</v>
      </c>
      <c r="H452" s="3" t="s">
        <v>1753</v>
      </c>
      <c r="I452" s="3" t="s">
        <v>39</v>
      </c>
      <c r="J452" s="3" t="s">
        <v>3226</v>
      </c>
      <c r="K452" s="3" t="s">
        <v>3227</v>
      </c>
      <c r="L452" s="3" t="s">
        <v>41</v>
      </c>
      <c r="M452" s="3" t="n">
        <v>6878.01</v>
      </c>
      <c r="N452" s="3" t="s">
        <v>49</v>
      </c>
      <c r="O452" s="3" t="n">
        <f aca="false">IFERROR(LEN(C452&amp;D452&amp;E452&amp;F452&amp;G452&amp;H452&amp;I452&amp;J452&amp;K452&amp;L452&amp;M452&amp;N452)/5,0)</f>
        <v>25.8</v>
      </c>
      <c r="P452" s="3" t="str">
        <f aca="false">IF(OR(D452="",C452=""),"",IF((IFERROR(IF(AND(TRIM(D452)=D452,LEN(D452)&gt;0),0,1),1)+IFERROR(IF(AND(LEN(E452)=10,ISNUMBER(VALUE(E452))),0,1),1)+IFERROR(IF(AND(ISNUMBER(SEARCH("@",F452)),ISNUMBER(SEARCH(".",F452))),0,1),1)+IFERROR(IF(AND(LEN(J452)=6,ISNUMBER(VALUE(J452))),0,1),1)+IFERROR(IF(ISNUMBER(MATCH(TRIM(I452),Lists!$A$2:$A$20,0)),0,1),1)+IFERROR(IF(AND(LEN(K452)=10,VALUE(LEFT(K452,FIND("/",K452)-1))&gt;=1,VALUE(LEFT(K452,FIND("/",K452)-1))&lt;=31,VALUE(LEFT(MID(K452,FIND("/",K452)+1,10),FIND("/",MID(K452,FIND("/",K452)+1,10))-1))&gt;=1,VALUE(LEFT(MID(K452,FIND("/",K452)+1,10),FIND("/",MID(K452,FIND("/",K452)+1,10))-1))&lt;=12,VALUE(LEFT(K452,FIND("/",K452)-1))&lt;=DAY(EOMONTH(DATE(VALUE(MID(MID(K452,FIND("/",K452)+1,10),FIND("/",MID(K452,FIND("/",K452)+1,10))+1,4)),VALUE(LEFT(MID(K452,FIND("/",K452)+1,10),FIND("/",MID(K452,FIND("/",K452)+1,10))-1)),1),0))),0,1),1)+IFERROR(IF(M452&gt;=0,0,1),1)+IFERROR(IF(ISNUMBER(MATCH(N452,Lists!$B$2:$B$7,0)),0,1),1))=0,"OK","ERROR"))</f>
        <v>OK</v>
      </c>
      <c r="Q452" s="3" t="str">
        <f aca="false">IF(D452="","",TRIM(IF(IFERROR(IF(AND(TRIM(D452)=D452,LEN(D452)&gt;0),0,1),1)=1,"Name; ","")&amp;IF(IFERROR(IF(AND(LEN(E452)=10,ISNUMBER(VALUE(E452))),0,1),1)=1,"Phone; ","")&amp;IF(IFERROR(IF(AND(ISNUMBER(SEARCH("@",F452)),ISNUMBER(SEARCH(".",F452))),0,1),1)=1,"Email; ","")&amp;IF(IFERROR(IF(AND(LEN(J452)=6,ISNUMBER(VALUE(J452))),0,1),1)=1,"Pincode; ","")&amp;IF(IFERROR(IF(ISNUMBER(MATCH(TRIM(I452),Lists!$A$2:$A$20,0)),0,1),1)=1,"State; ","")&amp;IF(IFERROR(IF(AND(LEN(K452)=10,VALUE(LEFT(K452,FIND("/",K452)-1))&gt;=1,VALUE(LEFT(K452,FIND("/",K452)-1))&lt;=31,VALUE(LEFT(MID(K452,FIND("/",K452)+1,10),FIND("/",MID(K452,FIND("/",K452)+1,10))-1))&gt;=1,VALUE(LEFT(MID(K452,FIND("/",K452)+1,10),FIND("/",MID(K452,FIND("/",K452)+1,10))-1))&lt;=12,VALUE(LEFT(K452,FIND("/",K452)-1))&lt;=DAY(EOMONTH(DATE(VALUE(MID(MID(K452,FIND("/",K452)+1,10),FIND("/",MID(K452,FIND("/",K452)+1,10))+1,4)),VALUE(LEFT(MID(K452,FIND("/",K452)+1,10),FIND("/",MID(K452,FIND("/",K452)+1,10))-1)),1),0))),0,1),1)=1,"Date; ","")&amp;IF(IFERROR(IF(M452&gt;=0,0,1),1)=1,"Amount; ","")&amp;IF(IFERROR(IF(ISNUMBER(MATCH(N452,Lists!$B$2:$B$7,0)),0,1),1)=1,"Payment; ","")))</f>
        <v/>
      </c>
      <c r="R452" s="3" t="str">
        <f aca="false">IF(D452="","",IF(COUNTIFS($D$2:$D$701,D452,$E$2:$E$701,E452)&gt;1,"DUPLICATE","Unique"))</f>
        <v>Unique</v>
      </c>
    </row>
    <row r="453" customFormat="false" ht="15" hidden="false" customHeight="false" outlineLevel="0" collapsed="false">
      <c r="A453" s="3" t="n">
        <v>452</v>
      </c>
      <c r="B453" s="3" t="n">
        <v>10</v>
      </c>
      <c r="C453" s="3" t="s">
        <v>3228</v>
      </c>
      <c r="D453" s="3" t="s">
        <v>3229</v>
      </c>
      <c r="E453" s="3" t="s">
        <v>3230</v>
      </c>
      <c r="F453" s="3" t="s">
        <v>3231</v>
      </c>
      <c r="G453" s="3" t="s">
        <v>3232</v>
      </c>
      <c r="H453" s="3" t="s">
        <v>720</v>
      </c>
      <c r="I453" s="3" t="s">
        <v>54</v>
      </c>
      <c r="J453" s="3" t="s">
        <v>3233</v>
      </c>
      <c r="K453" s="3" t="s">
        <v>3234</v>
      </c>
      <c r="L453" s="3" t="s">
        <v>74</v>
      </c>
      <c r="M453" s="3" t="n">
        <v>9959.43</v>
      </c>
      <c r="N453" s="3" t="s">
        <v>49</v>
      </c>
      <c r="O453" s="3" t="n">
        <f aca="false">IFERROR(LEN(C453&amp;D453&amp;E453&amp;F453&amp;G453&amp;H453&amp;I453&amp;J453&amp;K453&amp;L453&amp;M453&amp;N453)/5,0)</f>
        <v>27.2</v>
      </c>
      <c r="P453" s="3" t="str">
        <f aca="false">IF(OR(D453="",C453=""),"",IF((IFERROR(IF(AND(TRIM(D453)=D453,LEN(D453)&gt;0),0,1),1)+IFERROR(IF(AND(LEN(E453)=10,ISNUMBER(VALUE(E453))),0,1),1)+IFERROR(IF(AND(ISNUMBER(SEARCH("@",F453)),ISNUMBER(SEARCH(".",F453))),0,1),1)+IFERROR(IF(AND(LEN(J453)=6,ISNUMBER(VALUE(J453))),0,1),1)+IFERROR(IF(ISNUMBER(MATCH(TRIM(I453),Lists!$A$2:$A$20,0)),0,1),1)+IFERROR(IF(AND(LEN(K453)=10,VALUE(LEFT(K453,FIND("/",K453)-1))&gt;=1,VALUE(LEFT(K453,FIND("/",K453)-1))&lt;=31,VALUE(LEFT(MID(K453,FIND("/",K453)+1,10),FIND("/",MID(K453,FIND("/",K453)+1,10))-1))&gt;=1,VALUE(LEFT(MID(K453,FIND("/",K453)+1,10),FIND("/",MID(K453,FIND("/",K453)+1,10))-1))&lt;=12,VALUE(LEFT(K453,FIND("/",K453)-1))&lt;=DAY(EOMONTH(DATE(VALUE(MID(MID(K453,FIND("/",K453)+1,10),FIND("/",MID(K453,FIND("/",K453)+1,10))+1,4)),VALUE(LEFT(MID(K453,FIND("/",K453)+1,10),FIND("/",MID(K453,FIND("/",K453)+1,10))-1)),1),0))),0,1),1)+IFERROR(IF(M453&gt;=0,0,1),1)+IFERROR(IF(ISNUMBER(MATCH(N453,Lists!$B$2:$B$7,0)),0,1),1))=0,"OK","ERROR"))</f>
        <v>OK</v>
      </c>
      <c r="Q453" s="3" t="str">
        <f aca="false">IF(D453="","",TRIM(IF(IFERROR(IF(AND(TRIM(D453)=D453,LEN(D453)&gt;0),0,1),1)=1,"Name; ","")&amp;IF(IFERROR(IF(AND(LEN(E453)=10,ISNUMBER(VALUE(E453))),0,1),1)=1,"Phone; ","")&amp;IF(IFERROR(IF(AND(ISNUMBER(SEARCH("@",F453)),ISNUMBER(SEARCH(".",F453))),0,1),1)=1,"Email; ","")&amp;IF(IFERROR(IF(AND(LEN(J453)=6,ISNUMBER(VALUE(J453))),0,1),1)=1,"Pincode; ","")&amp;IF(IFERROR(IF(ISNUMBER(MATCH(TRIM(I453),Lists!$A$2:$A$20,0)),0,1),1)=1,"State; ","")&amp;IF(IFERROR(IF(AND(LEN(K453)=10,VALUE(LEFT(K453,FIND("/",K453)-1))&gt;=1,VALUE(LEFT(K453,FIND("/",K453)-1))&lt;=31,VALUE(LEFT(MID(K453,FIND("/",K453)+1,10),FIND("/",MID(K453,FIND("/",K453)+1,10))-1))&gt;=1,VALUE(LEFT(MID(K453,FIND("/",K453)+1,10),FIND("/",MID(K453,FIND("/",K453)+1,10))-1))&lt;=12,VALUE(LEFT(K453,FIND("/",K453)-1))&lt;=DAY(EOMONTH(DATE(VALUE(MID(MID(K453,FIND("/",K453)+1,10),FIND("/",MID(K453,FIND("/",K453)+1,10))+1,4)),VALUE(LEFT(MID(K453,FIND("/",K453)+1,10),FIND("/",MID(K453,FIND("/",K453)+1,10))-1)),1),0))),0,1),1)=1,"Date; ","")&amp;IF(IFERROR(IF(M453&gt;=0,0,1),1)=1,"Amount; ","")&amp;IF(IFERROR(IF(ISNUMBER(MATCH(N453,Lists!$B$2:$B$7,0)),0,1),1)=1,"Payment; ","")))</f>
        <v/>
      </c>
      <c r="R453" s="3" t="str">
        <f aca="false">IF(D453="","",IF(COUNTIFS($D$2:$D$701,D453,$E$2:$E$701,E453)&gt;1,"DUPLICATE","Unique"))</f>
        <v>Unique</v>
      </c>
    </row>
    <row r="454" customFormat="false" ht="15" hidden="false" customHeight="false" outlineLevel="0" collapsed="false">
      <c r="A454" s="3" t="n">
        <v>453</v>
      </c>
      <c r="B454" s="3" t="n">
        <v>10</v>
      </c>
      <c r="C454" s="3" t="s">
        <v>3235</v>
      </c>
      <c r="D454" s="3" t="s">
        <v>3236</v>
      </c>
      <c r="E454" s="3" t="s">
        <v>3237</v>
      </c>
      <c r="F454" s="3" t="s">
        <v>3238</v>
      </c>
      <c r="G454" s="3" t="s">
        <v>3239</v>
      </c>
      <c r="H454" s="3" t="s">
        <v>266</v>
      </c>
      <c r="I454" s="3" t="s">
        <v>78</v>
      </c>
      <c r="J454" s="3" t="s">
        <v>3240</v>
      </c>
      <c r="K454" s="3" t="s">
        <v>1712</v>
      </c>
      <c r="L454" s="3" t="s">
        <v>53</v>
      </c>
      <c r="M454" s="3" t="n">
        <v>6381.99</v>
      </c>
      <c r="N454" s="3" t="s">
        <v>40</v>
      </c>
      <c r="O454" s="3" t="n">
        <f aca="false">IFERROR(LEN(C454&amp;D454&amp;E454&amp;F454&amp;G454&amp;H454&amp;I454&amp;J454&amp;K454&amp;L454&amp;M454&amp;N454)/5,0)</f>
        <v>26</v>
      </c>
      <c r="P454" s="3" t="str">
        <f aca="false">IF(OR(D454="",C454=""),"",IF((IFERROR(IF(AND(TRIM(D454)=D454,LEN(D454)&gt;0),0,1),1)+IFERROR(IF(AND(LEN(E454)=10,ISNUMBER(VALUE(E454))),0,1),1)+IFERROR(IF(AND(ISNUMBER(SEARCH("@",F454)),ISNUMBER(SEARCH(".",F454))),0,1),1)+IFERROR(IF(AND(LEN(J454)=6,ISNUMBER(VALUE(J454))),0,1),1)+IFERROR(IF(ISNUMBER(MATCH(TRIM(I454),Lists!$A$2:$A$20,0)),0,1),1)+IFERROR(IF(AND(LEN(K454)=10,VALUE(LEFT(K454,FIND("/",K454)-1))&gt;=1,VALUE(LEFT(K454,FIND("/",K454)-1))&lt;=31,VALUE(LEFT(MID(K454,FIND("/",K454)+1,10),FIND("/",MID(K454,FIND("/",K454)+1,10))-1))&gt;=1,VALUE(LEFT(MID(K454,FIND("/",K454)+1,10),FIND("/",MID(K454,FIND("/",K454)+1,10))-1))&lt;=12,VALUE(LEFT(K454,FIND("/",K454)-1))&lt;=DAY(EOMONTH(DATE(VALUE(MID(MID(K454,FIND("/",K454)+1,10),FIND("/",MID(K454,FIND("/",K454)+1,10))+1,4)),VALUE(LEFT(MID(K454,FIND("/",K454)+1,10),FIND("/",MID(K454,FIND("/",K454)+1,10))-1)),1),0))),0,1),1)+IFERROR(IF(M454&gt;=0,0,1),1)+IFERROR(IF(ISNUMBER(MATCH(N454,Lists!$B$2:$B$7,0)),0,1),1))=0,"OK","ERROR"))</f>
        <v>OK</v>
      </c>
      <c r="Q454" s="3" t="str">
        <f aca="false">IF(D454="","",TRIM(IF(IFERROR(IF(AND(TRIM(D454)=D454,LEN(D454)&gt;0),0,1),1)=1,"Name; ","")&amp;IF(IFERROR(IF(AND(LEN(E454)=10,ISNUMBER(VALUE(E454))),0,1),1)=1,"Phone; ","")&amp;IF(IFERROR(IF(AND(ISNUMBER(SEARCH("@",F454)),ISNUMBER(SEARCH(".",F454))),0,1),1)=1,"Email; ","")&amp;IF(IFERROR(IF(AND(LEN(J454)=6,ISNUMBER(VALUE(J454))),0,1),1)=1,"Pincode; ","")&amp;IF(IFERROR(IF(ISNUMBER(MATCH(TRIM(I454),Lists!$A$2:$A$20,0)),0,1),1)=1,"State; ","")&amp;IF(IFERROR(IF(AND(LEN(K454)=10,VALUE(LEFT(K454,FIND("/",K454)-1))&gt;=1,VALUE(LEFT(K454,FIND("/",K454)-1))&lt;=31,VALUE(LEFT(MID(K454,FIND("/",K454)+1,10),FIND("/",MID(K454,FIND("/",K454)+1,10))-1))&gt;=1,VALUE(LEFT(MID(K454,FIND("/",K454)+1,10),FIND("/",MID(K454,FIND("/",K454)+1,10))-1))&lt;=12,VALUE(LEFT(K454,FIND("/",K454)-1))&lt;=DAY(EOMONTH(DATE(VALUE(MID(MID(K454,FIND("/",K454)+1,10),FIND("/",MID(K454,FIND("/",K454)+1,10))+1,4)),VALUE(LEFT(MID(K454,FIND("/",K454)+1,10),FIND("/",MID(K454,FIND("/",K454)+1,10))-1)),1),0))),0,1),1)=1,"Date; ","")&amp;IF(IFERROR(IF(M454&gt;=0,0,1),1)=1,"Amount; ","")&amp;IF(IFERROR(IF(ISNUMBER(MATCH(N454,Lists!$B$2:$B$7,0)),0,1),1)=1,"Payment; ","")))</f>
        <v/>
      </c>
      <c r="R454" s="3" t="str">
        <f aca="false">IF(D454="","",IF(COUNTIFS($D$2:$D$701,D454,$E$2:$E$701,E454)&gt;1,"DUPLICATE","Unique"))</f>
        <v>Unique</v>
      </c>
    </row>
    <row r="455" customFormat="false" ht="15" hidden="false" customHeight="false" outlineLevel="0" collapsed="false">
      <c r="A455" s="3" t="n">
        <v>454</v>
      </c>
      <c r="B455" s="3" t="n">
        <v>10</v>
      </c>
      <c r="C455" s="3" t="s">
        <v>3241</v>
      </c>
      <c r="D455" s="3" t="s">
        <v>3242</v>
      </c>
      <c r="E455" s="3" t="s">
        <v>3243</v>
      </c>
      <c r="F455" s="3" t="s">
        <v>3244</v>
      </c>
      <c r="G455" s="3" t="s">
        <v>3245</v>
      </c>
      <c r="H455" s="3" t="s">
        <v>819</v>
      </c>
      <c r="I455" s="3" t="s">
        <v>75</v>
      </c>
      <c r="J455" s="3" t="s">
        <v>3246</v>
      </c>
      <c r="K455" s="3" t="s">
        <v>3247</v>
      </c>
      <c r="L455" s="3" t="s">
        <v>41</v>
      </c>
      <c r="M455" s="3" t="n">
        <v>5874.94</v>
      </c>
      <c r="N455" s="3" t="s">
        <v>55</v>
      </c>
      <c r="O455" s="3" t="n">
        <f aca="false">IFERROR(LEN(C455&amp;D455&amp;E455&amp;F455&amp;G455&amp;H455&amp;I455&amp;J455&amp;K455&amp;L455&amp;M455&amp;N455)/5,0)</f>
        <v>26.8</v>
      </c>
      <c r="P455" s="3" t="str">
        <f aca="false">IF(OR(D455="",C455=""),"",IF((IFERROR(IF(AND(TRIM(D455)=D455,LEN(D455)&gt;0),0,1),1)+IFERROR(IF(AND(LEN(E455)=10,ISNUMBER(VALUE(E455))),0,1),1)+IFERROR(IF(AND(ISNUMBER(SEARCH("@",F455)),ISNUMBER(SEARCH(".",F455))),0,1),1)+IFERROR(IF(AND(LEN(J455)=6,ISNUMBER(VALUE(J455))),0,1),1)+IFERROR(IF(ISNUMBER(MATCH(TRIM(I455),Lists!$A$2:$A$20,0)),0,1),1)+IFERROR(IF(AND(LEN(K455)=10,VALUE(LEFT(K455,FIND("/",K455)-1))&gt;=1,VALUE(LEFT(K455,FIND("/",K455)-1))&lt;=31,VALUE(LEFT(MID(K455,FIND("/",K455)+1,10),FIND("/",MID(K455,FIND("/",K455)+1,10))-1))&gt;=1,VALUE(LEFT(MID(K455,FIND("/",K455)+1,10),FIND("/",MID(K455,FIND("/",K455)+1,10))-1))&lt;=12,VALUE(LEFT(K455,FIND("/",K455)-1))&lt;=DAY(EOMONTH(DATE(VALUE(MID(MID(K455,FIND("/",K455)+1,10),FIND("/",MID(K455,FIND("/",K455)+1,10))+1,4)),VALUE(LEFT(MID(K455,FIND("/",K455)+1,10),FIND("/",MID(K455,FIND("/",K455)+1,10))-1)),1),0))),0,1),1)+IFERROR(IF(M455&gt;=0,0,1),1)+IFERROR(IF(ISNUMBER(MATCH(N455,Lists!$B$2:$B$7,0)),0,1),1))=0,"OK","ERROR"))</f>
        <v>OK</v>
      </c>
      <c r="Q455" s="3" t="str">
        <f aca="false">IF(D455="","",TRIM(IF(IFERROR(IF(AND(TRIM(D455)=D455,LEN(D455)&gt;0),0,1),1)=1,"Name; ","")&amp;IF(IFERROR(IF(AND(LEN(E455)=10,ISNUMBER(VALUE(E455))),0,1),1)=1,"Phone; ","")&amp;IF(IFERROR(IF(AND(ISNUMBER(SEARCH("@",F455)),ISNUMBER(SEARCH(".",F455))),0,1),1)=1,"Email; ","")&amp;IF(IFERROR(IF(AND(LEN(J455)=6,ISNUMBER(VALUE(J455))),0,1),1)=1,"Pincode; ","")&amp;IF(IFERROR(IF(ISNUMBER(MATCH(TRIM(I455),Lists!$A$2:$A$20,0)),0,1),1)=1,"State; ","")&amp;IF(IFERROR(IF(AND(LEN(K455)=10,VALUE(LEFT(K455,FIND("/",K455)-1))&gt;=1,VALUE(LEFT(K455,FIND("/",K455)-1))&lt;=31,VALUE(LEFT(MID(K455,FIND("/",K455)+1,10),FIND("/",MID(K455,FIND("/",K455)+1,10))-1))&gt;=1,VALUE(LEFT(MID(K455,FIND("/",K455)+1,10),FIND("/",MID(K455,FIND("/",K455)+1,10))-1))&lt;=12,VALUE(LEFT(K455,FIND("/",K455)-1))&lt;=DAY(EOMONTH(DATE(VALUE(MID(MID(K455,FIND("/",K455)+1,10),FIND("/",MID(K455,FIND("/",K455)+1,10))+1,4)),VALUE(LEFT(MID(K455,FIND("/",K455)+1,10),FIND("/",MID(K455,FIND("/",K455)+1,10))-1)),1),0))),0,1),1)=1,"Date; ","")&amp;IF(IFERROR(IF(M455&gt;=0,0,1),1)=1,"Amount; ","")&amp;IF(IFERROR(IF(ISNUMBER(MATCH(N455,Lists!$B$2:$B$7,0)),0,1),1)=1,"Payment; ","")))</f>
        <v/>
      </c>
      <c r="R455" s="3" t="str">
        <f aca="false">IF(D455="","",IF(COUNTIFS($D$2:$D$701,D455,$E$2:$E$701,E455)&gt;1,"DUPLICATE","Unique"))</f>
        <v>Unique</v>
      </c>
    </row>
    <row r="456" customFormat="false" ht="15" hidden="false" customHeight="false" outlineLevel="0" collapsed="false">
      <c r="A456" s="3" t="n">
        <v>455</v>
      </c>
      <c r="B456" s="3" t="n">
        <v>10</v>
      </c>
      <c r="C456" s="3" t="s">
        <v>3248</v>
      </c>
      <c r="D456" s="3" t="s">
        <v>3249</v>
      </c>
      <c r="E456" s="3" t="s">
        <v>3250</v>
      </c>
      <c r="F456" s="3" t="s">
        <v>3251</v>
      </c>
      <c r="G456" s="3" t="s">
        <v>3252</v>
      </c>
      <c r="H456" s="3" t="s">
        <v>510</v>
      </c>
      <c r="I456" s="3" t="s">
        <v>57</v>
      </c>
      <c r="J456" s="3" t="s">
        <v>3253</v>
      </c>
      <c r="K456" s="3" t="s">
        <v>3254</v>
      </c>
      <c r="L456" s="3" t="s">
        <v>56</v>
      </c>
      <c r="M456" s="3" t="n">
        <v>12066.22</v>
      </c>
      <c r="N456" s="3" t="s">
        <v>49</v>
      </c>
      <c r="O456" s="3" t="n">
        <f aca="false">IFERROR(LEN(C456&amp;D456&amp;E456&amp;F456&amp;G456&amp;H456&amp;I456&amp;J456&amp;K456&amp;L456&amp;M456&amp;N456)/5,0)</f>
        <v>28.6</v>
      </c>
      <c r="P456" s="3" t="str">
        <f aca="false">IF(OR(D456="",C456=""),"",IF((IFERROR(IF(AND(TRIM(D456)=D456,LEN(D456)&gt;0),0,1),1)+IFERROR(IF(AND(LEN(E456)=10,ISNUMBER(VALUE(E456))),0,1),1)+IFERROR(IF(AND(ISNUMBER(SEARCH("@",F456)),ISNUMBER(SEARCH(".",F456))),0,1),1)+IFERROR(IF(AND(LEN(J456)=6,ISNUMBER(VALUE(J456))),0,1),1)+IFERROR(IF(ISNUMBER(MATCH(TRIM(I456),Lists!$A$2:$A$20,0)),0,1),1)+IFERROR(IF(AND(LEN(K456)=10,VALUE(LEFT(K456,FIND("/",K456)-1))&gt;=1,VALUE(LEFT(K456,FIND("/",K456)-1))&lt;=31,VALUE(LEFT(MID(K456,FIND("/",K456)+1,10),FIND("/",MID(K456,FIND("/",K456)+1,10))-1))&gt;=1,VALUE(LEFT(MID(K456,FIND("/",K456)+1,10),FIND("/",MID(K456,FIND("/",K456)+1,10))-1))&lt;=12,VALUE(LEFT(K456,FIND("/",K456)-1))&lt;=DAY(EOMONTH(DATE(VALUE(MID(MID(K456,FIND("/",K456)+1,10),FIND("/",MID(K456,FIND("/",K456)+1,10))+1,4)),VALUE(LEFT(MID(K456,FIND("/",K456)+1,10),FIND("/",MID(K456,FIND("/",K456)+1,10))-1)),1),0))),0,1),1)+IFERROR(IF(M456&gt;=0,0,1),1)+IFERROR(IF(ISNUMBER(MATCH(N456,Lists!$B$2:$B$7,0)),0,1),1))=0,"OK","ERROR"))</f>
        <v>OK</v>
      </c>
      <c r="Q456" s="3" t="str">
        <f aca="false">IF(D456="","",TRIM(IF(IFERROR(IF(AND(TRIM(D456)=D456,LEN(D456)&gt;0),0,1),1)=1,"Name; ","")&amp;IF(IFERROR(IF(AND(LEN(E456)=10,ISNUMBER(VALUE(E456))),0,1),1)=1,"Phone; ","")&amp;IF(IFERROR(IF(AND(ISNUMBER(SEARCH("@",F456)),ISNUMBER(SEARCH(".",F456))),0,1),1)=1,"Email; ","")&amp;IF(IFERROR(IF(AND(LEN(J456)=6,ISNUMBER(VALUE(J456))),0,1),1)=1,"Pincode; ","")&amp;IF(IFERROR(IF(ISNUMBER(MATCH(TRIM(I456),Lists!$A$2:$A$20,0)),0,1),1)=1,"State; ","")&amp;IF(IFERROR(IF(AND(LEN(K456)=10,VALUE(LEFT(K456,FIND("/",K456)-1))&gt;=1,VALUE(LEFT(K456,FIND("/",K456)-1))&lt;=31,VALUE(LEFT(MID(K456,FIND("/",K456)+1,10),FIND("/",MID(K456,FIND("/",K456)+1,10))-1))&gt;=1,VALUE(LEFT(MID(K456,FIND("/",K456)+1,10),FIND("/",MID(K456,FIND("/",K456)+1,10))-1))&lt;=12,VALUE(LEFT(K456,FIND("/",K456)-1))&lt;=DAY(EOMONTH(DATE(VALUE(MID(MID(K456,FIND("/",K456)+1,10),FIND("/",MID(K456,FIND("/",K456)+1,10))+1,4)),VALUE(LEFT(MID(K456,FIND("/",K456)+1,10),FIND("/",MID(K456,FIND("/",K456)+1,10))-1)),1),0))),0,1),1)=1,"Date; ","")&amp;IF(IFERROR(IF(M456&gt;=0,0,1),1)=1,"Amount; ","")&amp;IF(IFERROR(IF(ISNUMBER(MATCH(N456,Lists!$B$2:$B$7,0)),0,1),1)=1,"Payment; ","")))</f>
        <v/>
      </c>
      <c r="R456" s="3" t="str">
        <f aca="false">IF(D456="","",IF(COUNTIFS($D$2:$D$701,D456,$E$2:$E$701,E456)&gt;1,"DUPLICATE","Unique"))</f>
        <v>Unique</v>
      </c>
    </row>
    <row r="457" customFormat="false" ht="15" hidden="false" customHeight="false" outlineLevel="0" collapsed="false">
      <c r="A457" s="3" t="n">
        <v>456</v>
      </c>
      <c r="B457" s="3" t="n">
        <v>10</v>
      </c>
      <c r="C457" s="3" t="s">
        <v>3255</v>
      </c>
      <c r="D457" s="3" t="s">
        <v>3256</v>
      </c>
      <c r="E457" s="3" t="s">
        <v>3257</v>
      </c>
      <c r="F457" s="3" t="s">
        <v>3258</v>
      </c>
      <c r="G457" s="3" t="s">
        <v>3259</v>
      </c>
      <c r="H457" s="3" t="s">
        <v>525</v>
      </c>
      <c r="I457" s="3" t="s">
        <v>76</v>
      </c>
      <c r="J457" s="3" t="s">
        <v>3260</v>
      </c>
      <c r="K457" s="3" t="s">
        <v>2078</v>
      </c>
      <c r="L457" s="3" t="s">
        <v>60</v>
      </c>
      <c r="M457" s="3" t="n">
        <v>1504.32</v>
      </c>
      <c r="N457" s="3" t="s">
        <v>49</v>
      </c>
      <c r="O457" s="3" t="n">
        <f aca="false">IFERROR(LEN(C457&amp;D457&amp;E457&amp;F457&amp;G457&amp;H457&amp;I457&amp;J457&amp;K457&amp;L457&amp;M457&amp;N457)/5,0)</f>
        <v>29</v>
      </c>
      <c r="P457" s="3" t="str">
        <f aca="false">IF(OR(D457="",C457=""),"",IF((IFERROR(IF(AND(TRIM(D457)=D457,LEN(D457)&gt;0),0,1),1)+IFERROR(IF(AND(LEN(E457)=10,ISNUMBER(VALUE(E457))),0,1),1)+IFERROR(IF(AND(ISNUMBER(SEARCH("@",F457)),ISNUMBER(SEARCH(".",F457))),0,1),1)+IFERROR(IF(AND(LEN(J457)=6,ISNUMBER(VALUE(J457))),0,1),1)+IFERROR(IF(ISNUMBER(MATCH(TRIM(I457),Lists!$A$2:$A$20,0)),0,1),1)+IFERROR(IF(AND(LEN(K457)=10,VALUE(LEFT(K457,FIND("/",K457)-1))&gt;=1,VALUE(LEFT(K457,FIND("/",K457)-1))&lt;=31,VALUE(LEFT(MID(K457,FIND("/",K457)+1,10),FIND("/",MID(K457,FIND("/",K457)+1,10))-1))&gt;=1,VALUE(LEFT(MID(K457,FIND("/",K457)+1,10),FIND("/",MID(K457,FIND("/",K457)+1,10))-1))&lt;=12,VALUE(LEFT(K457,FIND("/",K457)-1))&lt;=DAY(EOMONTH(DATE(VALUE(MID(MID(K457,FIND("/",K457)+1,10),FIND("/",MID(K457,FIND("/",K457)+1,10))+1,4)),VALUE(LEFT(MID(K457,FIND("/",K457)+1,10),FIND("/",MID(K457,FIND("/",K457)+1,10))-1)),1),0))),0,1),1)+IFERROR(IF(M457&gt;=0,0,1),1)+IFERROR(IF(ISNUMBER(MATCH(N457,Lists!$B$2:$B$7,0)),0,1),1))=0,"OK","ERROR"))</f>
        <v>OK</v>
      </c>
      <c r="Q457" s="3" t="str">
        <f aca="false">IF(D457="","",TRIM(IF(IFERROR(IF(AND(TRIM(D457)=D457,LEN(D457)&gt;0),0,1),1)=1,"Name; ","")&amp;IF(IFERROR(IF(AND(LEN(E457)=10,ISNUMBER(VALUE(E457))),0,1),1)=1,"Phone; ","")&amp;IF(IFERROR(IF(AND(ISNUMBER(SEARCH("@",F457)),ISNUMBER(SEARCH(".",F457))),0,1),1)=1,"Email; ","")&amp;IF(IFERROR(IF(AND(LEN(J457)=6,ISNUMBER(VALUE(J457))),0,1),1)=1,"Pincode; ","")&amp;IF(IFERROR(IF(ISNUMBER(MATCH(TRIM(I457),Lists!$A$2:$A$20,0)),0,1),1)=1,"State; ","")&amp;IF(IFERROR(IF(AND(LEN(K457)=10,VALUE(LEFT(K457,FIND("/",K457)-1))&gt;=1,VALUE(LEFT(K457,FIND("/",K457)-1))&lt;=31,VALUE(LEFT(MID(K457,FIND("/",K457)+1,10),FIND("/",MID(K457,FIND("/",K457)+1,10))-1))&gt;=1,VALUE(LEFT(MID(K457,FIND("/",K457)+1,10),FIND("/",MID(K457,FIND("/",K457)+1,10))-1))&lt;=12,VALUE(LEFT(K457,FIND("/",K457)-1))&lt;=DAY(EOMONTH(DATE(VALUE(MID(MID(K457,FIND("/",K457)+1,10),FIND("/",MID(K457,FIND("/",K457)+1,10))+1,4)),VALUE(LEFT(MID(K457,FIND("/",K457)+1,10),FIND("/",MID(K457,FIND("/",K457)+1,10))-1)),1),0))),0,1),1)=1,"Date; ","")&amp;IF(IFERROR(IF(M457&gt;=0,0,1),1)=1,"Amount; ","")&amp;IF(IFERROR(IF(ISNUMBER(MATCH(N457,Lists!$B$2:$B$7,0)),0,1),1)=1,"Payment; ","")))</f>
        <v/>
      </c>
      <c r="R457" s="3" t="str">
        <f aca="false">IF(D457="","",IF(COUNTIFS($D$2:$D$701,D457,$E$2:$E$701,E457)&gt;1,"DUPLICATE","Unique"))</f>
        <v>Unique</v>
      </c>
    </row>
    <row r="458" customFormat="false" ht="15" hidden="false" customHeight="false" outlineLevel="0" collapsed="false">
      <c r="A458" s="3" t="n">
        <v>457</v>
      </c>
      <c r="B458" s="3" t="n">
        <v>10</v>
      </c>
      <c r="C458" s="3" t="s">
        <v>3261</v>
      </c>
      <c r="D458" s="3" t="s">
        <v>3262</v>
      </c>
      <c r="E458" s="3" t="s">
        <v>3263</v>
      </c>
      <c r="F458" s="3" t="s">
        <v>3264</v>
      </c>
      <c r="G458" s="3" t="s">
        <v>3265</v>
      </c>
      <c r="H458" s="3" t="s">
        <v>641</v>
      </c>
      <c r="I458" s="3" t="s">
        <v>59</v>
      </c>
      <c r="J458" s="3" t="s">
        <v>3266</v>
      </c>
      <c r="K458" s="3" t="s">
        <v>3267</v>
      </c>
      <c r="L458" s="3" t="s">
        <v>66</v>
      </c>
      <c r="M458" s="3" t="n">
        <v>2548.87</v>
      </c>
      <c r="N458" s="3" t="s">
        <v>40</v>
      </c>
      <c r="O458" s="3" t="n">
        <f aca="false">IFERROR(LEN(C458&amp;D458&amp;E458&amp;F458&amp;G458&amp;H458&amp;I458&amp;J458&amp;K458&amp;L458&amp;M458&amp;N458)/5,0)</f>
        <v>27.2</v>
      </c>
      <c r="P458" s="3" t="str">
        <f aca="false">IF(OR(D458="",C458=""),"",IF((IFERROR(IF(AND(TRIM(D458)=D458,LEN(D458)&gt;0),0,1),1)+IFERROR(IF(AND(LEN(E458)=10,ISNUMBER(VALUE(E458))),0,1),1)+IFERROR(IF(AND(ISNUMBER(SEARCH("@",F458)),ISNUMBER(SEARCH(".",F458))),0,1),1)+IFERROR(IF(AND(LEN(J458)=6,ISNUMBER(VALUE(J458))),0,1),1)+IFERROR(IF(ISNUMBER(MATCH(TRIM(I458),Lists!$A$2:$A$20,0)),0,1),1)+IFERROR(IF(AND(LEN(K458)=10,VALUE(LEFT(K458,FIND("/",K458)-1))&gt;=1,VALUE(LEFT(K458,FIND("/",K458)-1))&lt;=31,VALUE(LEFT(MID(K458,FIND("/",K458)+1,10),FIND("/",MID(K458,FIND("/",K458)+1,10))-1))&gt;=1,VALUE(LEFT(MID(K458,FIND("/",K458)+1,10),FIND("/",MID(K458,FIND("/",K458)+1,10))-1))&lt;=12,VALUE(LEFT(K458,FIND("/",K458)-1))&lt;=DAY(EOMONTH(DATE(VALUE(MID(MID(K458,FIND("/",K458)+1,10),FIND("/",MID(K458,FIND("/",K458)+1,10))+1,4)),VALUE(LEFT(MID(K458,FIND("/",K458)+1,10),FIND("/",MID(K458,FIND("/",K458)+1,10))-1)),1),0))),0,1),1)+IFERROR(IF(M458&gt;=0,0,1),1)+IFERROR(IF(ISNUMBER(MATCH(N458,Lists!$B$2:$B$7,0)),0,1),1))=0,"OK","ERROR"))</f>
        <v>OK</v>
      </c>
      <c r="Q458" s="3" t="str">
        <f aca="false">IF(D458="","",TRIM(IF(IFERROR(IF(AND(TRIM(D458)=D458,LEN(D458)&gt;0),0,1),1)=1,"Name; ","")&amp;IF(IFERROR(IF(AND(LEN(E458)=10,ISNUMBER(VALUE(E458))),0,1),1)=1,"Phone; ","")&amp;IF(IFERROR(IF(AND(ISNUMBER(SEARCH("@",F458)),ISNUMBER(SEARCH(".",F458))),0,1),1)=1,"Email; ","")&amp;IF(IFERROR(IF(AND(LEN(J458)=6,ISNUMBER(VALUE(J458))),0,1),1)=1,"Pincode; ","")&amp;IF(IFERROR(IF(ISNUMBER(MATCH(TRIM(I458),Lists!$A$2:$A$20,0)),0,1),1)=1,"State; ","")&amp;IF(IFERROR(IF(AND(LEN(K458)=10,VALUE(LEFT(K458,FIND("/",K458)-1))&gt;=1,VALUE(LEFT(K458,FIND("/",K458)-1))&lt;=31,VALUE(LEFT(MID(K458,FIND("/",K458)+1,10),FIND("/",MID(K458,FIND("/",K458)+1,10))-1))&gt;=1,VALUE(LEFT(MID(K458,FIND("/",K458)+1,10),FIND("/",MID(K458,FIND("/",K458)+1,10))-1))&lt;=12,VALUE(LEFT(K458,FIND("/",K458)-1))&lt;=DAY(EOMONTH(DATE(VALUE(MID(MID(K458,FIND("/",K458)+1,10),FIND("/",MID(K458,FIND("/",K458)+1,10))+1,4)),VALUE(LEFT(MID(K458,FIND("/",K458)+1,10),FIND("/",MID(K458,FIND("/",K458)+1,10))-1)),1),0))),0,1),1)=1,"Date; ","")&amp;IF(IFERROR(IF(M458&gt;=0,0,1),1)=1,"Amount; ","")&amp;IF(IFERROR(IF(ISNUMBER(MATCH(N458,Lists!$B$2:$B$7,0)),0,1),1)=1,"Payment; ","")))</f>
        <v/>
      </c>
      <c r="R458" s="3" t="str">
        <f aca="false">IF(D458="","",IF(COUNTIFS($D$2:$D$701,D458,$E$2:$E$701,E458)&gt;1,"DUPLICATE","Unique"))</f>
        <v>Unique</v>
      </c>
    </row>
    <row r="459" customFormat="false" ht="15" hidden="false" customHeight="false" outlineLevel="0" collapsed="false">
      <c r="A459" s="3" t="n">
        <v>458</v>
      </c>
      <c r="B459" s="3" t="n">
        <v>10</v>
      </c>
      <c r="C459" s="3" t="s">
        <v>3268</v>
      </c>
      <c r="D459" s="3" t="s">
        <v>3269</v>
      </c>
      <c r="E459" s="3" t="s">
        <v>3270</v>
      </c>
      <c r="F459" s="3" t="s">
        <v>3271</v>
      </c>
      <c r="G459" s="3" t="s">
        <v>3272</v>
      </c>
      <c r="H459" s="3" t="s">
        <v>281</v>
      </c>
      <c r="I459" s="3" t="s">
        <v>51</v>
      </c>
      <c r="J459" s="3" t="s">
        <v>3273</v>
      </c>
      <c r="K459" s="3" t="s">
        <v>3274</v>
      </c>
      <c r="L459" s="3" t="s">
        <v>62</v>
      </c>
      <c r="M459" s="3" t="n">
        <v>6946.75</v>
      </c>
      <c r="N459" s="3" t="s">
        <v>40</v>
      </c>
      <c r="O459" s="3" t="n">
        <f aca="false">IFERROR(LEN(C459&amp;D459&amp;E459&amp;F459&amp;G459&amp;H459&amp;I459&amp;J459&amp;K459&amp;L459&amp;M459&amp;N459)/5,0)</f>
        <v>28.6</v>
      </c>
      <c r="P459" s="3" t="str">
        <f aca="false">IF(OR(D459="",C459=""),"",IF((IFERROR(IF(AND(TRIM(D459)=D459,LEN(D459)&gt;0),0,1),1)+IFERROR(IF(AND(LEN(E459)=10,ISNUMBER(VALUE(E459))),0,1),1)+IFERROR(IF(AND(ISNUMBER(SEARCH("@",F459)),ISNUMBER(SEARCH(".",F459))),0,1),1)+IFERROR(IF(AND(LEN(J459)=6,ISNUMBER(VALUE(J459))),0,1),1)+IFERROR(IF(ISNUMBER(MATCH(TRIM(I459),Lists!$A$2:$A$20,0)),0,1),1)+IFERROR(IF(AND(LEN(K459)=10,VALUE(LEFT(K459,FIND("/",K459)-1))&gt;=1,VALUE(LEFT(K459,FIND("/",K459)-1))&lt;=31,VALUE(LEFT(MID(K459,FIND("/",K459)+1,10),FIND("/",MID(K459,FIND("/",K459)+1,10))-1))&gt;=1,VALUE(LEFT(MID(K459,FIND("/",K459)+1,10),FIND("/",MID(K459,FIND("/",K459)+1,10))-1))&lt;=12,VALUE(LEFT(K459,FIND("/",K459)-1))&lt;=DAY(EOMONTH(DATE(VALUE(MID(MID(K459,FIND("/",K459)+1,10),FIND("/",MID(K459,FIND("/",K459)+1,10))+1,4)),VALUE(LEFT(MID(K459,FIND("/",K459)+1,10),FIND("/",MID(K459,FIND("/",K459)+1,10))-1)),1),0))),0,1),1)+IFERROR(IF(M459&gt;=0,0,1),1)+IFERROR(IF(ISNUMBER(MATCH(N459,Lists!$B$2:$B$7,0)),0,1),1))=0,"OK","ERROR"))</f>
        <v>OK</v>
      </c>
      <c r="Q459" s="3" t="str">
        <f aca="false">IF(D459="","",TRIM(IF(IFERROR(IF(AND(TRIM(D459)=D459,LEN(D459)&gt;0),0,1),1)=1,"Name; ","")&amp;IF(IFERROR(IF(AND(LEN(E459)=10,ISNUMBER(VALUE(E459))),0,1),1)=1,"Phone; ","")&amp;IF(IFERROR(IF(AND(ISNUMBER(SEARCH("@",F459)),ISNUMBER(SEARCH(".",F459))),0,1),1)=1,"Email; ","")&amp;IF(IFERROR(IF(AND(LEN(J459)=6,ISNUMBER(VALUE(J459))),0,1),1)=1,"Pincode; ","")&amp;IF(IFERROR(IF(ISNUMBER(MATCH(TRIM(I459),Lists!$A$2:$A$20,0)),0,1),1)=1,"State; ","")&amp;IF(IFERROR(IF(AND(LEN(K459)=10,VALUE(LEFT(K459,FIND("/",K459)-1))&gt;=1,VALUE(LEFT(K459,FIND("/",K459)-1))&lt;=31,VALUE(LEFT(MID(K459,FIND("/",K459)+1,10),FIND("/",MID(K459,FIND("/",K459)+1,10))-1))&gt;=1,VALUE(LEFT(MID(K459,FIND("/",K459)+1,10),FIND("/",MID(K459,FIND("/",K459)+1,10))-1))&lt;=12,VALUE(LEFT(K459,FIND("/",K459)-1))&lt;=DAY(EOMONTH(DATE(VALUE(MID(MID(K459,FIND("/",K459)+1,10),FIND("/",MID(K459,FIND("/",K459)+1,10))+1,4)),VALUE(LEFT(MID(K459,FIND("/",K459)+1,10),FIND("/",MID(K459,FIND("/",K459)+1,10))-1)),1),0))),0,1),1)=1,"Date; ","")&amp;IF(IFERROR(IF(M459&gt;=0,0,1),1)=1,"Amount; ","")&amp;IF(IFERROR(IF(ISNUMBER(MATCH(N459,Lists!$B$2:$B$7,0)),0,1),1)=1,"Payment; ","")))</f>
        <v/>
      </c>
      <c r="R459" s="3" t="str">
        <f aca="false">IF(D459="","",IF(COUNTIFS($D$2:$D$701,D459,$E$2:$E$701,E459)&gt;1,"DUPLICATE","Unique"))</f>
        <v>Unique</v>
      </c>
    </row>
    <row r="460" customFormat="false" ht="15" hidden="false" customHeight="false" outlineLevel="0" collapsed="false">
      <c r="A460" s="3" t="n">
        <v>459</v>
      </c>
      <c r="B460" s="3" t="n">
        <v>10</v>
      </c>
      <c r="C460" s="3" t="s">
        <v>3275</v>
      </c>
      <c r="D460" s="3" t="s">
        <v>3276</v>
      </c>
      <c r="E460" s="3" t="s">
        <v>3277</v>
      </c>
      <c r="F460" s="3" t="s">
        <v>3278</v>
      </c>
      <c r="G460" s="3" t="s">
        <v>3279</v>
      </c>
      <c r="H460" s="3" t="s">
        <v>472</v>
      </c>
      <c r="I460" s="3" t="s">
        <v>63</v>
      </c>
      <c r="J460" s="3" t="s">
        <v>3280</v>
      </c>
      <c r="K460" s="3" t="s">
        <v>1394</v>
      </c>
      <c r="L460" s="3" t="s">
        <v>58</v>
      </c>
      <c r="M460" s="3" t="n">
        <v>3119.47</v>
      </c>
      <c r="N460" s="3" t="s">
        <v>49</v>
      </c>
      <c r="O460" s="3" t="n">
        <f aca="false">IFERROR(LEN(C460&amp;D460&amp;E460&amp;F460&amp;G460&amp;H460&amp;I460&amp;J460&amp;K460&amp;L460&amp;M460&amp;N460)/5,0)</f>
        <v>28.4</v>
      </c>
      <c r="P460" s="3" t="str">
        <f aca="false">IF(OR(D460="",C460=""),"",IF((IFERROR(IF(AND(TRIM(D460)=D460,LEN(D460)&gt;0),0,1),1)+IFERROR(IF(AND(LEN(E460)=10,ISNUMBER(VALUE(E460))),0,1),1)+IFERROR(IF(AND(ISNUMBER(SEARCH("@",F460)),ISNUMBER(SEARCH(".",F460))),0,1),1)+IFERROR(IF(AND(LEN(J460)=6,ISNUMBER(VALUE(J460))),0,1),1)+IFERROR(IF(ISNUMBER(MATCH(TRIM(I460),Lists!$A$2:$A$20,0)),0,1),1)+IFERROR(IF(AND(LEN(K460)=10,VALUE(LEFT(K460,FIND("/",K460)-1))&gt;=1,VALUE(LEFT(K460,FIND("/",K460)-1))&lt;=31,VALUE(LEFT(MID(K460,FIND("/",K460)+1,10),FIND("/",MID(K460,FIND("/",K460)+1,10))-1))&gt;=1,VALUE(LEFT(MID(K460,FIND("/",K460)+1,10),FIND("/",MID(K460,FIND("/",K460)+1,10))-1))&lt;=12,VALUE(LEFT(K460,FIND("/",K460)-1))&lt;=DAY(EOMONTH(DATE(VALUE(MID(MID(K460,FIND("/",K460)+1,10),FIND("/",MID(K460,FIND("/",K460)+1,10))+1,4)),VALUE(LEFT(MID(K460,FIND("/",K460)+1,10),FIND("/",MID(K460,FIND("/",K460)+1,10))-1)),1),0))),0,1),1)+IFERROR(IF(M460&gt;=0,0,1),1)+IFERROR(IF(ISNUMBER(MATCH(N460,Lists!$B$2:$B$7,0)),0,1),1))=0,"OK","ERROR"))</f>
        <v>OK</v>
      </c>
      <c r="Q460" s="3" t="str">
        <f aca="false">IF(D460="","",TRIM(IF(IFERROR(IF(AND(TRIM(D460)=D460,LEN(D460)&gt;0),0,1),1)=1,"Name; ","")&amp;IF(IFERROR(IF(AND(LEN(E460)=10,ISNUMBER(VALUE(E460))),0,1),1)=1,"Phone; ","")&amp;IF(IFERROR(IF(AND(ISNUMBER(SEARCH("@",F460)),ISNUMBER(SEARCH(".",F460))),0,1),1)=1,"Email; ","")&amp;IF(IFERROR(IF(AND(LEN(J460)=6,ISNUMBER(VALUE(J460))),0,1),1)=1,"Pincode; ","")&amp;IF(IFERROR(IF(ISNUMBER(MATCH(TRIM(I460),Lists!$A$2:$A$20,0)),0,1),1)=1,"State; ","")&amp;IF(IFERROR(IF(AND(LEN(K460)=10,VALUE(LEFT(K460,FIND("/",K460)-1))&gt;=1,VALUE(LEFT(K460,FIND("/",K460)-1))&lt;=31,VALUE(LEFT(MID(K460,FIND("/",K460)+1,10),FIND("/",MID(K460,FIND("/",K460)+1,10))-1))&gt;=1,VALUE(LEFT(MID(K460,FIND("/",K460)+1,10),FIND("/",MID(K460,FIND("/",K460)+1,10))-1))&lt;=12,VALUE(LEFT(K460,FIND("/",K460)-1))&lt;=DAY(EOMONTH(DATE(VALUE(MID(MID(K460,FIND("/",K460)+1,10),FIND("/",MID(K460,FIND("/",K460)+1,10))+1,4)),VALUE(LEFT(MID(K460,FIND("/",K460)+1,10),FIND("/",MID(K460,FIND("/",K460)+1,10))-1)),1),0))),0,1),1)=1,"Date; ","")&amp;IF(IFERROR(IF(M460&gt;=0,0,1),1)=1,"Amount; ","")&amp;IF(IFERROR(IF(ISNUMBER(MATCH(N460,Lists!$B$2:$B$7,0)),0,1),1)=1,"Payment; ","")))</f>
        <v/>
      </c>
      <c r="R460" s="3" t="str">
        <f aca="false">IF(D460="","",IF(COUNTIFS($D$2:$D$701,D460,$E$2:$E$701,E460)&gt;1,"DUPLICATE","Unique"))</f>
        <v>Unique</v>
      </c>
    </row>
    <row r="461" customFormat="false" ht="15" hidden="false" customHeight="false" outlineLevel="0" collapsed="false">
      <c r="A461" s="3" t="n">
        <v>460</v>
      </c>
      <c r="B461" s="3" t="n">
        <v>10</v>
      </c>
      <c r="C461" s="3" t="s">
        <v>3281</v>
      </c>
      <c r="D461" s="3" t="s">
        <v>3282</v>
      </c>
      <c r="E461" s="3" t="s">
        <v>3283</v>
      </c>
      <c r="F461" s="3" t="s">
        <v>3284</v>
      </c>
      <c r="G461" s="3" t="s">
        <v>3285</v>
      </c>
      <c r="H461" s="3" t="s">
        <v>548</v>
      </c>
      <c r="I461" s="3" t="s">
        <v>67</v>
      </c>
      <c r="J461" s="3" t="s">
        <v>3286</v>
      </c>
      <c r="K461" s="3" t="s">
        <v>3287</v>
      </c>
      <c r="L461" s="3" t="s">
        <v>47</v>
      </c>
      <c r="M461" s="3" t="n">
        <v>10146.03</v>
      </c>
      <c r="N461" s="3" t="s">
        <v>52</v>
      </c>
      <c r="O461" s="3" t="n">
        <f aca="false">IFERROR(LEN(C461&amp;D461&amp;E461&amp;F461&amp;G461&amp;H461&amp;I461&amp;J461&amp;K461&amp;L461&amp;M461&amp;N461)/5,0)</f>
        <v>27.2</v>
      </c>
      <c r="P461" s="3" t="str">
        <f aca="false">IF(OR(D461="",C461=""),"",IF((IFERROR(IF(AND(TRIM(D461)=D461,LEN(D461)&gt;0),0,1),1)+IFERROR(IF(AND(LEN(E461)=10,ISNUMBER(VALUE(E461))),0,1),1)+IFERROR(IF(AND(ISNUMBER(SEARCH("@",F461)),ISNUMBER(SEARCH(".",F461))),0,1),1)+IFERROR(IF(AND(LEN(J461)=6,ISNUMBER(VALUE(J461))),0,1),1)+IFERROR(IF(ISNUMBER(MATCH(TRIM(I461),Lists!$A$2:$A$20,0)),0,1),1)+IFERROR(IF(AND(LEN(K461)=10,VALUE(LEFT(K461,FIND("/",K461)-1))&gt;=1,VALUE(LEFT(K461,FIND("/",K461)-1))&lt;=31,VALUE(LEFT(MID(K461,FIND("/",K461)+1,10),FIND("/",MID(K461,FIND("/",K461)+1,10))-1))&gt;=1,VALUE(LEFT(MID(K461,FIND("/",K461)+1,10),FIND("/",MID(K461,FIND("/",K461)+1,10))-1))&lt;=12,VALUE(LEFT(K461,FIND("/",K461)-1))&lt;=DAY(EOMONTH(DATE(VALUE(MID(MID(K461,FIND("/",K461)+1,10),FIND("/",MID(K461,FIND("/",K461)+1,10))+1,4)),VALUE(LEFT(MID(K461,FIND("/",K461)+1,10),FIND("/",MID(K461,FIND("/",K461)+1,10))-1)),1),0))),0,1),1)+IFERROR(IF(M461&gt;=0,0,1),1)+IFERROR(IF(ISNUMBER(MATCH(N461,Lists!$B$2:$B$7,0)),0,1),1))=0,"OK","ERROR"))</f>
        <v>OK</v>
      </c>
      <c r="Q461" s="3" t="str">
        <f aca="false">IF(D461="","",TRIM(IF(IFERROR(IF(AND(TRIM(D461)=D461,LEN(D461)&gt;0),0,1),1)=1,"Name; ","")&amp;IF(IFERROR(IF(AND(LEN(E461)=10,ISNUMBER(VALUE(E461))),0,1),1)=1,"Phone; ","")&amp;IF(IFERROR(IF(AND(ISNUMBER(SEARCH("@",F461)),ISNUMBER(SEARCH(".",F461))),0,1),1)=1,"Email; ","")&amp;IF(IFERROR(IF(AND(LEN(J461)=6,ISNUMBER(VALUE(J461))),0,1),1)=1,"Pincode; ","")&amp;IF(IFERROR(IF(ISNUMBER(MATCH(TRIM(I461),Lists!$A$2:$A$20,0)),0,1),1)=1,"State; ","")&amp;IF(IFERROR(IF(AND(LEN(K461)=10,VALUE(LEFT(K461,FIND("/",K461)-1))&gt;=1,VALUE(LEFT(K461,FIND("/",K461)-1))&lt;=31,VALUE(LEFT(MID(K461,FIND("/",K461)+1,10),FIND("/",MID(K461,FIND("/",K461)+1,10))-1))&gt;=1,VALUE(LEFT(MID(K461,FIND("/",K461)+1,10),FIND("/",MID(K461,FIND("/",K461)+1,10))-1))&lt;=12,VALUE(LEFT(K461,FIND("/",K461)-1))&lt;=DAY(EOMONTH(DATE(VALUE(MID(MID(K461,FIND("/",K461)+1,10),FIND("/",MID(K461,FIND("/",K461)+1,10))+1,4)),VALUE(LEFT(MID(K461,FIND("/",K461)+1,10),FIND("/",MID(K461,FIND("/",K461)+1,10))-1)),1),0))),0,1),1)=1,"Date; ","")&amp;IF(IFERROR(IF(M461&gt;=0,0,1),1)=1,"Amount; ","")&amp;IF(IFERROR(IF(ISNUMBER(MATCH(N461,Lists!$B$2:$B$7,0)),0,1),1)=1,"Payment; ","")))</f>
        <v/>
      </c>
      <c r="R461" s="3" t="str">
        <f aca="false">IF(D461="","",IF(COUNTIFS($D$2:$D$701,D461,$E$2:$E$701,E461)&gt;1,"DUPLICATE","Unique"))</f>
        <v>Unique</v>
      </c>
    </row>
    <row r="462" customFormat="false" ht="15" hidden="false" customHeight="false" outlineLevel="0" collapsed="false">
      <c r="A462" s="3" t="n">
        <v>461</v>
      </c>
      <c r="B462" s="3" t="n">
        <v>10</v>
      </c>
      <c r="C462" s="3" t="s">
        <v>3288</v>
      </c>
      <c r="D462" s="3" t="s">
        <v>3289</v>
      </c>
      <c r="E462" s="3" t="s">
        <v>3290</v>
      </c>
      <c r="F462" s="3" t="s">
        <v>3291</v>
      </c>
      <c r="G462" s="3" t="s">
        <v>3292</v>
      </c>
      <c r="H462" s="3" t="s">
        <v>102</v>
      </c>
      <c r="I462" s="3" t="s">
        <v>48</v>
      </c>
      <c r="J462" s="3" t="s">
        <v>3293</v>
      </c>
      <c r="K462" s="3" t="s">
        <v>3294</v>
      </c>
      <c r="L462" s="3" t="s">
        <v>62</v>
      </c>
      <c r="M462" s="3" t="n">
        <v>11442.33</v>
      </c>
      <c r="N462" s="3" t="s">
        <v>52</v>
      </c>
      <c r="O462" s="3" t="n">
        <f aca="false">IFERROR(LEN(C462&amp;D462&amp;E462&amp;F462&amp;G462&amp;H462&amp;I462&amp;J462&amp;K462&amp;L462&amp;M462&amp;N462)/5,0)</f>
        <v>25.2</v>
      </c>
      <c r="P462" s="3" t="str">
        <f aca="false">IF(OR(D462="",C462=""),"",IF((IFERROR(IF(AND(TRIM(D462)=D462,LEN(D462)&gt;0),0,1),1)+IFERROR(IF(AND(LEN(E462)=10,ISNUMBER(VALUE(E462))),0,1),1)+IFERROR(IF(AND(ISNUMBER(SEARCH("@",F462)),ISNUMBER(SEARCH(".",F462))),0,1),1)+IFERROR(IF(AND(LEN(J462)=6,ISNUMBER(VALUE(J462))),0,1),1)+IFERROR(IF(ISNUMBER(MATCH(TRIM(I462),Lists!$A$2:$A$20,0)),0,1),1)+IFERROR(IF(AND(LEN(K462)=10,VALUE(LEFT(K462,FIND("/",K462)-1))&gt;=1,VALUE(LEFT(K462,FIND("/",K462)-1))&lt;=31,VALUE(LEFT(MID(K462,FIND("/",K462)+1,10),FIND("/",MID(K462,FIND("/",K462)+1,10))-1))&gt;=1,VALUE(LEFT(MID(K462,FIND("/",K462)+1,10),FIND("/",MID(K462,FIND("/",K462)+1,10))-1))&lt;=12,VALUE(LEFT(K462,FIND("/",K462)-1))&lt;=DAY(EOMONTH(DATE(VALUE(MID(MID(K462,FIND("/",K462)+1,10),FIND("/",MID(K462,FIND("/",K462)+1,10))+1,4)),VALUE(LEFT(MID(K462,FIND("/",K462)+1,10),FIND("/",MID(K462,FIND("/",K462)+1,10))-1)),1),0))),0,1),1)+IFERROR(IF(M462&gt;=0,0,1),1)+IFERROR(IF(ISNUMBER(MATCH(N462,Lists!$B$2:$B$7,0)),0,1),1))=0,"OK","ERROR"))</f>
        <v>OK</v>
      </c>
      <c r="Q462" s="3" t="str">
        <f aca="false">IF(D462="","",TRIM(IF(IFERROR(IF(AND(TRIM(D462)=D462,LEN(D462)&gt;0),0,1),1)=1,"Name; ","")&amp;IF(IFERROR(IF(AND(LEN(E462)=10,ISNUMBER(VALUE(E462))),0,1),1)=1,"Phone; ","")&amp;IF(IFERROR(IF(AND(ISNUMBER(SEARCH("@",F462)),ISNUMBER(SEARCH(".",F462))),0,1),1)=1,"Email; ","")&amp;IF(IFERROR(IF(AND(LEN(J462)=6,ISNUMBER(VALUE(J462))),0,1),1)=1,"Pincode; ","")&amp;IF(IFERROR(IF(ISNUMBER(MATCH(TRIM(I462),Lists!$A$2:$A$20,0)),0,1),1)=1,"State; ","")&amp;IF(IFERROR(IF(AND(LEN(K462)=10,VALUE(LEFT(K462,FIND("/",K462)-1))&gt;=1,VALUE(LEFT(K462,FIND("/",K462)-1))&lt;=31,VALUE(LEFT(MID(K462,FIND("/",K462)+1,10),FIND("/",MID(K462,FIND("/",K462)+1,10))-1))&gt;=1,VALUE(LEFT(MID(K462,FIND("/",K462)+1,10),FIND("/",MID(K462,FIND("/",K462)+1,10))-1))&lt;=12,VALUE(LEFT(K462,FIND("/",K462)-1))&lt;=DAY(EOMONTH(DATE(VALUE(MID(MID(K462,FIND("/",K462)+1,10),FIND("/",MID(K462,FIND("/",K462)+1,10))+1,4)),VALUE(LEFT(MID(K462,FIND("/",K462)+1,10),FIND("/",MID(K462,FIND("/",K462)+1,10))-1)),1),0))),0,1),1)=1,"Date; ","")&amp;IF(IFERROR(IF(M462&gt;=0,0,1),1)=1,"Amount; ","")&amp;IF(IFERROR(IF(ISNUMBER(MATCH(N462,Lists!$B$2:$B$7,0)),0,1),1)=1,"Payment; ","")))</f>
        <v/>
      </c>
      <c r="R462" s="3" t="str">
        <f aca="false">IF(D462="","",IF(COUNTIFS($D$2:$D$701,D462,$E$2:$E$701,E462)&gt;1,"DUPLICATE","Unique"))</f>
        <v>Unique</v>
      </c>
    </row>
    <row r="463" customFormat="false" ht="15" hidden="false" customHeight="false" outlineLevel="0" collapsed="false">
      <c r="A463" s="3" t="n">
        <v>462</v>
      </c>
      <c r="B463" s="3" t="n">
        <v>10</v>
      </c>
      <c r="C463" s="3" t="s">
        <v>3295</v>
      </c>
      <c r="D463" s="3" t="s">
        <v>3296</v>
      </c>
      <c r="E463" s="3" t="s">
        <v>3297</v>
      </c>
      <c r="F463" s="3" t="s">
        <v>3298</v>
      </c>
      <c r="G463" s="3" t="s">
        <v>3299</v>
      </c>
      <c r="H463" s="3" t="s">
        <v>548</v>
      </c>
      <c r="I463" s="3" t="s">
        <v>67</v>
      </c>
      <c r="J463" s="3" t="s">
        <v>3300</v>
      </c>
      <c r="K463" s="3" t="s">
        <v>3301</v>
      </c>
      <c r="L463" s="3" t="s">
        <v>60</v>
      </c>
      <c r="M463" s="3" t="n">
        <v>11017.17</v>
      </c>
      <c r="N463" s="3" t="s">
        <v>52</v>
      </c>
      <c r="O463" s="3" t="n">
        <f aca="false">IFERROR(LEN(C463&amp;D463&amp;E463&amp;F463&amp;G463&amp;H463&amp;I463&amp;J463&amp;K463&amp;L463&amp;M463&amp;N463)/5,0)</f>
        <v>27.4</v>
      </c>
      <c r="P463" s="3" t="str">
        <f aca="false">IF(OR(D463="",C463=""),"",IF((IFERROR(IF(AND(TRIM(D463)=D463,LEN(D463)&gt;0),0,1),1)+IFERROR(IF(AND(LEN(E463)=10,ISNUMBER(VALUE(E463))),0,1),1)+IFERROR(IF(AND(ISNUMBER(SEARCH("@",F463)),ISNUMBER(SEARCH(".",F463))),0,1),1)+IFERROR(IF(AND(LEN(J463)=6,ISNUMBER(VALUE(J463))),0,1),1)+IFERROR(IF(ISNUMBER(MATCH(TRIM(I463),Lists!$A$2:$A$20,0)),0,1),1)+IFERROR(IF(AND(LEN(K463)=10,VALUE(LEFT(K463,FIND("/",K463)-1))&gt;=1,VALUE(LEFT(K463,FIND("/",K463)-1))&lt;=31,VALUE(LEFT(MID(K463,FIND("/",K463)+1,10),FIND("/",MID(K463,FIND("/",K463)+1,10))-1))&gt;=1,VALUE(LEFT(MID(K463,FIND("/",K463)+1,10),FIND("/",MID(K463,FIND("/",K463)+1,10))-1))&lt;=12,VALUE(LEFT(K463,FIND("/",K463)-1))&lt;=DAY(EOMONTH(DATE(VALUE(MID(MID(K463,FIND("/",K463)+1,10),FIND("/",MID(K463,FIND("/",K463)+1,10))+1,4)),VALUE(LEFT(MID(K463,FIND("/",K463)+1,10),FIND("/",MID(K463,FIND("/",K463)+1,10))-1)),1),0))),0,1),1)+IFERROR(IF(M463&gt;=0,0,1),1)+IFERROR(IF(ISNUMBER(MATCH(N463,Lists!$B$2:$B$7,0)),0,1),1))=0,"OK","ERROR"))</f>
        <v>OK</v>
      </c>
      <c r="Q463" s="3" t="str">
        <f aca="false">IF(D463="","",TRIM(IF(IFERROR(IF(AND(TRIM(D463)=D463,LEN(D463)&gt;0),0,1),1)=1,"Name; ","")&amp;IF(IFERROR(IF(AND(LEN(E463)=10,ISNUMBER(VALUE(E463))),0,1),1)=1,"Phone; ","")&amp;IF(IFERROR(IF(AND(ISNUMBER(SEARCH("@",F463)),ISNUMBER(SEARCH(".",F463))),0,1),1)=1,"Email; ","")&amp;IF(IFERROR(IF(AND(LEN(J463)=6,ISNUMBER(VALUE(J463))),0,1),1)=1,"Pincode; ","")&amp;IF(IFERROR(IF(ISNUMBER(MATCH(TRIM(I463),Lists!$A$2:$A$20,0)),0,1),1)=1,"State; ","")&amp;IF(IFERROR(IF(AND(LEN(K463)=10,VALUE(LEFT(K463,FIND("/",K463)-1))&gt;=1,VALUE(LEFT(K463,FIND("/",K463)-1))&lt;=31,VALUE(LEFT(MID(K463,FIND("/",K463)+1,10),FIND("/",MID(K463,FIND("/",K463)+1,10))-1))&gt;=1,VALUE(LEFT(MID(K463,FIND("/",K463)+1,10),FIND("/",MID(K463,FIND("/",K463)+1,10))-1))&lt;=12,VALUE(LEFT(K463,FIND("/",K463)-1))&lt;=DAY(EOMONTH(DATE(VALUE(MID(MID(K463,FIND("/",K463)+1,10),FIND("/",MID(K463,FIND("/",K463)+1,10))+1,4)),VALUE(LEFT(MID(K463,FIND("/",K463)+1,10),FIND("/",MID(K463,FIND("/",K463)+1,10))-1)),1),0))),0,1),1)=1,"Date; ","")&amp;IF(IFERROR(IF(M463&gt;=0,0,1),1)=1,"Amount; ","")&amp;IF(IFERROR(IF(ISNUMBER(MATCH(N463,Lists!$B$2:$B$7,0)),0,1),1)=1,"Payment; ","")))</f>
        <v/>
      </c>
      <c r="R463" s="3" t="str">
        <f aca="false">IF(D463="","",IF(COUNTIFS($D$2:$D$701,D463,$E$2:$E$701,E463)&gt;1,"DUPLICATE","Unique"))</f>
        <v>Unique</v>
      </c>
    </row>
    <row r="464" customFormat="false" ht="15" hidden="false" customHeight="false" outlineLevel="0" collapsed="false">
      <c r="A464" s="3" t="n">
        <v>463</v>
      </c>
      <c r="B464" s="3" t="n">
        <v>10</v>
      </c>
      <c r="C464" s="3" t="s">
        <v>3302</v>
      </c>
      <c r="D464" s="3" t="s">
        <v>3303</v>
      </c>
      <c r="E464" s="3" t="s">
        <v>3304</v>
      </c>
      <c r="F464" s="3" t="s">
        <v>3305</v>
      </c>
      <c r="G464" s="3" t="s">
        <v>3306</v>
      </c>
      <c r="H464" s="3" t="s">
        <v>189</v>
      </c>
      <c r="I464" s="3" t="s">
        <v>45</v>
      </c>
      <c r="J464" s="3" t="s">
        <v>3307</v>
      </c>
      <c r="K464" s="3" t="s">
        <v>3308</v>
      </c>
      <c r="L464" s="3" t="s">
        <v>68</v>
      </c>
      <c r="M464" s="3" t="n">
        <v>11584.15</v>
      </c>
      <c r="N464" s="3" t="s">
        <v>46</v>
      </c>
      <c r="O464" s="3" t="n">
        <f aca="false">IFERROR(LEN(C464&amp;D464&amp;E464&amp;F464&amp;G464&amp;H464&amp;I464&amp;J464&amp;K464&amp;L464&amp;M464&amp;N464)/5,0)</f>
        <v>27</v>
      </c>
      <c r="P464" s="3" t="str">
        <f aca="false">IF(OR(D464="",C464=""),"",IF((IFERROR(IF(AND(TRIM(D464)=D464,LEN(D464)&gt;0),0,1),1)+IFERROR(IF(AND(LEN(E464)=10,ISNUMBER(VALUE(E464))),0,1),1)+IFERROR(IF(AND(ISNUMBER(SEARCH("@",F464)),ISNUMBER(SEARCH(".",F464))),0,1),1)+IFERROR(IF(AND(LEN(J464)=6,ISNUMBER(VALUE(J464))),0,1),1)+IFERROR(IF(ISNUMBER(MATCH(TRIM(I464),Lists!$A$2:$A$20,0)),0,1),1)+IFERROR(IF(AND(LEN(K464)=10,VALUE(LEFT(K464,FIND("/",K464)-1))&gt;=1,VALUE(LEFT(K464,FIND("/",K464)-1))&lt;=31,VALUE(LEFT(MID(K464,FIND("/",K464)+1,10),FIND("/",MID(K464,FIND("/",K464)+1,10))-1))&gt;=1,VALUE(LEFT(MID(K464,FIND("/",K464)+1,10),FIND("/",MID(K464,FIND("/",K464)+1,10))-1))&lt;=12,VALUE(LEFT(K464,FIND("/",K464)-1))&lt;=DAY(EOMONTH(DATE(VALUE(MID(MID(K464,FIND("/",K464)+1,10),FIND("/",MID(K464,FIND("/",K464)+1,10))+1,4)),VALUE(LEFT(MID(K464,FIND("/",K464)+1,10),FIND("/",MID(K464,FIND("/",K464)+1,10))-1)),1),0))),0,1),1)+IFERROR(IF(M464&gt;=0,0,1),1)+IFERROR(IF(ISNUMBER(MATCH(N464,Lists!$B$2:$B$7,0)),0,1),1))=0,"OK","ERROR"))</f>
        <v>OK</v>
      </c>
      <c r="Q464" s="3" t="str">
        <f aca="false">IF(D464="","",TRIM(IF(IFERROR(IF(AND(TRIM(D464)=D464,LEN(D464)&gt;0),0,1),1)=1,"Name; ","")&amp;IF(IFERROR(IF(AND(LEN(E464)=10,ISNUMBER(VALUE(E464))),0,1),1)=1,"Phone; ","")&amp;IF(IFERROR(IF(AND(ISNUMBER(SEARCH("@",F464)),ISNUMBER(SEARCH(".",F464))),0,1),1)=1,"Email; ","")&amp;IF(IFERROR(IF(AND(LEN(J464)=6,ISNUMBER(VALUE(J464))),0,1),1)=1,"Pincode; ","")&amp;IF(IFERROR(IF(ISNUMBER(MATCH(TRIM(I464),Lists!$A$2:$A$20,0)),0,1),1)=1,"State; ","")&amp;IF(IFERROR(IF(AND(LEN(K464)=10,VALUE(LEFT(K464,FIND("/",K464)-1))&gt;=1,VALUE(LEFT(K464,FIND("/",K464)-1))&lt;=31,VALUE(LEFT(MID(K464,FIND("/",K464)+1,10),FIND("/",MID(K464,FIND("/",K464)+1,10))-1))&gt;=1,VALUE(LEFT(MID(K464,FIND("/",K464)+1,10),FIND("/",MID(K464,FIND("/",K464)+1,10))-1))&lt;=12,VALUE(LEFT(K464,FIND("/",K464)-1))&lt;=DAY(EOMONTH(DATE(VALUE(MID(MID(K464,FIND("/",K464)+1,10),FIND("/",MID(K464,FIND("/",K464)+1,10))+1,4)),VALUE(LEFT(MID(K464,FIND("/",K464)+1,10),FIND("/",MID(K464,FIND("/",K464)+1,10))-1)),1),0))),0,1),1)=1,"Date; ","")&amp;IF(IFERROR(IF(M464&gt;=0,0,1),1)=1,"Amount; ","")&amp;IF(IFERROR(IF(ISNUMBER(MATCH(N464,Lists!$B$2:$B$7,0)),0,1),1)=1,"Payment; ","")))</f>
        <v/>
      </c>
      <c r="R464" s="3" t="str">
        <f aca="false">IF(D464="","",IF(COUNTIFS($D$2:$D$701,D464,$E$2:$E$701,E464)&gt;1,"DUPLICATE","Unique"))</f>
        <v>Unique</v>
      </c>
    </row>
    <row r="465" customFormat="false" ht="15" hidden="false" customHeight="false" outlineLevel="0" collapsed="false">
      <c r="A465" s="3" t="n">
        <v>464</v>
      </c>
      <c r="B465" s="3" t="n">
        <v>10</v>
      </c>
      <c r="C465" s="3" t="s">
        <v>3309</v>
      </c>
      <c r="D465" s="3" t="s">
        <v>3310</v>
      </c>
      <c r="E465" s="3" t="s">
        <v>3311</v>
      </c>
      <c r="F465" s="3" t="s">
        <v>3312</v>
      </c>
      <c r="G465" s="3" t="s">
        <v>3313</v>
      </c>
      <c r="H465" s="3" t="s">
        <v>472</v>
      </c>
      <c r="I465" s="3" t="s">
        <v>63</v>
      </c>
      <c r="J465" s="3" t="s">
        <v>3314</v>
      </c>
      <c r="K465" s="3" t="s">
        <v>3315</v>
      </c>
      <c r="L465" s="3" t="s">
        <v>62</v>
      </c>
      <c r="M465" s="3" t="n">
        <v>2034.72</v>
      </c>
      <c r="N465" s="3" t="s">
        <v>55</v>
      </c>
      <c r="O465" s="3" t="n">
        <f aca="false">IFERROR(LEN(C465&amp;D465&amp;E465&amp;F465&amp;G465&amp;H465&amp;I465&amp;J465&amp;K465&amp;L465&amp;M465&amp;N465)/5,0)</f>
        <v>26.2</v>
      </c>
      <c r="P465" s="3" t="str">
        <f aca="false">IF(OR(D465="",C465=""),"",IF((IFERROR(IF(AND(TRIM(D465)=D465,LEN(D465)&gt;0),0,1),1)+IFERROR(IF(AND(LEN(E465)=10,ISNUMBER(VALUE(E465))),0,1),1)+IFERROR(IF(AND(ISNUMBER(SEARCH("@",F465)),ISNUMBER(SEARCH(".",F465))),0,1),1)+IFERROR(IF(AND(LEN(J465)=6,ISNUMBER(VALUE(J465))),0,1),1)+IFERROR(IF(ISNUMBER(MATCH(TRIM(I465),Lists!$A$2:$A$20,0)),0,1),1)+IFERROR(IF(AND(LEN(K465)=10,VALUE(LEFT(K465,FIND("/",K465)-1))&gt;=1,VALUE(LEFT(K465,FIND("/",K465)-1))&lt;=31,VALUE(LEFT(MID(K465,FIND("/",K465)+1,10),FIND("/",MID(K465,FIND("/",K465)+1,10))-1))&gt;=1,VALUE(LEFT(MID(K465,FIND("/",K465)+1,10),FIND("/",MID(K465,FIND("/",K465)+1,10))-1))&lt;=12,VALUE(LEFT(K465,FIND("/",K465)-1))&lt;=DAY(EOMONTH(DATE(VALUE(MID(MID(K465,FIND("/",K465)+1,10),FIND("/",MID(K465,FIND("/",K465)+1,10))+1,4)),VALUE(LEFT(MID(K465,FIND("/",K465)+1,10),FIND("/",MID(K465,FIND("/",K465)+1,10))-1)),1),0))),0,1),1)+IFERROR(IF(M465&gt;=0,0,1),1)+IFERROR(IF(ISNUMBER(MATCH(N465,Lists!$B$2:$B$7,0)),0,1),1))=0,"OK","ERROR"))</f>
        <v>OK</v>
      </c>
      <c r="Q465" s="3" t="str">
        <f aca="false">IF(D465="","",TRIM(IF(IFERROR(IF(AND(TRIM(D465)=D465,LEN(D465)&gt;0),0,1),1)=1,"Name; ","")&amp;IF(IFERROR(IF(AND(LEN(E465)=10,ISNUMBER(VALUE(E465))),0,1),1)=1,"Phone; ","")&amp;IF(IFERROR(IF(AND(ISNUMBER(SEARCH("@",F465)),ISNUMBER(SEARCH(".",F465))),0,1),1)=1,"Email; ","")&amp;IF(IFERROR(IF(AND(LEN(J465)=6,ISNUMBER(VALUE(J465))),0,1),1)=1,"Pincode; ","")&amp;IF(IFERROR(IF(ISNUMBER(MATCH(TRIM(I465),Lists!$A$2:$A$20,0)),0,1),1)=1,"State; ","")&amp;IF(IFERROR(IF(AND(LEN(K465)=10,VALUE(LEFT(K465,FIND("/",K465)-1))&gt;=1,VALUE(LEFT(K465,FIND("/",K465)-1))&lt;=31,VALUE(LEFT(MID(K465,FIND("/",K465)+1,10),FIND("/",MID(K465,FIND("/",K465)+1,10))-1))&gt;=1,VALUE(LEFT(MID(K465,FIND("/",K465)+1,10),FIND("/",MID(K465,FIND("/",K465)+1,10))-1))&lt;=12,VALUE(LEFT(K465,FIND("/",K465)-1))&lt;=DAY(EOMONTH(DATE(VALUE(MID(MID(K465,FIND("/",K465)+1,10),FIND("/",MID(K465,FIND("/",K465)+1,10))+1,4)),VALUE(LEFT(MID(K465,FIND("/",K465)+1,10),FIND("/",MID(K465,FIND("/",K465)+1,10))-1)),1),0))),0,1),1)=1,"Date; ","")&amp;IF(IFERROR(IF(M465&gt;=0,0,1),1)=1,"Amount; ","")&amp;IF(IFERROR(IF(ISNUMBER(MATCH(N465,Lists!$B$2:$B$7,0)),0,1),1)=1,"Payment; ","")))</f>
        <v/>
      </c>
      <c r="R465" s="3" t="str">
        <f aca="false">IF(D465="","",IF(COUNTIFS($D$2:$D$701,D465,$E$2:$E$701,E465)&gt;1,"DUPLICATE","Unique"))</f>
        <v>Unique</v>
      </c>
    </row>
    <row r="466" customFormat="false" ht="15" hidden="false" customHeight="false" outlineLevel="0" collapsed="false">
      <c r="A466" s="3" t="n">
        <v>465</v>
      </c>
      <c r="B466" s="3" t="n">
        <v>10</v>
      </c>
      <c r="C466" s="3" t="s">
        <v>3316</v>
      </c>
      <c r="D466" s="3" t="s">
        <v>3317</v>
      </c>
      <c r="E466" s="3" t="s">
        <v>3318</v>
      </c>
      <c r="F466" s="3" t="s">
        <v>3319</v>
      </c>
      <c r="G466" s="3" t="s">
        <v>3320</v>
      </c>
      <c r="H466" s="3" t="s">
        <v>548</v>
      </c>
      <c r="I466" s="3" t="s">
        <v>67</v>
      </c>
      <c r="J466" s="3" t="s">
        <v>3321</v>
      </c>
      <c r="K466" s="3" t="s">
        <v>3322</v>
      </c>
      <c r="L466" s="3" t="s">
        <v>44</v>
      </c>
      <c r="M466" s="3" t="n">
        <v>11616.11</v>
      </c>
      <c r="N466" s="3" t="s">
        <v>55</v>
      </c>
      <c r="O466" s="3" t="n">
        <f aca="false">IFERROR(LEN(C466&amp;D466&amp;E466&amp;F466&amp;G466&amp;H466&amp;I466&amp;J466&amp;K466&amp;L466&amp;M466&amp;N466)/5,0)</f>
        <v>28</v>
      </c>
      <c r="P466" s="3" t="str">
        <f aca="false">IF(OR(D466="",C466=""),"",IF((IFERROR(IF(AND(TRIM(D466)=D466,LEN(D466)&gt;0),0,1),1)+IFERROR(IF(AND(LEN(E466)=10,ISNUMBER(VALUE(E466))),0,1),1)+IFERROR(IF(AND(ISNUMBER(SEARCH("@",F466)),ISNUMBER(SEARCH(".",F466))),0,1),1)+IFERROR(IF(AND(LEN(J466)=6,ISNUMBER(VALUE(J466))),0,1),1)+IFERROR(IF(ISNUMBER(MATCH(TRIM(I466),Lists!$A$2:$A$20,0)),0,1),1)+IFERROR(IF(AND(LEN(K466)=10,VALUE(LEFT(K466,FIND("/",K466)-1))&gt;=1,VALUE(LEFT(K466,FIND("/",K466)-1))&lt;=31,VALUE(LEFT(MID(K466,FIND("/",K466)+1,10),FIND("/",MID(K466,FIND("/",K466)+1,10))-1))&gt;=1,VALUE(LEFT(MID(K466,FIND("/",K466)+1,10),FIND("/",MID(K466,FIND("/",K466)+1,10))-1))&lt;=12,VALUE(LEFT(K466,FIND("/",K466)-1))&lt;=DAY(EOMONTH(DATE(VALUE(MID(MID(K466,FIND("/",K466)+1,10),FIND("/",MID(K466,FIND("/",K466)+1,10))+1,4)),VALUE(LEFT(MID(K466,FIND("/",K466)+1,10),FIND("/",MID(K466,FIND("/",K466)+1,10))-1)),1),0))),0,1),1)+IFERROR(IF(M466&gt;=0,0,1),1)+IFERROR(IF(ISNUMBER(MATCH(N466,Lists!$B$2:$B$7,0)),0,1),1))=0,"OK","ERROR"))</f>
        <v>OK</v>
      </c>
      <c r="Q466" s="3" t="str">
        <f aca="false">IF(D466="","",TRIM(IF(IFERROR(IF(AND(TRIM(D466)=D466,LEN(D466)&gt;0),0,1),1)=1,"Name; ","")&amp;IF(IFERROR(IF(AND(LEN(E466)=10,ISNUMBER(VALUE(E466))),0,1),1)=1,"Phone; ","")&amp;IF(IFERROR(IF(AND(ISNUMBER(SEARCH("@",F466)),ISNUMBER(SEARCH(".",F466))),0,1),1)=1,"Email; ","")&amp;IF(IFERROR(IF(AND(LEN(J466)=6,ISNUMBER(VALUE(J466))),0,1),1)=1,"Pincode; ","")&amp;IF(IFERROR(IF(ISNUMBER(MATCH(TRIM(I466),Lists!$A$2:$A$20,0)),0,1),1)=1,"State; ","")&amp;IF(IFERROR(IF(AND(LEN(K466)=10,VALUE(LEFT(K466,FIND("/",K466)-1))&gt;=1,VALUE(LEFT(K466,FIND("/",K466)-1))&lt;=31,VALUE(LEFT(MID(K466,FIND("/",K466)+1,10),FIND("/",MID(K466,FIND("/",K466)+1,10))-1))&gt;=1,VALUE(LEFT(MID(K466,FIND("/",K466)+1,10),FIND("/",MID(K466,FIND("/",K466)+1,10))-1))&lt;=12,VALUE(LEFT(K466,FIND("/",K466)-1))&lt;=DAY(EOMONTH(DATE(VALUE(MID(MID(K466,FIND("/",K466)+1,10),FIND("/",MID(K466,FIND("/",K466)+1,10))+1,4)),VALUE(LEFT(MID(K466,FIND("/",K466)+1,10),FIND("/",MID(K466,FIND("/",K466)+1,10))-1)),1),0))),0,1),1)=1,"Date; ","")&amp;IF(IFERROR(IF(M466&gt;=0,0,1),1)=1,"Amount; ","")&amp;IF(IFERROR(IF(ISNUMBER(MATCH(N466,Lists!$B$2:$B$7,0)),0,1),1)=1,"Payment; ","")))</f>
        <v/>
      </c>
      <c r="R466" s="3" t="str">
        <f aca="false">IF(D466="","",IF(COUNTIFS($D$2:$D$701,D466,$E$2:$E$701,E466)&gt;1,"DUPLICATE","Unique"))</f>
        <v>Unique</v>
      </c>
    </row>
    <row r="467" customFormat="false" ht="15" hidden="false" customHeight="false" outlineLevel="0" collapsed="false">
      <c r="A467" s="3" t="n">
        <v>466</v>
      </c>
      <c r="B467" s="3" t="n">
        <v>10</v>
      </c>
      <c r="C467" s="3" t="s">
        <v>3323</v>
      </c>
      <c r="D467" s="3" t="s">
        <v>3324</v>
      </c>
      <c r="E467" s="3" t="s">
        <v>3325</v>
      </c>
      <c r="F467" s="3" t="s">
        <v>3326</v>
      </c>
      <c r="G467" s="3" t="s">
        <v>3327</v>
      </c>
      <c r="H467" s="3" t="s">
        <v>310</v>
      </c>
      <c r="I467" s="3" t="s">
        <v>69</v>
      </c>
      <c r="J467" s="3" t="s">
        <v>3328</v>
      </c>
      <c r="K467" s="3" t="s">
        <v>983</v>
      </c>
      <c r="L467" s="3" t="s">
        <v>44</v>
      </c>
      <c r="M467" s="3" t="n">
        <v>8035.19</v>
      </c>
      <c r="N467" s="3" t="s">
        <v>49</v>
      </c>
      <c r="O467" s="3" t="n">
        <f aca="false">IFERROR(LEN(C467&amp;D467&amp;E467&amp;F467&amp;G467&amp;H467&amp;I467&amp;J467&amp;K467&amp;L467&amp;M467&amp;N467)/5,0)</f>
        <v>29.2</v>
      </c>
      <c r="P467" s="3" t="str">
        <f aca="false">IF(OR(D467="",C467=""),"",IF((IFERROR(IF(AND(TRIM(D467)=D467,LEN(D467)&gt;0),0,1),1)+IFERROR(IF(AND(LEN(E467)=10,ISNUMBER(VALUE(E467))),0,1),1)+IFERROR(IF(AND(ISNUMBER(SEARCH("@",F467)),ISNUMBER(SEARCH(".",F467))),0,1),1)+IFERROR(IF(AND(LEN(J467)=6,ISNUMBER(VALUE(J467))),0,1),1)+IFERROR(IF(ISNUMBER(MATCH(TRIM(I467),Lists!$A$2:$A$20,0)),0,1),1)+IFERROR(IF(AND(LEN(K467)=10,VALUE(LEFT(K467,FIND("/",K467)-1))&gt;=1,VALUE(LEFT(K467,FIND("/",K467)-1))&lt;=31,VALUE(LEFT(MID(K467,FIND("/",K467)+1,10),FIND("/",MID(K467,FIND("/",K467)+1,10))-1))&gt;=1,VALUE(LEFT(MID(K467,FIND("/",K467)+1,10),FIND("/",MID(K467,FIND("/",K467)+1,10))-1))&lt;=12,VALUE(LEFT(K467,FIND("/",K467)-1))&lt;=DAY(EOMONTH(DATE(VALUE(MID(MID(K467,FIND("/",K467)+1,10),FIND("/",MID(K467,FIND("/",K467)+1,10))+1,4)),VALUE(LEFT(MID(K467,FIND("/",K467)+1,10),FIND("/",MID(K467,FIND("/",K467)+1,10))-1)),1),0))),0,1),1)+IFERROR(IF(M467&gt;=0,0,1),1)+IFERROR(IF(ISNUMBER(MATCH(N467,Lists!$B$2:$B$7,0)),0,1),1))=0,"OK","ERROR"))</f>
        <v>OK</v>
      </c>
      <c r="Q467" s="3" t="str">
        <f aca="false">IF(D467="","",TRIM(IF(IFERROR(IF(AND(TRIM(D467)=D467,LEN(D467)&gt;0),0,1),1)=1,"Name; ","")&amp;IF(IFERROR(IF(AND(LEN(E467)=10,ISNUMBER(VALUE(E467))),0,1),1)=1,"Phone; ","")&amp;IF(IFERROR(IF(AND(ISNUMBER(SEARCH("@",F467)),ISNUMBER(SEARCH(".",F467))),0,1),1)=1,"Email; ","")&amp;IF(IFERROR(IF(AND(LEN(J467)=6,ISNUMBER(VALUE(J467))),0,1),1)=1,"Pincode; ","")&amp;IF(IFERROR(IF(ISNUMBER(MATCH(TRIM(I467),Lists!$A$2:$A$20,0)),0,1),1)=1,"State; ","")&amp;IF(IFERROR(IF(AND(LEN(K467)=10,VALUE(LEFT(K467,FIND("/",K467)-1))&gt;=1,VALUE(LEFT(K467,FIND("/",K467)-1))&lt;=31,VALUE(LEFT(MID(K467,FIND("/",K467)+1,10),FIND("/",MID(K467,FIND("/",K467)+1,10))-1))&gt;=1,VALUE(LEFT(MID(K467,FIND("/",K467)+1,10),FIND("/",MID(K467,FIND("/",K467)+1,10))-1))&lt;=12,VALUE(LEFT(K467,FIND("/",K467)-1))&lt;=DAY(EOMONTH(DATE(VALUE(MID(MID(K467,FIND("/",K467)+1,10),FIND("/",MID(K467,FIND("/",K467)+1,10))+1,4)),VALUE(LEFT(MID(K467,FIND("/",K467)+1,10),FIND("/",MID(K467,FIND("/",K467)+1,10))-1)),1),0))),0,1),1)=1,"Date; ","")&amp;IF(IFERROR(IF(M467&gt;=0,0,1),1)=1,"Amount; ","")&amp;IF(IFERROR(IF(ISNUMBER(MATCH(N467,Lists!$B$2:$B$7,0)),0,1),1)=1,"Payment; ","")))</f>
        <v/>
      </c>
      <c r="R467" s="3" t="str">
        <f aca="false">IF(D467="","",IF(COUNTIFS($D$2:$D$701,D467,$E$2:$E$701,E467)&gt;1,"DUPLICATE","Unique"))</f>
        <v>Unique</v>
      </c>
    </row>
    <row r="468" customFormat="false" ht="15" hidden="false" customHeight="false" outlineLevel="0" collapsed="false">
      <c r="A468" s="3" t="n">
        <v>467</v>
      </c>
      <c r="B468" s="3" t="n">
        <v>10</v>
      </c>
      <c r="C468" s="3" t="s">
        <v>3329</v>
      </c>
      <c r="D468" s="3" t="s">
        <v>3330</v>
      </c>
      <c r="E468" s="3" t="s">
        <v>3331</v>
      </c>
      <c r="F468" s="3" t="s">
        <v>3332</v>
      </c>
      <c r="G468" s="3" t="s">
        <v>3333</v>
      </c>
      <c r="H468" s="3" t="s">
        <v>1094</v>
      </c>
      <c r="I468" s="3" t="s">
        <v>54</v>
      </c>
      <c r="J468" s="3" t="s">
        <v>3334</v>
      </c>
      <c r="K468" s="3" t="s">
        <v>3087</v>
      </c>
      <c r="L468" s="3" t="s">
        <v>68</v>
      </c>
      <c r="M468" s="3" t="n">
        <v>8522.1</v>
      </c>
      <c r="N468" s="3" t="s">
        <v>55</v>
      </c>
      <c r="O468" s="3" t="n">
        <f aca="false">IFERROR(LEN(C468&amp;D468&amp;E468&amp;F468&amp;G468&amp;H468&amp;I468&amp;J468&amp;K468&amp;L468&amp;M468&amp;N468)/5,0)</f>
        <v>27</v>
      </c>
      <c r="P468" s="3" t="str">
        <f aca="false">IF(OR(D468="",C468=""),"",IF((IFERROR(IF(AND(TRIM(D468)=D468,LEN(D468)&gt;0),0,1),1)+IFERROR(IF(AND(LEN(E468)=10,ISNUMBER(VALUE(E468))),0,1),1)+IFERROR(IF(AND(ISNUMBER(SEARCH("@",F468)),ISNUMBER(SEARCH(".",F468))),0,1),1)+IFERROR(IF(AND(LEN(J468)=6,ISNUMBER(VALUE(J468))),0,1),1)+IFERROR(IF(ISNUMBER(MATCH(TRIM(I468),Lists!$A$2:$A$20,0)),0,1),1)+IFERROR(IF(AND(LEN(K468)=10,VALUE(LEFT(K468,FIND("/",K468)-1))&gt;=1,VALUE(LEFT(K468,FIND("/",K468)-1))&lt;=31,VALUE(LEFT(MID(K468,FIND("/",K468)+1,10),FIND("/",MID(K468,FIND("/",K468)+1,10))-1))&gt;=1,VALUE(LEFT(MID(K468,FIND("/",K468)+1,10),FIND("/",MID(K468,FIND("/",K468)+1,10))-1))&lt;=12,VALUE(LEFT(K468,FIND("/",K468)-1))&lt;=DAY(EOMONTH(DATE(VALUE(MID(MID(K468,FIND("/",K468)+1,10),FIND("/",MID(K468,FIND("/",K468)+1,10))+1,4)),VALUE(LEFT(MID(K468,FIND("/",K468)+1,10),FIND("/",MID(K468,FIND("/",K468)+1,10))-1)),1),0))),0,1),1)+IFERROR(IF(M468&gt;=0,0,1),1)+IFERROR(IF(ISNUMBER(MATCH(N468,Lists!$B$2:$B$7,0)),0,1),1))=0,"OK","ERROR"))</f>
        <v>OK</v>
      </c>
      <c r="Q468" s="3" t="str">
        <f aca="false">IF(D468="","",TRIM(IF(IFERROR(IF(AND(TRIM(D468)=D468,LEN(D468)&gt;0),0,1),1)=1,"Name; ","")&amp;IF(IFERROR(IF(AND(LEN(E468)=10,ISNUMBER(VALUE(E468))),0,1),1)=1,"Phone; ","")&amp;IF(IFERROR(IF(AND(ISNUMBER(SEARCH("@",F468)),ISNUMBER(SEARCH(".",F468))),0,1),1)=1,"Email; ","")&amp;IF(IFERROR(IF(AND(LEN(J468)=6,ISNUMBER(VALUE(J468))),0,1),1)=1,"Pincode; ","")&amp;IF(IFERROR(IF(ISNUMBER(MATCH(TRIM(I468),Lists!$A$2:$A$20,0)),0,1),1)=1,"State; ","")&amp;IF(IFERROR(IF(AND(LEN(K468)=10,VALUE(LEFT(K468,FIND("/",K468)-1))&gt;=1,VALUE(LEFT(K468,FIND("/",K468)-1))&lt;=31,VALUE(LEFT(MID(K468,FIND("/",K468)+1,10),FIND("/",MID(K468,FIND("/",K468)+1,10))-1))&gt;=1,VALUE(LEFT(MID(K468,FIND("/",K468)+1,10),FIND("/",MID(K468,FIND("/",K468)+1,10))-1))&lt;=12,VALUE(LEFT(K468,FIND("/",K468)-1))&lt;=DAY(EOMONTH(DATE(VALUE(MID(MID(K468,FIND("/",K468)+1,10),FIND("/",MID(K468,FIND("/",K468)+1,10))+1,4)),VALUE(LEFT(MID(K468,FIND("/",K468)+1,10),FIND("/",MID(K468,FIND("/",K468)+1,10))-1)),1),0))),0,1),1)=1,"Date; ","")&amp;IF(IFERROR(IF(M468&gt;=0,0,1),1)=1,"Amount; ","")&amp;IF(IFERROR(IF(ISNUMBER(MATCH(N468,Lists!$B$2:$B$7,0)),0,1),1)=1,"Payment; ","")))</f>
        <v/>
      </c>
      <c r="R468" s="3" t="str">
        <f aca="false">IF(D468="","",IF(COUNTIFS($D$2:$D$701,D468,$E$2:$E$701,E468)&gt;1,"DUPLICATE","Unique"))</f>
        <v>Unique</v>
      </c>
    </row>
    <row r="469" customFormat="false" ht="15" hidden="false" customHeight="false" outlineLevel="0" collapsed="false">
      <c r="A469" s="3" t="n">
        <v>468</v>
      </c>
      <c r="B469" s="3" t="n">
        <v>10</v>
      </c>
      <c r="C469" s="3" t="s">
        <v>3335</v>
      </c>
      <c r="D469" s="3" t="s">
        <v>3336</v>
      </c>
      <c r="E469" s="3" t="s">
        <v>3337</v>
      </c>
      <c r="F469" s="3" t="s">
        <v>3338</v>
      </c>
      <c r="G469" s="3" t="s">
        <v>3339</v>
      </c>
      <c r="H469" s="3" t="s">
        <v>2387</v>
      </c>
      <c r="I469" s="3" t="s">
        <v>39</v>
      </c>
      <c r="J469" s="3" t="s">
        <v>3340</v>
      </c>
      <c r="K469" s="3" t="s">
        <v>1949</v>
      </c>
      <c r="L469" s="3" t="s">
        <v>50</v>
      </c>
      <c r="M469" s="3" t="n">
        <v>2398.84</v>
      </c>
      <c r="N469" s="3" t="s">
        <v>52</v>
      </c>
      <c r="O469" s="3" t="n">
        <f aca="false">IFERROR(LEN(C469&amp;D469&amp;E469&amp;F469&amp;G469&amp;H469&amp;I469&amp;J469&amp;K469&amp;L469&amp;M469&amp;N469)/5,0)</f>
        <v>26.6</v>
      </c>
      <c r="P469" s="3" t="str">
        <f aca="false">IF(OR(D469="",C469=""),"",IF((IFERROR(IF(AND(TRIM(D469)=D469,LEN(D469)&gt;0),0,1),1)+IFERROR(IF(AND(LEN(E469)=10,ISNUMBER(VALUE(E469))),0,1),1)+IFERROR(IF(AND(ISNUMBER(SEARCH("@",F469)),ISNUMBER(SEARCH(".",F469))),0,1),1)+IFERROR(IF(AND(LEN(J469)=6,ISNUMBER(VALUE(J469))),0,1),1)+IFERROR(IF(ISNUMBER(MATCH(TRIM(I469),Lists!$A$2:$A$20,0)),0,1),1)+IFERROR(IF(AND(LEN(K469)=10,VALUE(LEFT(K469,FIND("/",K469)-1))&gt;=1,VALUE(LEFT(K469,FIND("/",K469)-1))&lt;=31,VALUE(LEFT(MID(K469,FIND("/",K469)+1,10),FIND("/",MID(K469,FIND("/",K469)+1,10))-1))&gt;=1,VALUE(LEFT(MID(K469,FIND("/",K469)+1,10),FIND("/",MID(K469,FIND("/",K469)+1,10))-1))&lt;=12,VALUE(LEFT(K469,FIND("/",K469)-1))&lt;=DAY(EOMONTH(DATE(VALUE(MID(MID(K469,FIND("/",K469)+1,10),FIND("/",MID(K469,FIND("/",K469)+1,10))+1,4)),VALUE(LEFT(MID(K469,FIND("/",K469)+1,10),FIND("/",MID(K469,FIND("/",K469)+1,10))-1)),1),0))),0,1),1)+IFERROR(IF(M469&gt;=0,0,1),1)+IFERROR(IF(ISNUMBER(MATCH(N469,Lists!$B$2:$B$7,0)),0,1),1))=0,"OK","ERROR"))</f>
        <v>OK</v>
      </c>
      <c r="Q469" s="3" t="str">
        <f aca="false">IF(D469="","",TRIM(IF(IFERROR(IF(AND(TRIM(D469)=D469,LEN(D469)&gt;0),0,1),1)=1,"Name; ","")&amp;IF(IFERROR(IF(AND(LEN(E469)=10,ISNUMBER(VALUE(E469))),0,1),1)=1,"Phone; ","")&amp;IF(IFERROR(IF(AND(ISNUMBER(SEARCH("@",F469)),ISNUMBER(SEARCH(".",F469))),0,1),1)=1,"Email; ","")&amp;IF(IFERROR(IF(AND(LEN(J469)=6,ISNUMBER(VALUE(J469))),0,1),1)=1,"Pincode; ","")&amp;IF(IFERROR(IF(ISNUMBER(MATCH(TRIM(I469),Lists!$A$2:$A$20,0)),0,1),1)=1,"State; ","")&amp;IF(IFERROR(IF(AND(LEN(K469)=10,VALUE(LEFT(K469,FIND("/",K469)-1))&gt;=1,VALUE(LEFT(K469,FIND("/",K469)-1))&lt;=31,VALUE(LEFT(MID(K469,FIND("/",K469)+1,10),FIND("/",MID(K469,FIND("/",K469)+1,10))-1))&gt;=1,VALUE(LEFT(MID(K469,FIND("/",K469)+1,10),FIND("/",MID(K469,FIND("/",K469)+1,10))-1))&lt;=12,VALUE(LEFT(K469,FIND("/",K469)-1))&lt;=DAY(EOMONTH(DATE(VALUE(MID(MID(K469,FIND("/",K469)+1,10),FIND("/",MID(K469,FIND("/",K469)+1,10))+1,4)),VALUE(LEFT(MID(K469,FIND("/",K469)+1,10),FIND("/",MID(K469,FIND("/",K469)+1,10))-1)),1),0))),0,1),1)=1,"Date; ","")&amp;IF(IFERROR(IF(M469&gt;=0,0,1),1)=1,"Amount; ","")&amp;IF(IFERROR(IF(ISNUMBER(MATCH(N469,Lists!$B$2:$B$7,0)),0,1),1)=1,"Payment; ","")))</f>
        <v/>
      </c>
      <c r="R469" s="3" t="str">
        <f aca="false">IF(D469="","",IF(COUNTIFS($D$2:$D$701,D469,$E$2:$E$701,E469)&gt;1,"DUPLICATE","Unique"))</f>
        <v>Unique</v>
      </c>
    </row>
    <row r="470" customFormat="false" ht="15" hidden="false" customHeight="false" outlineLevel="0" collapsed="false">
      <c r="A470" s="3" t="n">
        <v>469</v>
      </c>
      <c r="B470" s="3" t="n">
        <v>10</v>
      </c>
      <c r="C470" s="3" t="s">
        <v>3341</v>
      </c>
      <c r="D470" s="3" t="s">
        <v>3342</v>
      </c>
      <c r="E470" s="3" t="s">
        <v>3343</v>
      </c>
      <c r="F470" s="3" t="s">
        <v>3344</v>
      </c>
      <c r="G470" s="3" t="s">
        <v>3345</v>
      </c>
      <c r="H470" s="3" t="s">
        <v>385</v>
      </c>
      <c r="I470" s="3" t="s">
        <v>73</v>
      </c>
      <c r="J470" s="3" t="s">
        <v>3346</v>
      </c>
      <c r="K470" s="3" t="s">
        <v>3347</v>
      </c>
      <c r="L470" s="3" t="s">
        <v>41</v>
      </c>
      <c r="M470" s="3" t="n">
        <v>14611.24</v>
      </c>
      <c r="N470" s="3" t="s">
        <v>40</v>
      </c>
      <c r="O470" s="3" t="n">
        <f aca="false">IFERROR(LEN(C470&amp;D470&amp;E470&amp;F470&amp;G470&amp;H470&amp;I470&amp;J470&amp;K470&amp;L470&amp;M470&amp;N470)/5,0)</f>
        <v>26.6</v>
      </c>
      <c r="P470" s="3" t="str">
        <f aca="false">IF(OR(D470="",C470=""),"",IF((IFERROR(IF(AND(TRIM(D470)=D470,LEN(D470)&gt;0),0,1),1)+IFERROR(IF(AND(LEN(E470)=10,ISNUMBER(VALUE(E470))),0,1),1)+IFERROR(IF(AND(ISNUMBER(SEARCH("@",F470)),ISNUMBER(SEARCH(".",F470))),0,1),1)+IFERROR(IF(AND(LEN(J470)=6,ISNUMBER(VALUE(J470))),0,1),1)+IFERROR(IF(ISNUMBER(MATCH(TRIM(I470),Lists!$A$2:$A$20,0)),0,1),1)+IFERROR(IF(AND(LEN(K470)=10,VALUE(LEFT(K470,FIND("/",K470)-1))&gt;=1,VALUE(LEFT(K470,FIND("/",K470)-1))&lt;=31,VALUE(LEFT(MID(K470,FIND("/",K470)+1,10),FIND("/",MID(K470,FIND("/",K470)+1,10))-1))&gt;=1,VALUE(LEFT(MID(K470,FIND("/",K470)+1,10),FIND("/",MID(K470,FIND("/",K470)+1,10))-1))&lt;=12,VALUE(LEFT(K470,FIND("/",K470)-1))&lt;=DAY(EOMONTH(DATE(VALUE(MID(MID(K470,FIND("/",K470)+1,10),FIND("/",MID(K470,FIND("/",K470)+1,10))+1,4)),VALUE(LEFT(MID(K470,FIND("/",K470)+1,10),FIND("/",MID(K470,FIND("/",K470)+1,10))-1)),1),0))),0,1),1)+IFERROR(IF(M470&gt;=0,0,1),1)+IFERROR(IF(ISNUMBER(MATCH(N470,Lists!$B$2:$B$7,0)),0,1),1))=0,"OK","ERROR"))</f>
        <v>OK</v>
      </c>
      <c r="Q470" s="3" t="str">
        <f aca="false">IF(D470="","",TRIM(IF(IFERROR(IF(AND(TRIM(D470)=D470,LEN(D470)&gt;0),0,1),1)=1,"Name; ","")&amp;IF(IFERROR(IF(AND(LEN(E470)=10,ISNUMBER(VALUE(E470))),0,1),1)=1,"Phone; ","")&amp;IF(IFERROR(IF(AND(ISNUMBER(SEARCH("@",F470)),ISNUMBER(SEARCH(".",F470))),0,1),1)=1,"Email; ","")&amp;IF(IFERROR(IF(AND(LEN(J470)=6,ISNUMBER(VALUE(J470))),0,1),1)=1,"Pincode; ","")&amp;IF(IFERROR(IF(ISNUMBER(MATCH(TRIM(I470),Lists!$A$2:$A$20,0)),0,1),1)=1,"State; ","")&amp;IF(IFERROR(IF(AND(LEN(K470)=10,VALUE(LEFT(K470,FIND("/",K470)-1))&gt;=1,VALUE(LEFT(K470,FIND("/",K470)-1))&lt;=31,VALUE(LEFT(MID(K470,FIND("/",K470)+1,10),FIND("/",MID(K470,FIND("/",K470)+1,10))-1))&gt;=1,VALUE(LEFT(MID(K470,FIND("/",K470)+1,10),FIND("/",MID(K470,FIND("/",K470)+1,10))-1))&lt;=12,VALUE(LEFT(K470,FIND("/",K470)-1))&lt;=DAY(EOMONTH(DATE(VALUE(MID(MID(K470,FIND("/",K470)+1,10),FIND("/",MID(K470,FIND("/",K470)+1,10))+1,4)),VALUE(LEFT(MID(K470,FIND("/",K470)+1,10),FIND("/",MID(K470,FIND("/",K470)+1,10))-1)),1),0))),0,1),1)=1,"Date; ","")&amp;IF(IFERROR(IF(M470&gt;=0,0,1),1)=1,"Amount; ","")&amp;IF(IFERROR(IF(ISNUMBER(MATCH(N470,Lists!$B$2:$B$7,0)),0,1),1)=1,"Payment; ","")))</f>
        <v/>
      </c>
      <c r="R470" s="3" t="str">
        <f aca="false">IF(D470="","",IF(COUNTIFS($D$2:$D$701,D470,$E$2:$E$701,E470)&gt;1,"DUPLICATE","Unique"))</f>
        <v>Unique</v>
      </c>
    </row>
    <row r="471" customFormat="false" ht="15" hidden="false" customHeight="false" outlineLevel="0" collapsed="false">
      <c r="A471" s="3" t="n">
        <v>470</v>
      </c>
      <c r="B471" s="3" t="n">
        <v>10</v>
      </c>
      <c r="C471" s="3" t="s">
        <v>3348</v>
      </c>
      <c r="D471" s="3" t="s">
        <v>3349</v>
      </c>
      <c r="E471" s="3" t="s">
        <v>3350</v>
      </c>
      <c r="F471" s="3" t="s">
        <v>3351</v>
      </c>
      <c r="G471" s="3" t="s">
        <v>3352</v>
      </c>
      <c r="H471" s="3" t="s">
        <v>436</v>
      </c>
      <c r="I471" s="3" t="s">
        <v>59</v>
      </c>
      <c r="J471" s="3" t="s">
        <v>3353</v>
      </c>
      <c r="K471" s="3" t="s">
        <v>1032</v>
      </c>
      <c r="L471" s="3" t="s">
        <v>74</v>
      </c>
      <c r="M471" s="3" t="n">
        <v>883.88</v>
      </c>
      <c r="N471" s="3" t="s">
        <v>43</v>
      </c>
      <c r="O471" s="3" t="n">
        <f aca="false">IFERROR(LEN(C471&amp;D471&amp;E471&amp;F471&amp;G471&amp;H471&amp;I471&amp;J471&amp;K471&amp;L471&amp;M471&amp;N471)/5,0)</f>
        <v>25</v>
      </c>
      <c r="P471" s="3" t="str">
        <f aca="false">IF(OR(D471="",C471=""),"",IF((IFERROR(IF(AND(TRIM(D471)=D471,LEN(D471)&gt;0),0,1),1)+IFERROR(IF(AND(LEN(E471)=10,ISNUMBER(VALUE(E471))),0,1),1)+IFERROR(IF(AND(ISNUMBER(SEARCH("@",F471)),ISNUMBER(SEARCH(".",F471))),0,1),1)+IFERROR(IF(AND(LEN(J471)=6,ISNUMBER(VALUE(J471))),0,1),1)+IFERROR(IF(ISNUMBER(MATCH(TRIM(I471),Lists!$A$2:$A$20,0)),0,1),1)+IFERROR(IF(AND(LEN(K471)=10,VALUE(LEFT(K471,FIND("/",K471)-1))&gt;=1,VALUE(LEFT(K471,FIND("/",K471)-1))&lt;=31,VALUE(LEFT(MID(K471,FIND("/",K471)+1,10),FIND("/",MID(K471,FIND("/",K471)+1,10))-1))&gt;=1,VALUE(LEFT(MID(K471,FIND("/",K471)+1,10),FIND("/",MID(K471,FIND("/",K471)+1,10))-1))&lt;=12,VALUE(LEFT(K471,FIND("/",K471)-1))&lt;=DAY(EOMONTH(DATE(VALUE(MID(MID(K471,FIND("/",K471)+1,10),FIND("/",MID(K471,FIND("/",K471)+1,10))+1,4)),VALUE(LEFT(MID(K471,FIND("/",K471)+1,10),FIND("/",MID(K471,FIND("/",K471)+1,10))-1)),1),0))),0,1),1)+IFERROR(IF(M471&gt;=0,0,1),1)+IFERROR(IF(ISNUMBER(MATCH(N471,Lists!$B$2:$B$7,0)),0,1),1))=0,"OK","ERROR"))</f>
        <v>OK</v>
      </c>
      <c r="Q471" s="3" t="str">
        <f aca="false">IF(D471="","",TRIM(IF(IFERROR(IF(AND(TRIM(D471)=D471,LEN(D471)&gt;0),0,1),1)=1,"Name; ","")&amp;IF(IFERROR(IF(AND(LEN(E471)=10,ISNUMBER(VALUE(E471))),0,1),1)=1,"Phone; ","")&amp;IF(IFERROR(IF(AND(ISNUMBER(SEARCH("@",F471)),ISNUMBER(SEARCH(".",F471))),0,1),1)=1,"Email; ","")&amp;IF(IFERROR(IF(AND(LEN(J471)=6,ISNUMBER(VALUE(J471))),0,1),1)=1,"Pincode; ","")&amp;IF(IFERROR(IF(ISNUMBER(MATCH(TRIM(I471),Lists!$A$2:$A$20,0)),0,1),1)=1,"State; ","")&amp;IF(IFERROR(IF(AND(LEN(K471)=10,VALUE(LEFT(K471,FIND("/",K471)-1))&gt;=1,VALUE(LEFT(K471,FIND("/",K471)-1))&lt;=31,VALUE(LEFT(MID(K471,FIND("/",K471)+1,10),FIND("/",MID(K471,FIND("/",K471)+1,10))-1))&gt;=1,VALUE(LEFT(MID(K471,FIND("/",K471)+1,10),FIND("/",MID(K471,FIND("/",K471)+1,10))-1))&lt;=12,VALUE(LEFT(K471,FIND("/",K471)-1))&lt;=DAY(EOMONTH(DATE(VALUE(MID(MID(K471,FIND("/",K471)+1,10),FIND("/",MID(K471,FIND("/",K471)+1,10))+1,4)),VALUE(LEFT(MID(K471,FIND("/",K471)+1,10),FIND("/",MID(K471,FIND("/",K471)+1,10))-1)),1),0))),0,1),1)=1,"Date; ","")&amp;IF(IFERROR(IF(M471&gt;=0,0,1),1)=1,"Amount; ","")&amp;IF(IFERROR(IF(ISNUMBER(MATCH(N471,Lists!$B$2:$B$7,0)),0,1),1)=1,"Payment; ","")))</f>
        <v/>
      </c>
      <c r="R471" s="3" t="str">
        <f aca="false">IF(D471="","",IF(COUNTIFS($D$2:$D$701,D471,$E$2:$E$701,E471)&gt;1,"DUPLICATE","Unique"))</f>
        <v>Unique</v>
      </c>
    </row>
    <row r="472" customFormat="false" ht="15" hidden="false" customHeight="false" outlineLevel="0" collapsed="false">
      <c r="A472" s="3" t="n">
        <v>471</v>
      </c>
      <c r="B472" s="3" t="n">
        <v>10</v>
      </c>
      <c r="C472" s="3" t="s">
        <v>3354</v>
      </c>
      <c r="D472" s="3" t="s">
        <v>3355</v>
      </c>
      <c r="E472" s="3" t="s">
        <v>3356</v>
      </c>
      <c r="F472" s="3" t="s">
        <v>3357</v>
      </c>
      <c r="G472" s="3" t="s">
        <v>3358</v>
      </c>
      <c r="H472" s="3" t="s">
        <v>720</v>
      </c>
      <c r="I472" s="3" t="s">
        <v>54</v>
      </c>
      <c r="J472" s="3" t="s">
        <v>3359</v>
      </c>
      <c r="K472" s="3" t="s">
        <v>3360</v>
      </c>
      <c r="L472" s="3" t="s">
        <v>47</v>
      </c>
      <c r="M472" s="3" t="n">
        <v>6370.47</v>
      </c>
      <c r="N472" s="3" t="s">
        <v>55</v>
      </c>
      <c r="O472" s="3" t="n">
        <f aca="false">IFERROR(LEN(C472&amp;D472&amp;E472&amp;F472&amp;G472&amp;H472&amp;I472&amp;J472&amp;K472&amp;L472&amp;M472&amp;N472)/5,0)</f>
        <v>27</v>
      </c>
      <c r="P472" s="3" t="str">
        <f aca="false">IF(OR(D472="",C472=""),"",IF((IFERROR(IF(AND(TRIM(D472)=D472,LEN(D472)&gt;0),0,1),1)+IFERROR(IF(AND(LEN(E472)=10,ISNUMBER(VALUE(E472))),0,1),1)+IFERROR(IF(AND(ISNUMBER(SEARCH("@",F472)),ISNUMBER(SEARCH(".",F472))),0,1),1)+IFERROR(IF(AND(LEN(J472)=6,ISNUMBER(VALUE(J472))),0,1),1)+IFERROR(IF(ISNUMBER(MATCH(TRIM(I472),Lists!$A$2:$A$20,0)),0,1),1)+IFERROR(IF(AND(LEN(K472)=10,VALUE(LEFT(K472,FIND("/",K472)-1))&gt;=1,VALUE(LEFT(K472,FIND("/",K472)-1))&lt;=31,VALUE(LEFT(MID(K472,FIND("/",K472)+1,10),FIND("/",MID(K472,FIND("/",K472)+1,10))-1))&gt;=1,VALUE(LEFT(MID(K472,FIND("/",K472)+1,10),FIND("/",MID(K472,FIND("/",K472)+1,10))-1))&lt;=12,VALUE(LEFT(K472,FIND("/",K472)-1))&lt;=DAY(EOMONTH(DATE(VALUE(MID(MID(K472,FIND("/",K472)+1,10),FIND("/",MID(K472,FIND("/",K472)+1,10))+1,4)),VALUE(LEFT(MID(K472,FIND("/",K472)+1,10),FIND("/",MID(K472,FIND("/",K472)+1,10))-1)),1),0))),0,1),1)+IFERROR(IF(M472&gt;=0,0,1),1)+IFERROR(IF(ISNUMBER(MATCH(N472,Lists!$B$2:$B$7,0)),0,1),1))=0,"OK","ERROR"))</f>
        <v>OK</v>
      </c>
      <c r="Q472" s="3" t="str">
        <f aca="false">IF(D472="","",TRIM(IF(IFERROR(IF(AND(TRIM(D472)=D472,LEN(D472)&gt;0),0,1),1)=1,"Name; ","")&amp;IF(IFERROR(IF(AND(LEN(E472)=10,ISNUMBER(VALUE(E472))),0,1),1)=1,"Phone; ","")&amp;IF(IFERROR(IF(AND(ISNUMBER(SEARCH("@",F472)),ISNUMBER(SEARCH(".",F472))),0,1),1)=1,"Email; ","")&amp;IF(IFERROR(IF(AND(LEN(J472)=6,ISNUMBER(VALUE(J472))),0,1),1)=1,"Pincode; ","")&amp;IF(IFERROR(IF(ISNUMBER(MATCH(TRIM(I472),Lists!$A$2:$A$20,0)),0,1),1)=1,"State; ","")&amp;IF(IFERROR(IF(AND(LEN(K472)=10,VALUE(LEFT(K472,FIND("/",K472)-1))&gt;=1,VALUE(LEFT(K472,FIND("/",K472)-1))&lt;=31,VALUE(LEFT(MID(K472,FIND("/",K472)+1,10),FIND("/",MID(K472,FIND("/",K472)+1,10))-1))&gt;=1,VALUE(LEFT(MID(K472,FIND("/",K472)+1,10),FIND("/",MID(K472,FIND("/",K472)+1,10))-1))&lt;=12,VALUE(LEFT(K472,FIND("/",K472)-1))&lt;=DAY(EOMONTH(DATE(VALUE(MID(MID(K472,FIND("/",K472)+1,10),FIND("/",MID(K472,FIND("/",K472)+1,10))+1,4)),VALUE(LEFT(MID(K472,FIND("/",K472)+1,10),FIND("/",MID(K472,FIND("/",K472)+1,10))-1)),1),0))),0,1),1)=1,"Date; ","")&amp;IF(IFERROR(IF(M472&gt;=0,0,1),1)=1,"Amount; ","")&amp;IF(IFERROR(IF(ISNUMBER(MATCH(N472,Lists!$B$2:$B$7,0)),0,1),1)=1,"Payment; ","")))</f>
        <v/>
      </c>
      <c r="R472" s="3" t="str">
        <f aca="false">IF(D472="","",IF(COUNTIFS($D$2:$D$701,D472,$E$2:$E$701,E472)&gt;1,"DUPLICATE","Unique"))</f>
        <v>Unique</v>
      </c>
    </row>
    <row r="473" customFormat="false" ht="15" hidden="false" customHeight="false" outlineLevel="0" collapsed="false">
      <c r="A473" s="3" t="n">
        <v>472</v>
      </c>
      <c r="B473" s="3" t="n">
        <v>10</v>
      </c>
      <c r="C473" s="3" t="s">
        <v>3361</v>
      </c>
      <c r="D473" s="3" t="s">
        <v>3362</v>
      </c>
      <c r="E473" s="3" t="s">
        <v>3363</v>
      </c>
      <c r="F473" s="3" t="s">
        <v>3364</v>
      </c>
      <c r="G473" s="3" t="s">
        <v>3365</v>
      </c>
      <c r="H473" s="3" t="s">
        <v>819</v>
      </c>
      <c r="I473" s="3" t="s">
        <v>75</v>
      </c>
      <c r="J473" s="3" t="s">
        <v>3366</v>
      </c>
      <c r="K473" s="3" t="s">
        <v>1935</v>
      </c>
      <c r="L473" s="3" t="s">
        <v>58</v>
      </c>
      <c r="M473" s="3" t="n">
        <v>6813.82</v>
      </c>
      <c r="N473" s="3" t="s">
        <v>49</v>
      </c>
      <c r="O473" s="3" t="n">
        <f aca="false">IFERROR(LEN(C473&amp;D473&amp;E473&amp;F473&amp;G473&amp;H473&amp;I473&amp;J473&amp;K473&amp;L473&amp;M473&amp;N473)/5,0)</f>
        <v>25.6</v>
      </c>
      <c r="P473" s="3" t="str">
        <f aca="false">IF(OR(D473="",C473=""),"",IF((IFERROR(IF(AND(TRIM(D473)=D473,LEN(D473)&gt;0),0,1),1)+IFERROR(IF(AND(LEN(E473)=10,ISNUMBER(VALUE(E473))),0,1),1)+IFERROR(IF(AND(ISNUMBER(SEARCH("@",F473)),ISNUMBER(SEARCH(".",F473))),0,1),1)+IFERROR(IF(AND(LEN(J473)=6,ISNUMBER(VALUE(J473))),0,1),1)+IFERROR(IF(ISNUMBER(MATCH(TRIM(I473),Lists!$A$2:$A$20,0)),0,1),1)+IFERROR(IF(AND(LEN(K473)=10,VALUE(LEFT(K473,FIND("/",K473)-1))&gt;=1,VALUE(LEFT(K473,FIND("/",K473)-1))&lt;=31,VALUE(LEFT(MID(K473,FIND("/",K473)+1,10),FIND("/",MID(K473,FIND("/",K473)+1,10))-1))&gt;=1,VALUE(LEFT(MID(K473,FIND("/",K473)+1,10),FIND("/",MID(K473,FIND("/",K473)+1,10))-1))&lt;=12,VALUE(LEFT(K473,FIND("/",K473)-1))&lt;=DAY(EOMONTH(DATE(VALUE(MID(MID(K473,FIND("/",K473)+1,10),FIND("/",MID(K473,FIND("/",K473)+1,10))+1,4)),VALUE(LEFT(MID(K473,FIND("/",K473)+1,10),FIND("/",MID(K473,FIND("/",K473)+1,10))-1)),1),0))),0,1),1)+IFERROR(IF(M473&gt;=0,0,1),1)+IFERROR(IF(ISNUMBER(MATCH(N473,Lists!$B$2:$B$7,0)),0,1),1))=0,"OK","ERROR"))</f>
        <v>OK</v>
      </c>
      <c r="Q473" s="3" t="str">
        <f aca="false">IF(D473="","",TRIM(IF(IFERROR(IF(AND(TRIM(D473)=D473,LEN(D473)&gt;0),0,1),1)=1,"Name; ","")&amp;IF(IFERROR(IF(AND(LEN(E473)=10,ISNUMBER(VALUE(E473))),0,1),1)=1,"Phone; ","")&amp;IF(IFERROR(IF(AND(ISNUMBER(SEARCH("@",F473)),ISNUMBER(SEARCH(".",F473))),0,1),1)=1,"Email; ","")&amp;IF(IFERROR(IF(AND(LEN(J473)=6,ISNUMBER(VALUE(J473))),0,1),1)=1,"Pincode; ","")&amp;IF(IFERROR(IF(ISNUMBER(MATCH(TRIM(I473),Lists!$A$2:$A$20,0)),0,1),1)=1,"State; ","")&amp;IF(IFERROR(IF(AND(LEN(K473)=10,VALUE(LEFT(K473,FIND("/",K473)-1))&gt;=1,VALUE(LEFT(K473,FIND("/",K473)-1))&lt;=31,VALUE(LEFT(MID(K473,FIND("/",K473)+1,10),FIND("/",MID(K473,FIND("/",K473)+1,10))-1))&gt;=1,VALUE(LEFT(MID(K473,FIND("/",K473)+1,10),FIND("/",MID(K473,FIND("/",K473)+1,10))-1))&lt;=12,VALUE(LEFT(K473,FIND("/",K473)-1))&lt;=DAY(EOMONTH(DATE(VALUE(MID(MID(K473,FIND("/",K473)+1,10),FIND("/",MID(K473,FIND("/",K473)+1,10))+1,4)),VALUE(LEFT(MID(K473,FIND("/",K473)+1,10),FIND("/",MID(K473,FIND("/",K473)+1,10))-1)),1),0))),0,1),1)=1,"Date; ","")&amp;IF(IFERROR(IF(M473&gt;=0,0,1),1)=1,"Amount; ","")&amp;IF(IFERROR(IF(ISNUMBER(MATCH(N473,Lists!$B$2:$B$7,0)),0,1),1)=1,"Payment; ","")))</f>
        <v/>
      </c>
      <c r="R473" s="3" t="str">
        <f aca="false">IF(D473="","",IF(COUNTIFS($D$2:$D$701,D473,$E$2:$E$701,E473)&gt;1,"DUPLICATE","Unique"))</f>
        <v>Unique</v>
      </c>
    </row>
    <row r="474" customFormat="false" ht="15" hidden="false" customHeight="false" outlineLevel="0" collapsed="false">
      <c r="A474" s="3" t="n">
        <v>473</v>
      </c>
      <c r="B474" s="3" t="n">
        <v>10</v>
      </c>
      <c r="C474" s="3" t="s">
        <v>3367</v>
      </c>
      <c r="D474" s="3" t="s">
        <v>3368</v>
      </c>
      <c r="E474" s="3" t="s">
        <v>3369</v>
      </c>
      <c r="F474" s="3" t="s">
        <v>3370</v>
      </c>
      <c r="G474" s="3" t="s">
        <v>3371</v>
      </c>
      <c r="H474" s="3" t="s">
        <v>227</v>
      </c>
      <c r="I474" s="3" t="s">
        <v>77</v>
      </c>
      <c r="J474" s="3" t="s">
        <v>3372</v>
      </c>
      <c r="K474" s="3" t="s">
        <v>3373</v>
      </c>
      <c r="L474" s="3" t="s">
        <v>74</v>
      </c>
      <c r="M474" s="3" t="n">
        <v>1939.47</v>
      </c>
      <c r="N474" s="3" t="s">
        <v>46</v>
      </c>
      <c r="O474" s="3" t="n">
        <f aca="false">IFERROR(LEN(C474&amp;D474&amp;E474&amp;F474&amp;G474&amp;H474&amp;I474&amp;J474&amp;K474&amp;L474&amp;M474&amp;N474)/5,0)</f>
        <v>24.8</v>
      </c>
      <c r="P474" s="3" t="str">
        <f aca="false">IF(OR(D474="",C474=""),"",IF((IFERROR(IF(AND(TRIM(D474)=D474,LEN(D474)&gt;0),0,1),1)+IFERROR(IF(AND(LEN(E474)=10,ISNUMBER(VALUE(E474))),0,1),1)+IFERROR(IF(AND(ISNUMBER(SEARCH("@",F474)),ISNUMBER(SEARCH(".",F474))),0,1),1)+IFERROR(IF(AND(LEN(J474)=6,ISNUMBER(VALUE(J474))),0,1),1)+IFERROR(IF(ISNUMBER(MATCH(TRIM(I474),Lists!$A$2:$A$20,0)),0,1),1)+IFERROR(IF(AND(LEN(K474)=10,VALUE(LEFT(K474,FIND("/",K474)-1))&gt;=1,VALUE(LEFT(K474,FIND("/",K474)-1))&lt;=31,VALUE(LEFT(MID(K474,FIND("/",K474)+1,10),FIND("/",MID(K474,FIND("/",K474)+1,10))-1))&gt;=1,VALUE(LEFT(MID(K474,FIND("/",K474)+1,10),FIND("/",MID(K474,FIND("/",K474)+1,10))-1))&lt;=12,VALUE(LEFT(K474,FIND("/",K474)-1))&lt;=DAY(EOMONTH(DATE(VALUE(MID(MID(K474,FIND("/",K474)+1,10),FIND("/",MID(K474,FIND("/",K474)+1,10))+1,4)),VALUE(LEFT(MID(K474,FIND("/",K474)+1,10),FIND("/",MID(K474,FIND("/",K474)+1,10))-1)),1),0))),0,1),1)+IFERROR(IF(M474&gt;=0,0,1),1)+IFERROR(IF(ISNUMBER(MATCH(N474,Lists!$B$2:$B$7,0)),0,1),1))=0,"OK","ERROR"))</f>
        <v>OK</v>
      </c>
      <c r="Q474" s="3" t="str">
        <f aca="false">IF(D474="","",TRIM(IF(IFERROR(IF(AND(TRIM(D474)=D474,LEN(D474)&gt;0),0,1),1)=1,"Name; ","")&amp;IF(IFERROR(IF(AND(LEN(E474)=10,ISNUMBER(VALUE(E474))),0,1),1)=1,"Phone; ","")&amp;IF(IFERROR(IF(AND(ISNUMBER(SEARCH("@",F474)),ISNUMBER(SEARCH(".",F474))),0,1),1)=1,"Email; ","")&amp;IF(IFERROR(IF(AND(LEN(J474)=6,ISNUMBER(VALUE(J474))),0,1),1)=1,"Pincode; ","")&amp;IF(IFERROR(IF(ISNUMBER(MATCH(TRIM(I474),Lists!$A$2:$A$20,0)),0,1),1)=1,"State; ","")&amp;IF(IFERROR(IF(AND(LEN(K474)=10,VALUE(LEFT(K474,FIND("/",K474)-1))&gt;=1,VALUE(LEFT(K474,FIND("/",K474)-1))&lt;=31,VALUE(LEFT(MID(K474,FIND("/",K474)+1,10),FIND("/",MID(K474,FIND("/",K474)+1,10))-1))&gt;=1,VALUE(LEFT(MID(K474,FIND("/",K474)+1,10),FIND("/",MID(K474,FIND("/",K474)+1,10))-1))&lt;=12,VALUE(LEFT(K474,FIND("/",K474)-1))&lt;=DAY(EOMONTH(DATE(VALUE(MID(MID(K474,FIND("/",K474)+1,10),FIND("/",MID(K474,FIND("/",K474)+1,10))+1,4)),VALUE(LEFT(MID(K474,FIND("/",K474)+1,10),FIND("/",MID(K474,FIND("/",K474)+1,10))-1)),1),0))),0,1),1)=1,"Date; ","")&amp;IF(IFERROR(IF(M474&gt;=0,0,1),1)=1,"Amount; ","")&amp;IF(IFERROR(IF(ISNUMBER(MATCH(N474,Lists!$B$2:$B$7,0)),0,1),1)=1,"Payment; ","")))</f>
        <v/>
      </c>
      <c r="R474" s="3" t="str">
        <f aca="false">IF(D474="","",IF(COUNTIFS($D$2:$D$701,D474,$E$2:$E$701,E474)&gt;1,"DUPLICATE","Unique"))</f>
        <v>Unique</v>
      </c>
    </row>
    <row r="475" customFormat="false" ht="15" hidden="false" customHeight="false" outlineLevel="0" collapsed="false">
      <c r="A475" s="3" t="n">
        <v>474</v>
      </c>
      <c r="B475" s="3" t="n">
        <v>10</v>
      </c>
      <c r="C475" s="3" t="s">
        <v>3374</v>
      </c>
      <c r="D475" s="3" t="s">
        <v>3375</v>
      </c>
      <c r="E475" s="3" t="s">
        <v>3376</v>
      </c>
      <c r="F475" s="3" t="s">
        <v>3377</v>
      </c>
      <c r="G475" s="3" t="s">
        <v>3378</v>
      </c>
      <c r="H475" s="3" t="s">
        <v>1207</v>
      </c>
      <c r="I475" s="3" t="s">
        <v>67</v>
      </c>
      <c r="J475" s="3" t="s">
        <v>3379</v>
      </c>
      <c r="K475" s="3" t="s">
        <v>3287</v>
      </c>
      <c r="L475" s="3" t="s">
        <v>66</v>
      </c>
      <c r="M475" s="3" t="n">
        <v>9388.39</v>
      </c>
      <c r="N475" s="3" t="s">
        <v>49</v>
      </c>
      <c r="O475" s="3" t="n">
        <f aca="false">IFERROR(LEN(C475&amp;D475&amp;E475&amp;F475&amp;G475&amp;H475&amp;I475&amp;J475&amp;K475&amp;L475&amp;M475&amp;N475)/5,0)</f>
        <v>29.4</v>
      </c>
      <c r="P475" s="3" t="str">
        <f aca="false">IF(OR(D475="",C475=""),"",IF((IFERROR(IF(AND(TRIM(D475)=D475,LEN(D475)&gt;0),0,1),1)+IFERROR(IF(AND(LEN(E475)=10,ISNUMBER(VALUE(E475))),0,1),1)+IFERROR(IF(AND(ISNUMBER(SEARCH("@",F475)),ISNUMBER(SEARCH(".",F475))),0,1),1)+IFERROR(IF(AND(LEN(J475)=6,ISNUMBER(VALUE(J475))),0,1),1)+IFERROR(IF(ISNUMBER(MATCH(TRIM(I475),Lists!$A$2:$A$20,0)),0,1),1)+IFERROR(IF(AND(LEN(K475)=10,VALUE(LEFT(K475,FIND("/",K475)-1))&gt;=1,VALUE(LEFT(K475,FIND("/",K475)-1))&lt;=31,VALUE(LEFT(MID(K475,FIND("/",K475)+1,10),FIND("/",MID(K475,FIND("/",K475)+1,10))-1))&gt;=1,VALUE(LEFT(MID(K475,FIND("/",K475)+1,10),FIND("/",MID(K475,FIND("/",K475)+1,10))-1))&lt;=12,VALUE(LEFT(K475,FIND("/",K475)-1))&lt;=DAY(EOMONTH(DATE(VALUE(MID(MID(K475,FIND("/",K475)+1,10),FIND("/",MID(K475,FIND("/",K475)+1,10))+1,4)),VALUE(LEFT(MID(K475,FIND("/",K475)+1,10),FIND("/",MID(K475,FIND("/",K475)+1,10))-1)),1),0))),0,1),1)+IFERROR(IF(M475&gt;=0,0,1),1)+IFERROR(IF(ISNUMBER(MATCH(N475,Lists!$B$2:$B$7,0)),0,1),1))=0,"OK","ERROR"))</f>
        <v>OK</v>
      </c>
      <c r="Q475" s="3" t="str">
        <f aca="false">IF(D475="","",TRIM(IF(IFERROR(IF(AND(TRIM(D475)=D475,LEN(D475)&gt;0),0,1),1)=1,"Name; ","")&amp;IF(IFERROR(IF(AND(LEN(E475)=10,ISNUMBER(VALUE(E475))),0,1),1)=1,"Phone; ","")&amp;IF(IFERROR(IF(AND(ISNUMBER(SEARCH("@",F475)),ISNUMBER(SEARCH(".",F475))),0,1),1)=1,"Email; ","")&amp;IF(IFERROR(IF(AND(LEN(J475)=6,ISNUMBER(VALUE(J475))),0,1),1)=1,"Pincode; ","")&amp;IF(IFERROR(IF(ISNUMBER(MATCH(TRIM(I475),Lists!$A$2:$A$20,0)),0,1),1)=1,"State; ","")&amp;IF(IFERROR(IF(AND(LEN(K475)=10,VALUE(LEFT(K475,FIND("/",K475)-1))&gt;=1,VALUE(LEFT(K475,FIND("/",K475)-1))&lt;=31,VALUE(LEFT(MID(K475,FIND("/",K475)+1,10),FIND("/",MID(K475,FIND("/",K475)+1,10))-1))&gt;=1,VALUE(LEFT(MID(K475,FIND("/",K475)+1,10),FIND("/",MID(K475,FIND("/",K475)+1,10))-1))&lt;=12,VALUE(LEFT(K475,FIND("/",K475)-1))&lt;=DAY(EOMONTH(DATE(VALUE(MID(MID(K475,FIND("/",K475)+1,10),FIND("/",MID(K475,FIND("/",K475)+1,10))+1,4)),VALUE(LEFT(MID(K475,FIND("/",K475)+1,10),FIND("/",MID(K475,FIND("/",K475)+1,10))-1)),1),0))),0,1),1)=1,"Date; ","")&amp;IF(IFERROR(IF(M475&gt;=0,0,1),1)=1,"Amount; ","")&amp;IF(IFERROR(IF(ISNUMBER(MATCH(N475,Lists!$B$2:$B$7,0)),0,1),1)=1,"Payment; ","")))</f>
        <v/>
      </c>
      <c r="R475" s="3" t="str">
        <f aca="false">IF(D475="","",IF(COUNTIFS($D$2:$D$701,D475,$E$2:$E$701,E475)&gt;1,"DUPLICATE","Unique"))</f>
        <v>Unique</v>
      </c>
    </row>
    <row r="476" customFormat="false" ht="15" hidden="false" customHeight="false" outlineLevel="0" collapsed="false">
      <c r="A476" s="3" t="n">
        <v>475</v>
      </c>
      <c r="B476" s="3" t="n">
        <v>10</v>
      </c>
      <c r="C476" s="3" t="s">
        <v>3380</v>
      </c>
      <c r="D476" s="3" t="s">
        <v>3381</v>
      </c>
      <c r="E476" s="3" t="s">
        <v>3382</v>
      </c>
      <c r="F476" s="3" t="s">
        <v>3383</v>
      </c>
      <c r="G476" s="3" t="s">
        <v>3384</v>
      </c>
      <c r="H476" s="3" t="s">
        <v>1094</v>
      </c>
      <c r="I476" s="3" t="s">
        <v>54</v>
      </c>
      <c r="J476" s="3" t="s">
        <v>3385</v>
      </c>
      <c r="K476" s="3" t="s">
        <v>693</v>
      </c>
      <c r="L476" s="3" t="s">
        <v>70</v>
      </c>
      <c r="M476" s="3" t="n">
        <v>10387.59</v>
      </c>
      <c r="N476" s="3" t="s">
        <v>40</v>
      </c>
      <c r="O476" s="3" t="n">
        <f aca="false">IFERROR(LEN(C476&amp;D476&amp;E476&amp;F476&amp;G476&amp;H476&amp;I476&amp;J476&amp;K476&amp;L476&amp;M476&amp;N476)/5,0)</f>
        <v>26.8</v>
      </c>
      <c r="P476" s="3" t="str">
        <f aca="false">IF(OR(D476="",C476=""),"",IF((IFERROR(IF(AND(TRIM(D476)=D476,LEN(D476)&gt;0),0,1),1)+IFERROR(IF(AND(LEN(E476)=10,ISNUMBER(VALUE(E476))),0,1),1)+IFERROR(IF(AND(ISNUMBER(SEARCH("@",F476)),ISNUMBER(SEARCH(".",F476))),0,1),1)+IFERROR(IF(AND(LEN(J476)=6,ISNUMBER(VALUE(J476))),0,1),1)+IFERROR(IF(ISNUMBER(MATCH(TRIM(I476),Lists!$A$2:$A$20,0)),0,1),1)+IFERROR(IF(AND(LEN(K476)=10,VALUE(LEFT(K476,FIND("/",K476)-1))&gt;=1,VALUE(LEFT(K476,FIND("/",K476)-1))&lt;=31,VALUE(LEFT(MID(K476,FIND("/",K476)+1,10),FIND("/",MID(K476,FIND("/",K476)+1,10))-1))&gt;=1,VALUE(LEFT(MID(K476,FIND("/",K476)+1,10),FIND("/",MID(K476,FIND("/",K476)+1,10))-1))&lt;=12,VALUE(LEFT(K476,FIND("/",K476)-1))&lt;=DAY(EOMONTH(DATE(VALUE(MID(MID(K476,FIND("/",K476)+1,10),FIND("/",MID(K476,FIND("/",K476)+1,10))+1,4)),VALUE(LEFT(MID(K476,FIND("/",K476)+1,10),FIND("/",MID(K476,FIND("/",K476)+1,10))-1)),1),0))),0,1),1)+IFERROR(IF(M476&gt;=0,0,1),1)+IFERROR(IF(ISNUMBER(MATCH(N476,Lists!$B$2:$B$7,0)),0,1),1))=0,"OK","ERROR"))</f>
        <v>OK</v>
      </c>
      <c r="Q476" s="3" t="str">
        <f aca="false">IF(D476="","",TRIM(IF(IFERROR(IF(AND(TRIM(D476)=D476,LEN(D476)&gt;0),0,1),1)=1,"Name; ","")&amp;IF(IFERROR(IF(AND(LEN(E476)=10,ISNUMBER(VALUE(E476))),0,1),1)=1,"Phone; ","")&amp;IF(IFERROR(IF(AND(ISNUMBER(SEARCH("@",F476)),ISNUMBER(SEARCH(".",F476))),0,1),1)=1,"Email; ","")&amp;IF(IFERROR(IF(AND(LEN(J476)=6,ISNUMBER(VALUE(J476))),0,1),1)=1,"Pincode; ","")&amp;IF(IFERROR(IF(ISNUMBER(MATCH(TRIM(I476),Lists!$A$2:$A$20,0)),0,1),1)=1,"State; ","")&amp;IF(IFERROR(IF(AND(LEN(K476)=10,VALUE(LEFT(K476,FIND("/",K476)-1))&gt;=1,VALUE(LEFT(K476,FIND("/",K476)-1))&lt;=31,VALUE(LEFT(MID(K476,FIND("/",K476)+1,10),FIND("/",MID(K476,FIND("/",K476)+1,10))-1))&gt;=1,VALUE(LEFT(MID(K476,FIND("/",K476)+1,10),FIND("/",MID(K476,FIND("/",K476)+1,10))-1))&lt;=12,VALUE(LEFT(K476,FIND("/",K476)-1))&lt;=DAY(EOMONTH(DATE(VALUE(MID(MID(K476,FIND("/",K476)+1,10),FIND("/",MID(K476,FIND("/",K476)+1,10))+1,4)),VALUE(LEFT(MID(K476,FIND("/",K476)+1,10),FIND("/",MID(K476,FIND("/",K476)+1,10))-1)),1),0))),0,1),1)=1,"Date; ","")&amp;IF(IFERROR(IF(M476&gt;=0,0,1),1)=1,"Amount; ","")&amp;IF(IFERROR(IF(ISNUMBER(MATCH(N476,Lists!$B$2:$B$7,0)),0,1),1)=1,"Payment; ","")))</f>
        <v/>
      </c>
      <c r="R476" s="3" t="str">
        <f aca="false">IF(D476="","",IF(COUNTIFS($D$2:$D$701,D476,$E$2:$E$701,E476)&gt;1,"DUPLICATE","Unique"))</f>
        <v>Unique</v>
      </c>
    </row>
    <row r="477" customFormat="false" ht="15" hidden="false" customHeight="false" outlineLevel="0" collapsed="false">
      <c r="A477" s="3" t="n">
        <v>476</v>
      </c>
      <c r="B477" s="3" t="n">
        <v>10</v>
      </c>
      <c r="C477" s="3" t="s">
        <v>3386</v>
      </c>
      <c r="D477" s="3" t="s">
        <v>3387</v>
      </c>
      <c r="E477" s="3" t="s">
        <v>3388</v>
      </c>
      <c r="F477" s="3" t="s">
        <v>3389</v>
      </c>
      <c r="G477" s="3" t="s">
        <v>3390</v>
      </c>
      <c r="H477" s="3" t="s">
        <v>472</v>
      </c>
      <c r="I477" s="3" t="s">
        <v>63</v>
      </c>
      <c r="J477" s="3" t="s">
        <v>3391</v>
      </c>
      <c r="K477" s="3" t="s">
        <v>3392</v>
      </c>
      <c r="L477" s="3" t="s">
        <v>53</v>
      </c>
      <c r="M477" s="3" t="n">
        <v>15574.33</v>
      </c>
      <c r="N477" s="3" t="s">
        <v>52</v>
      </c>
      <c r="O477" s="3" t="n">
        <f aca="false">IFERROR(LEN(C477&amp;D477&amp;E477&amp;F477&amp;G477&amp;H477&amp;I477&amp;J477&amp;K477&amp;L477&amp;M477&amp;N477)/5,0)</f>
        <v>28.8</v>
      </c>
      <c r="P477" s="3" t="str">
        <f aca="false">IF(OR(D477="",C477=""),"",IF((IFERROR(IF(AND(TRIM(D477)=D477,LEN(D477)&gt;0),0,1),1)+IFERROR(IF(AND(LEN(E477)=10,ISNUMBER(VALUE(E477))),0,1),1)+IFERROR(IF(AND(ISNUMBER(SEARCH("@",F477)),ISNUMBER(SEARCH(".",F477))),0,1),1)+IFERROR(IF(AND(LEN(J477)=6,ISNUMBER(VALUE(J477))),0,1),1)+IFERROR(IF(ISNUMBER(MATCH(TRIM(I477),Lists!$A$2:$A$20,0)),0,1),1)+IFERROR(IF(AND(LEN(K477)=10,VALUE(LEFT(K477,FIND("/",K477)-1))&gt;=1,VALUE(LEFT(K477,FIND("/",K477)-1))&lt;=31,VALUE(LEFT(MID(K477,FIND("/",K477)+1,10),FIND("/",MID(K477,FIND("/",K477)+1,10))-1))&gt;=1,VALUE(LEFT(MID(K477,FIND("/",K477)+1,10),FIND("/",MID(K477,FIND("/",K477)+1,10))-1))&lt;=12,VALUE(LEFT(K477,FIND("/",K477)-1))&lt;=DAY(EOMONTH(DATE(VALUE(MID(MID(K477,FIND("/",K477)+1,10),FIND("/",MID(K477,FIND("/",K477)+1,10))+1,4)),VALUE(LEFT(MID(K477,FIND("/",K477)+1,10),FIND("/",MID(K477,FIND("/",K477)+1,10))-1)),1),0))),0,1),1)+IFERROR(IF(M477&gt;=0,0,1),1)+IFERROR(IF(ISNUMBER(MATCH(N477,Lists!$B$2:$B$7,0)),0,1),1))=0,"OK","ERROR"))</f>
        <v>OK</v>
      </c>
      <c r="Q477" s="3" t="str">
        <f aca="false">IF(D477="","",TRIM(IF(IFERROR(IF(AND(TRIM(D477)=D477,LEN(D477)&gt;0),0,1),1)=1,"Name; ","")&amp;IF(IFERROR(IF(AND(LEN(E477)=10,ISNUMBER(VALUE(E477))),0,1),1)=1,"Phone; ","")&amp;IF(IFERROR(IF(AND(ISNUMBER(SEARCH("@",F477)),ISNUMBER(SEARCH(".",F477))),0,1),1)=1,"Email; ","")&amp;IF(IFERROR(IF(AND(LEN(J477)=6,ISNUMBER(VALUE(J477))),0,1),1)=1,"Pincode; ","")&amp;IF(IFERROR(IF(ISNUMBER(MATCH(TRIM(I477),Lists!$A$2:$A$20,0)),0,1),1)=1,"State; ","")&amp;IF(IFERROR(IF(AND(LEN(K477)=10,VALUE(LEFT(K477,FIND("/",K477)-1))&gt;=1,VALUE(LEFT(K477,FIND("/",K477)-1))&lt;=31,VALUE(LEFT(MID(K477,FIND("/",K477)+1,10),FIND("/",MID(K477,FIND("/",K477)+1,10))-1))&gt;=1,VALUE(LEFT(MID(K477,FIND("/",K477)+1,10),FIND("/",MID(K477,FIND("/",K477)+1,10))-1))&lt;=12,VALUE(LEFT(K477,FIND("/",K477)-1))&lt;=DAY(EOMONTH(DATE(VALUE(MID(MID(K477,FIND("/",K477)+1,10),FIND("/",MID(K477,FIND("/",K477)+1,10))+1,4)),VALUE(LEFT(MID(K477,FIND("/",K477)+1,10),FIND("/",MID(K477,FIND("/",K477)+1,10))-1)),1),0))),0,1),1)=1,"Date; ","")&amp;IF(IFERROR(IF(M477&gt;=0,0,1),1)=1,"Amount; ","")&amp;IF(IFERROR(IF(ISNUMBER(MATCH(N477,Lists!$B$2:$B$7,0)),0,1),1)=1,"Payment; ","")))</f>
        <v/>
      </c>
      <c r="R477" s="3" t="str">
        <f aca="false">IF(D477="","",IF(COUNTIFS($D$2:$D$701,D477,$E$2:$E$701,E477)&gt;1,"DUPLICATE","Unique"))</f>
        <v>Unique</v>
      </c>
    </row>
    <row r="478" customFormat="false" ht="15" hidden="false" customHeight="false" outlineLevel="0" collapsed="false">
      <c r="A478" s="3" t="n">
        <v>477</v>
      </c>
      <c r="B478" s="3" t="n">
        <v>10</v>
      </c>
      <c r="C478" s="3" t="s">
        <v>3393</v>
      </c>
      <c r="D478" s="3" t="s">
        <v>3394</v>
      </c>
      <c r="E478" s="3" t="s">
        <v>3395</v>
      </c>
      <c r="F478" s="3" t="s">
        <v>3396</v>
      </c>
      <c r="G478" s="3" t="s">
        <v>3397</v>
      </c>
      <c r="H478" s="3" t="s">
        <v>118</v>
      </c>
      <c r="I478" s="3" t="s">
        <v>69</v>
      </c>
      <c r="J478" s="3" t="s">
        <v>3398</v>
      </c>
      <c r="K478" s="3" t="s">
        <v>3399</v>
      </c>
      <c r="L478" s="3" t="s">
        <v>70</v>
      </c>
      <c r="M478" s="3" t="n">
        <v>6068.35</v>
      </c>
      <c r="N478" s="3" t="s">
        <v>49</v>
      </c>
      <c r="O478" s="3" t="n">
        <f aca="false">IFERROR(LEN(C478&amp;D478&amp;E478&amp;F478&amp;G478&amp;H478&amp;I478&amp;J478&amp;K478&amp;L478&amp;M478&amp;N478)/5,0)</f>
        <v>28.8</v>
      </c>
      <c r="P478" s="3" t="str">
        <f aca="false">IF(OR(D478="",C478=""),"",IF((IFERROR(IF(AND(TRIM(D478)=D478,LEN(D478)&gt;0),0,1),1)+IFERROR(IF(AND(LEN(E478)=10,ISNUMBER(VALUE(E478))),0,1),1)+IFERROR(IF(AND(ISNUMBER(SEARCH("@",F478)),ISNUMBER(SEARCH(".",F478))),0,1),1)+IFERROR(IF(AND(LEN(J478)=6,ISNUMBER(VALUE(J478))),0,1),1)+IFERROR(IF(ISNUMBER(MATCH(TRIM(I478),Lists!$A$2:$A$20,0)),0,1),1)+IFERROR(IF(AND(LEN(K478)=10,VALUE(LEFT(K478,FIND("/",K478)-1))&gt;=1,VALUE(LEFT(K478,FIND("/",K478)-1))&lt;=31,VALUE(LEFT(MID(K478,FIND("/",K478)+1,10),FIND("/",MID(K478,FIND("/",K478)+1,10))-1))&gt;=1,VALUE(LEFT(MID(K478,FIND("/",K478)+1,10),FIND("/",MID(K478,FIND("/",K478)+1,10))-1))&lt;=12,VALUE(LEFT(K478,FIND("/",K478)-1))&lt;=DAY(EOMONTH(DATE(VALUE(MID(MID(K478,FIND("/",K478)+1,10),FIND("/",MID(K478,FIND("/",K478)+1,10))+1,4)),VALUE(LEFT(MID(K478,FIND("/",K478)+1,10),FIND("/",MID(K478,FIND("/",K478)+1,10))-1)),1),0))),0,1),1)+IFERROR(IF(M478&gt;=0,0,1),1)+IFERROR(IF(ISNUMBER(MATCH(N478,Lists!$B$2:$B$7,0)),0,1),1))=0,"OK","ERROR"))</f>
        <v>OK</v>
      </c>
      <c r="Q478" s="3" t="str">
        <f aca="false">IF(D478="","",TRIM(IF(IFERROR(IF(AND(TRIM(D478)=D478,LEN(D478)&gt;0),0,1),1)=1,"Name; ","")&amp;IF(IFERROR(IF(AND(LEN(E478)=10,ISNUMBER(VALUE(E478))),0,1),1)=1,"Phone; ","")&amp;IF(IFERROR(IF(AND(ISNUMBER(SEARCH("@",F478)),ISNUMBER(SEARCH(".",F478))),0,1),1)=1,"Email; ","")&amp;IF(IFERROR(IF(AND(LEN(J478)=6,ISNUMBER(VALUE(J478))),0,1),1)=1,"Pincode; ","")&amp;IF(IFERROR(IF(ISNUMBER(MATCH(TRIM(I478),Lists!$A$2:$A$20,0)),0,1),1)=1,"State; ","")&amp;IF(IFERROR(IF(AND(LEN(K478)=10,VALUE(LEFT(K478,FIND("/",K478)-1))&gt;=1,VALUE(LEFT(K478,FIND("/",K478)-1))&lt;=31,VALUE(LEFT(MID(K478,FIND("/",K478)+1,10),FIND("/",MID(K478,FIND("/",K478)+1,10))-1))&gt;=1,VALUE(LEFT(MID(K478,FIND("/",K478)+1,10),FIND("/",MID(K478,FIND("/",K478)+1,10))-1))&lt;=12,VALUE(LEFT(K478,FIND("/",K478)-1))&lt;=DAY(EOMONTH(DATE(VALUE(MID(MID(K478,FIND("/",K478)+1,10),FIND("/",MID(K478,FIND("/",K478)+1,10))+1,4)),VALUE(LEFT(MID(K478,FIND("/",K478)+1,10),FIND("/",MID(K478,FIND("/",K478)+1,10))-1)),1),0))),0,1),1)=1,"Date; ","")&amp;IF(IFERROR(IF(M478&gt;=0,0,1),1)=1,"Amount; ","")&amp;IF(IFERROR(IF(ISNUMBER(MATCH(N478,Lists!$B$2:$B$7,0)),0,1),1)=1,"Payment; ","")))</f>
        <v/>
      </c>
      <c r="R478" s="3" t="str">
        <f aca="false">IF(D478="","",IF(COUNTIFS($D$2:$D$701,D478,$E$2:$E$701,E478)&gt;1,"DUPLICATE","Unique"))</f>
        <v>Unique</v>
      </c>
    </row>
    <row r="479" customFormat="false" ht="15" hidden="false" customHeight="false" outlineLevel="0" collapsed="false">
      <c r="A479" s="3" t="n">
        <v>478</v>
      </c>
      <c r="B479" s="3" t="n">
        <v>10</v>
      </c>
      <c r="C479" s="3" t="s">
        <v>3400</v>
      </c>
      <c r="D479" s="3" t="s">
        <v>3401</v>
      </c>
      <c r="E479" s="3" t="s">
        <v>3402</v>
      </c>
      <c r="F479" s="3" t="s">
        <v>3403</v>
      </c>
      <c r="G479" s="3" t="s">
        <v>3404</v>
      </c>
      <c r="H479" s="3" t="s">
        <v>770</v>
      </c>
      <c r="I479" s="3" t="s">
        <v>57</v>
      </c>
      <c r="J479" s="3" t="s">
        <v>3405</v>
      </c>
      <c r="K479" s="3" t="s">
        <v>3406</v>
      </c>
      <c r="L479" s="3" t="s">
        <v>66</v>
      </c>
      <c r="M479" s="3" t="n">
        <v>14880.39</v>
      </c>
      <c r="N479" s="3" t="s">
        <v>43</v>
      </c>
      <c r="O479" s="3" t="n">
        <f aca="false">IFERROR(LEN(C479&amp;D479&amp;E479&amp;F479&amp;G479&amp;H479&amp;I479&amp;J479&amp;K479&amp;L479&amp;M479&amp;N479)/5,0)</f>
        <v>25.4</v>
      </c>
      <c r="P479" s="3" t="str">
        <f aca="false">IF(OR(D479="",C479=""),"",IF((IFERROR(IF(AND(TRIM(D479)=D479,LEN(D479)&gt;0),0,1),1)+IFERROR(IF(AND(LEN(E479)=10,ISNUMBER(VALUE(E479))),0,1),1)+IFERROR(IF(AND(ISNUMBER(SEARCH("@",F479)),ISNUMBER(SEARCH(".",F479))),0,1),1)+IFERROR(IF(AND(LEN(J479)=6,ISNUMBER(VALUE(J479))),0,1),1)+IFERROR(IF(ISNUMBER(MATCH(TRIM(I479),Lists!$A$2:$A$20,0)),0,1),1)+IFERROR(IF(AND(LEN(K479)=10,VALUE(LEFT(K479,FIND("/",K479)-1))&gt;=1,VALUE(LEFT(K479,FIND("/",K479)-1))&lt;=31,VALUE(LEFT(MID(K479,FIND("/",K479)+1,10),FIND("/",MID(K479,FIND("/",K479)+1,10))-1))&gt;=1,VALUE(LEFT(MID(K479,FIND("/",K479)+1,10),FIND("/",MID(K479,FIND("/",K479)+1,10))-1))&lt;=12,VALUE(LEFT(K479,FIND("/",K479)-1))&lt;=DAY(EOMONTH(DATE(VALUE(MID(MID(K479,FIND("/",K479)+1,10),FIND("/",MID(K479,FIND("/",K479)+1,10))+1,4)),VALUE(LEFT(MID(K479,FIND("/",K479)+1,10),FIND("/",MID(K479,FIND("/",K479)+1,10))-1)),1),0))),0,1),1)+IFERROR(IF(M479&gt;=0,0,1),1)+IFERROR(IF(ISNUMBER(MATCH(N479,Lists!$B$2:$B$7,0)),0,1),1))=0,"OK","ERROR"))</f>
        <v>OK</v>
      </c>
      <c r="Q479" s="3" t="str">
        <f aca="false">IF(D479="","",TRIM(IF(IFERROR(IF(AND(TRIM(D479)=D479,LEN(D479)&gt;0),0,1),1)=1,"Name; ","")&amp;IF(IFERROR(IF(AND(LEN(E479)=10,ISNUMBER(VALUE(E479))),0,1),1)=1,"Phone; ","")&amp;IF(IFERROR(IF(AND(ISNUMBER(SEARCH("@",F479)),ISNUMBER(SEARCH(".",F479))),0,1),1)=1,"Email; ","")&amp;IF(IFERROR(IF(AND(LEN(J479)=6,ISNUMBER(VALUE(J479))),0,1),1)=1,"Pincode; ","")&amp;IF(IFERROR(IF(ISNUMBER(MATCH(TRIM(I479),Lists!$A$2:$A$20,0)),0,1),1)=1,"State; ","")&amp;IF(IFERROR(IF(AND(LEN(K479)=10,VALUE(LEFT(K479,FIND("/",K479)-1))&gt;=1,VALUE(LEFT(K479,FIND("/",K479)-1))&lt;=31,VALUE(LEFT(MID(K479,FIND("/",K479)+1,10),FIND("/",MID(K479,FIND("/",K479)+1,10))-1))&gt;=1,VALUE(LEFT(MID(K479,FIND("/",K479)+1,10),FIND("/",MID(K479,FIND("/",K479)+1,10))-1))&lt;=12,VALUE(LEFT(K479,FIND("/",K479)-1))&lt;=DAY(EOMONTH(DATE(VALUE(MID(MID(K479,FIND("/",K479)+1,10),FIND("/",MID(K479,FIND("/",K479)+1,10))+1,4)),VALUE(LEFT(MID(K479,FIND("/",K479)+1,10),FIND("/",MID(K479,FIND("/",K479)+1,10))-1)),1),0))),0,1),1)=1,"Date; ","")&amp;IF(IFERROR(IF(M479&gt;=0,0,1),1)=1,"Amount; ","")&amp;IF(IFERROR(IF(ISNUMBER(MATCH(N479,Lists!$B$2:$B$7,0)),0,1),1)=1,"Payment; ","")))</f>
        <v/>
      </c>
      <c r="R479" s="3" t="str">
        <f aca="false">IF(D479="","",IF(COUNTIFS($D$2:$D$701,D479,$E$2:$E$701,E479)&gt;1,"DUPLICATE","Unique"))</f>
        <v>Unique</v>
      </c>
    </row>
    <row r="480" customFormat="false" ht="15" hidden="false" customHeight="false" outlineLevel="0" collapsed="false">
      <c r="A480" s="3" t="n">
        <v>479</v>
      </c>
      <c r="B480" s="3" t="n">
        <v>10</v>
      </c>
      <c r="C480" s="3" t="s">
        <v>3407</v>
      </c>
      <c r="D480" s="3" t="s">
        <v>3408</v>
      </c>
      <c r="E480" s="3" t="s">
        <v>3409</v>
      </c>
      <c r="F480" s="3" t="s">
        <v>3410</v>
      </c>
      <c r="G480" s="3" t="s">
        <v>3411</v>
      </c>
      <c r="H480" s="3" t="s">
        <v>878</v>
      </c>
      <c r="I480" s="3" t="s">
        <v>61</v>
      </c>
      <c r="J480" s="3" t="s">
        <v>3412</v>
      </c>
      <c r="K480" s="3" t="s">
        <v>3413</v>
      </c>
      <c r="L480" s="3" t="s">
        <v>47</v>
      </c>
      <c r="M480" s="3" t="n">
        <v>11300.98</v>
      </c>
      <c r="N480" s="3" t="s">
        <v>40</v>
      </c>
      <c r="O480" s="3" t="n">
        <f aca="false">IFERROR(LEN(C480&amp;D480&amp;E480&amp;F480&amp;G480&amp;H480&amp;I480&amp;J480&amp;K480&amp;L480&amp;M480&amp;N480)/5,0)</f>
        <v>28.4</v>
      </c>
      <c r="P480" s="3" t="str">
        <f aca="false">IF(OR(D480="",C480=""),"",IF((IFERROR(IF(AND(TRIM(D480)=D480,LEN(D480)&gt;0),0,1),1)+IFERROR(IF(AND(LEN(E480)=10,ISNUMBER(VALUE(E480))),0,1),1)+IFERROR(IF(AND(ISNUMBER(SEARCH("@",F480)),ISNUMBER(SEARCH(".",F480))),0,1),1)+IFERROR(IF(AND(LEN(J480)=6,ISNUMBER(VALUE(J480))),0,1),1)+IFERROR(IF(ISNUMBER(MATCH(TRIM(I480),Lists!$A$2:$A$20,0)),0,1),1)+IFERROR(IF(AND(LEN(K480)=10,VALUE(LEFT(K480,FIND("/",K480)-1))&gt;=1,VALUE(LEFT(K480,FIND("/",K480)-1))&lt;=31,VALUE(LEFT(MID(K480,FIND("/",K480)+1,10),FIND("/",MID(K480,FIND("/",K480)+1,10))-1))&gt;=1,VALUE(LEFT(MID(K480,FIND("/",K480)+1,10),FIND("/",MID(K480,FIND("/",K480)+1,10))-1))&lt;=12,VALUE(LEFT(K480,FIND("/",K480)-1))&lt;=DAY(EOMONTH(DATE(VALUE(MID(MID(K480,FIND("/",K480)+1,10),FIND("/",MID(K480,FIND("/",K480)+1,10))+1,4)),VALUE(LEFT(MID(K480,FIND("/",K480)+1,10),FIND("/",MID(K480,FIND("/",K480)+1,10))-1)),1),0))),0,1),1)+IFERROR(IF(M480&gt;=0,0,1),1)+IFERROR(IF(ISNUMBER(MATCH(N480,Lists!$B$2:$B$7,0)),0,1),1))=0,"OK","ERROR"))</f>
        <v>OK</v>
      </c>
      <c r="Q480" s="3" t="str">
        <f aca="false">IF(D480="","",TRIM(IF(IFERROR(IF(AND(TRIM(D480)=D480,LEN(D480)&gt;0),0,1),1)=1,"Name; ","")&amp;IF(IFERROR(IF(AND(LEN(E480)=10,ISNUMBER(VALUE(E480))),0,1),1)=1,"Phone; ","")&amp;IF(IFERROR(IF(AND(ISNUMBER(SEARCH("@",F480)),ISNUMBER(SEARCH(".",F480))),0,1),1)=1,"Email; ","")&amp;IF(IFERROR(IF(AND(LEN(J480)=6,ISNUMBER(VALUE(J480))),0,1),1)=1,"Pincode; ","")&amp;IF(IFERROR(IF(ISNUMBER(MATCH(TRIM(I480),Lists!$A$2:$A$20,0)),0,1),1)=1,"State; ","")&amp;IF(IFERROR(IF(AND(LEN(K480)=10,VALUE(LEFT(K480,FIND("/",K480)-1))&gt;=1,VALUE(LEFT(K480,FIND("/",K480)-1))&lt;=31,VALUE(LEFT(MID(K480,FIND("/",K480)+1,10),FIND("/",MID(K480,FIND("/",K480)+1,10))-1))&gt;=1,VALUE(LEFT(MID(K480,FIND("/",K480)+1,10),FIND("/",MID(K480,FIND("/",K480)+1,10))-1))&lt;=12,VALUE(LEFT(K480,FIND("/",K480)-1))&lt;=DAY(EOMONTH(DATE(VALUE(MID(MID(K480,FIND("/",K480)+1,10),FIND("/",MID(K480,FIND("/",K480)+1,10))+1,4)),VALUE(LEFT(MID(K480,FIND("/",K480)+1,10),FIND("/",MID(K480,FIND("/",K480)+1,10))-1)),1),0))),0,1),1)=1,"Date; ","")&amp;IF(IFERROR(IF(M480&gt;=0,0,1),1)=1,"Amount; ","")&amp;IF(IFERROR(IF(ISNUMBER(MATCH(N480,Lists!$B$2:$B$7,0)),0,1),1)=1,"Payment; ","")))</f>
        <v/>
      </c>
      <c r="R480" s="3" t="str">
        <f aca="false">IF(D480="","",IF(COUNTIFS($D$2:$D$701,D480,$E$2:$E$701,E480)&gt;1,"DUPLICATE","Unique"))</f>
        <v>Unique</v>
      </c>
    </row>
    <row r="481" customFormat="false" ht="15" hidden="false" customHeight="false" outlineLevel="0" collapsed="false">
      <c r="A481" s="3" t="n">
        <v>480</v>
      </c>
      <c r="B481" s="3" t="n">
        <v>10</v>
      </c>
      <c r="C481" s="3" t="s">
        <v>3414</v>
      </c>
      <c r="D481" s="3" t="s">
        <v>3415</v>
      </c>
      <c r="E481" s="3" t="s">
        <v>3416</v>
      </c>
      <c r="F481" s="3" t="s">
        <v>3417</v>
      </c>
      <c r="G481" s="3" t="s">
        <v>3418</v>
      </c>
      <c r="H481" s="3" t="s">
        <v>250</v>
      </c>
      <c r="I481" s="3" t="s">
        <v>65</v>
      </c>
      <c r="J481" s="3" t="s">
        <v>3419</v>
      </c>
      <c r="K481" s="3" t="s">
        <v>379</v>
      </c>
      <c r="L481" s="3" t="s">
        <v>74</v>
      </c>
      <c r="M481" s="3" t="n">
        <v>3606.23</v>
      </c>
      <c r="N481" s="3" t="s">
        <v>55</v>
      </c>
      <c r="O481" s="3" t="n">
        <f aca="false">IFERROR(LEN(C481&amp;D481&amp;E481&amp;F481&amp;G481&amp;H481&amp;I481&amp;J481&amp;K481&amp;L481&amp;M481&amp;N481)/5,0)</f>
        <v>24.6</v>
      </c>
      <c r="P481" s="3" t="str">
        <f aca="false">IF(OR(D481="",C481=""),"",IF((IFERROR(IF(AND(TRIM(D481)=D481,LEN(D481)&gt;0),0,1),1)+IFERROR(IF(AND(LEN(E481)=10,ISNUMBER(VALUE(E481))),0,1),1)+IFERROR(IF(AND(ISNUMBER(SEARCH("@",F481)),ISNUMBER(SEARCH(".",F481))),0,1),1)+IFERROR(IF(AND(LEN(J481)=6,ISNUMBER(VALUE(J481))),0,1),1)+IFERROR(IF(ISNUMBER(MATCH(TRIM(I481),Lists!$A$2:$A$20,0)),0,1),1)+IFERROR(IF(AND(LEN(K481)=10,VALUE(LEFT(K481,FIND("/",K481)-1))&gt;=1,VALUE(LEFT(K481,FIND("/",K481)-1))&lt;=31,VALUE(LEFT(MID(K481,FIND("/",K481)+1,10),FIND("/",MID(K481,FIND("/",K481)+1,10))-1))&gt;=1,VALUE(LEFT(MID(K481,FIND("/",K481)+1,10),FIND("/",MID(K481,FIND("/",K481)+1,10))-1))&lt;=12,VALUE(LEFT(K481,FIND("/",K481)-1))&lt;=DAY(EOMONTH(DATE(VALUE(MID(MID(K481,FIND("/",K481)+1,10),FIND("/",MID(K481,FIND("/",K481)+1,10))+1,4)),VALUE(LEFT(MID(K481,FIND("/",K481)+1,10),FIND("/",MID(K481,FIND("/",K481)+1,10))-1)),1),0))),0,1),1)+IFERROR(IF(M481&gt;=0,0,1),1)+IFERROR(IF(ISNUMBER(MATCH(N481,Lists!$B$2:$B$7,0)),0,1),1))=0,"OK","ERROR"))</f>
        <v>OK</v>
      </c>
      <c r="Q481" s="3" t="str">
        <f aca="false">IF(D481="","",TRIM(IF(IFERROR(IF(AND(TRIM(D481)=D481,LEN(D481)&gt;0),0,1),1)=1,"Name; ","")&amp;IF(IFERROR(IF(AND(LEN(E481)=10,ISNUMBER(VALUE(E481))),0,1),1)=1,"Phone; ","")&amp;IF(IFERROR(IF(AND(ISNUMBER(SEARCH("@",F481)),ISNUMBER(SEARCH(".",F481))),0,1),1)=1,"Email; ","")&amp;IF(IFERROR(IF(AND(LEN(J481)=6,ISNUMBER(VALUE(J481))),0,1),1)=1,"Pincode; ","")&amp;IF(IFERROR(IF(ISNUMBER(MATCH(TRIM(I481),Lists!$A$2:$A$20,0)),0,1),1)=1,"State; ","")&amp;IF(IFERROR(IF(AND(LEN(K481)=10,VALUE(LEFT(K481,FIND("/",K481)-1))&gt;=1,VALUE(LEFT(K481,FIND("/",K481)-1))&lt;=31,VALUE(LEFT(MID(K481,FIND("/",K481)+1,10),FIND("/",MID(K481,FIND("/",K481)+1,10))-1))&gt;=1,VALUE(LEFT(MID(K481,FIND("/",K481)+1,10),FIND("/",MID(K481,FIND("/",K481)+1,10))-1))&lt;=12,VALUE(LEFT(K481,FIND("/",K481)-1))&lt;=DAY(EOMONTH(DATE(VALUE(MID(MID(K481,FIND("/",K481)+1,10),FIND("/",MID(K481,FIND("/",K481)+1,10))+1,4)),VALUE(LEFT(MID(K481,FIND("/",K481)+1,10),FIND("/",MID(K481,FIND("/",K481)+1,10))-1)),1),0))),0,1),1)=1,"Date; ","")&amp;IF(IFERROR(IF(M481&gt;=0,0,1),1)=1,"Amount; ","")&amp;IF(IFERROR(IF(ISNUMBER(MATCH(N481,Lists!$B$2:$B$7,0)),0,1),1)=1,"Payment; ","")))</f>
        <v/>
      </c>
      <c r="R481" s="3" t="str">
        <f aca="false">IF(D481="","",IF(COUNTIFS($D$2:$D$701,D481,$E$2:$E$701,E481)&gt;1,"DUPLICATE","Unique"))</f>
        <v>Unique</v>
      </c>
    </row>
    <row r="482" customFormat="false" ht="15" hidden="false" customHeight="false" outlineLevel="0" collapsed="false">
      <c r="A482" s="3" t="n">
        <v>481</v>
      </c>
      <c r="B482" s="3" t="n">
        <v>10</v>
      </c>
      <c r="C482" s="3" t="s">
        <v>3420</v>
      </c>
      <c r="D482" s="3" t="s">
        <v>3421</v>
      </c>
      <c r="E482" s="3" t="s">
        <v>3422</v>
      </c>
      <c r="F482" s="3" t="s">
        <v>3423</v>
      </c>
      <c r="G482" s="3" t="s">
        <v>3424</v>
      </c>
      <c r="H482" s="3" t="s">
        <v>480</v>
      </c>
      <c r="I482" s="3" t="s">
        <v>51</v>
      </c>
      <c r="J482" s="3" t="s">
        <v>3425</v>
      </c>
      <c r="K482" s="3" t="s">
        <v>1562</v>
      </c>
      <c r="L482" s="3" t="s">
        <v>44</v>
      </c>
      <c r="M482" s="3" t="n">
        <v>15335.65</v>
      </c>
      <c r="N482" s="3" t="s">
        <v>52</v>
      </c>
      <c r="O482" s="3" t="n">
        <f aca="false">IFERROR(LEN(C482&amp;D482&amp;E482&amp;F482&amp;G482&amp;H482&amp;I482&amp;J482&amp;K482&amp;L482&amp;M482&amp;N482)/5,0)</f>
        <v>27.4</v>
      </c>
      <c r="P482" s="3" t="str">
        <f aca="false">IF(OR(D482="",C482=""),"",IF((IFERROR(IF(AND(TRIM(D482)=D482,LEN(D482)&gt;0),0,1),1)+IFERROR(IF(AND(LEN(E482)=10,ISNUMBER(VALUE(E482))),0,1),1)+IFERROR(IF(AND(ISNUMBER(SEARCH("@",F482)),ISNUMBER(SEARCH(".",F482))),0,1),1)+IFERROR(IF(AND(LEN(J482)=6,ISNUMBER(VALUE(J482))),0,1),1)+IFERROR(IF(ISNUMBER(MATCH(TRIM(I482),Lists!$A$2:$A$20,0)),0,1),1)+IFERROR(IF(AND(LEN(K482)=10,VALUE(LEFT(K482,FIND("/",K482)-1))&gt;=1,VALUE(LEFT(K482,FIND("/",K482)-1))&lt;=31,VALUE(LEFT(MID(K482,FIND("/",K482)+1,10),FIND("/",MID(K482,FIND("/",K482)+1,10))-1))&gt;=1,VALUE(LEFT(MID(K482,FIND("/",K482)+1,10),FIND("/",MID(K482,FIND("/",K482)+1,10))-1))&lt;=12,VALUE(LEFT(K482,FIND("/",K482)-1))&lt;=DAY(EOMONTH(DATE(VALUE(MID(MID(K482,FIND("/",K482)+1,10),FIND("/",MID(K482,FIND("/",K482)+1,10))+1,4)),VALUE(LEFT(MID(K482,FIND("/",K482)+1,10),FIND("/",MID(K482,FIND("/",K482)+1,10))-1)),1),0))),0,1),1)+IFERROR(IF(M482&gt;=0,0,1),1)+IFERROR(IF(ISNUMBER(MATCH(N482,Lists!$B$2:$B$7,0)),0,1),1))=0,"OK","ERROR"))</f>
        <v>OK</v>
      </c>
      <c r="Q482" s="3" t="str">
        <f aca="false">IF(D482="","",TRIM(IF(IFERROR(IF(AND(TRIM(D482)=D482,LEN(D482)&gt;0),0,1),1)=1,"Name; ","")&amp;IF(IFERROR(IF(AND(LEN(E482)=10,ISNUMBER(VALUE(E482))),0,1),1)=1,"Phone; ","")&amp;IF(IFERROR(IF(AND(ISNUMBER(SEARCH("@",F482)),ISNUMBER(SEARCH(".",F482))),0,1),1)=1,"Email; ","")&amp;IF(IFERROR(IF(AND(LEN(J482)=6,ISNUMBER(VALUE(J482))),0,1),1)=1,"Pincode; ","")&amp;IF(IFERROR(IF(ISNUMBER(MATCH(TRIM(I482),Lists!$A$2:$A$20,0)),0,1),1)=1,"State; ","")&amp;IF(IFERROR(IF(AND(LEN(K482)=10,VALUE(LEFT(K482,FIND("/",K482)-1))&gt;=1,VALUE(LEFT(K482,FIND("/",K482)-1))&lt;=31,VALUE(LEFT(MID(K482,FIND("/",K482)+1,10),FIND("/",MID(K482,FIND("/",K482)+1,10))-1))&gt;=1,VALUE(LEFT(MID(K482,FIND("/",K482)+1,10),FIND("/",MID(K482,FIND("/",K482)+1,10))-1))&lt;=12,VALUE(LEFT(K482,FIND("/",K482)-1))&lt;=DAY(EOMONTH(DATE(VALUE(MID(MID(K482,FIND("/",K482)+1,10),FIND("/",MID(K482,FIND("/",K482)+1,10))+1,4)),VALUE(LEFT(MID(K482,FIND("/",K482)+1,10),FIND("/",MID(K482,FIND("/",K482)+1,10))-1)),1),0))),0,1),1)=1,"Date; ","")&amp;IF(IFERROR(IF(M482&gt;=0,0,1),1)=1,"Amount; ","")&amp;IF(IFERROR(IF(ISNUMBER(MATCH(N482,Lists!$B$2:$B$7,0)),0,1),1)=1,"Payment; ","")))</f>
        <v/>
      </c>
      <c r="R482" s="3" t="str">
        <f aca="false">IF(D482="","",IF(COUNTIFS($D$2:$D$701,D482,$E$2:$E$701,E482)&gt;1,"DUPLICATE","Unique"))</f>
        <v>Unique</v>
      </c>
    </row>
    <row r="483" customFormat="false" ht="15" hidden="false" customHeight="false" outlineLevel="0" collapsed="false">
      <c r="A483" s="3" t="n">
        <v>482</v>
      </c>
      <c r="B483" s="3" t="n">
        <v>10</v>
      </c>
      <c r="C483" s="3" t="s">
        <v>3426</v>
      </c>
      <c r="D483" s="3" t="s">
        <v>3427</v>
      </c>
      <c r="E483" s="3" t="s">
        <v>3428</v>
      </c>
      <c r="F483" s="3" t="s">
        <v>3429</v>
      </c>
      <c r="G483" s="3" t="s">
        <v>3430</v>
      </c>
      <c r="H483" s="3" t="s">
        <v>819</v>
      </c>
      <c r="I483" s="3" t="s">
        <v>75</v>
      </c>
      <c r="J483" s="3" t="s">
        <v>3431</v>
      </c>
      <c r="K483" s="3" t="s">
        <v>1353</v>
      </c>
      <c r="L483" s="3" t="s">
        <v>44</v>
      </c>
      <c r="M483" s="3" t="n">
        <v>3030.14</v>
      </c>
      <c r="N483" s="3" t="s">
        <v>49</v>
      </c>
      <c r="O483" s="3" t="n">
        <f aca="false">IFERROR(LEN(C483&amp;D483&amp;E483&amp;F483&amp;G483&amp;H483&amp;I483&amp;J483&amp;K483&amp;L483&amp;M483&amp;N483)/5,0)</f>
        <v>27.2</v>
      </c>
      <c r="P483" s="3" t="str">
        <f aca="false">IF(OR(D483="",C483=""),"",IF((IFERROR(IF(AND(TRIM(D483)=D483,LEN(D483)&gt;0),0,1),1)+IFERROR(IF(AND(LEN(E483)=10,ISNUMBER(VALUE(E483))),0,1),1)+IFERROR(IF(AND(ISNUMBER(SEARCH("@",F483)),ISNUMBER(SEARCH(".",F483))),0,1),1)+IFERROR(IF(AND(LEN(J483)=6,ISNUMBER(VALUE(J483))),0,1),1)+IFERROR(IF(ISNUMBER(MATCH(TRIM(I483),Lists!$A$2:$A$20,0)),0,1),1)+IFERROR(IF(AND(LEN(K483)=10,VALUE(LEFT(K483,FIND("/",K483)-1))&gt;=1,VALUE(LEFT(K483,FIND("/",K483)-1))&lt;=31,VALUE(LEFT(MID(K483,FIND("/",K483)+1,10),FIND("/",MID(K483,FIND("/",K483)+1,10))-1))&gt;=1,VALUE(LEFT(MID(K483,FIND("/",K483)+1,10),FIND("/",MID(K483,FIND("/",K483)+1,10))-1))&lt;=12,VALUE(LEFT(K483,FIND("/",K483)-1))&lt;=DAY(EOMONTH(DATE(VALUE(MID(MID(K483,FIND("/",K483)+1,10),FIND("/",MID(K483,FIND("/",K483)+1,10))+1,4)),VALUE(LEFT(MID(K483,FIND("/",K483)+1,10),FIND("/",MID(K483,FIND("/",K483)+1,10))-1)),1),0))),0,1),1)+IFERROR(IF(M483&gt;=0,0,1),1)+IFERROR(IF(ISNUMBER(MATCH(N483,Lists!$B$2:$B$7,0)),0,1),1))=0,"OK","ERROR"))</f>
        <v>OK</v>
      </c>
      <c r="Q483" s="3" t="str">
        <f aca="false">IF(D483="","",TRIM(IF(IFERROR(IF(AND(TRIM(D483)=D483,LEN(D483)&gt;0),0,1),1)=1,"Name; ","")&amp;IF(IFERROR(IF(AND(LEN(E483)=10,ISNUMBER(VALUE(E483))),0,1),1)=1,"Phone; ","")&amp;IF(IFERROR(IF(AND(ISNUMBER(SEARCH("@",F483)),ISNUMBER(SEARCH(".",F483))),0,1),1)=1,"Email; ","")&amp;IF(IFERROR(IF(AND(LEN(J483)=6,ISNUMBER(VALUE(J483))),0,1),1)=1,"Pincode; ","")&amp;IF(IFERROR(IF(ISNUMBER(MATCH(TRIM(I483),Lists!$A$2:$A$20,0)),0,1),1)=1,"State; ","")&amp;IF(IFERROR(IF(AND(LEN(K483)=10,VALUE(LEFT(K483,FIND("/",K483)-1))&gt;=1,VALUE(LEFT(K483,FIND("/",K483)-1))&lt;=31,VALUE(LEFT(MID(K483,FIND("/",K483)+1,10),FIND("/",MID(K483,FIND("/",K483)+1,10))-1))&gt;=1,VALUE(LEFT(MID(K483,FIND("/",K483)+1,10),FIND("/",MID(K483,FIND("/",K483)+1,10))-1))&lt;=12,VALUE(LEFT(K483,FIND("/",K483)-1))&lt;=DAY(EOMONTH(DATE(VALUE(MID(MID(K483,FIND("/",K483)+1,10),FIND("/",MID(K483,FIND("/",K483)+1,10))+1,4)),VALUE(LEFT(MID(K483,FIND("/",K483)+1,10),FIND("/",MID(K483,FIND("/",K483)+1,10))-1)),1),0))),0,1),1)=1,"Date; ","")&amp;IF(IFERROR(IF(M483&gt;=0,0,1),1)=1,"Amount; ","")&amp;IF(IFERROR(IF(ISNUMBER(MATCH(N483,Lists!$B$2:$B$7,0)),0,1),1)=1,"Payment; ","")))</f>
        <v/>
      </c>
      <c r="R483" s="3" t="str">
        <f aca="false">IF(D483="","",IF(COUNTIFS($D$2:$D$701,D483,$E$2:$E$701,E483)&gt;1,"DUPLICATE","Unique"))</f>
        <v>Unique</v>
      </c>
    </row>
    <row r="484" customFormat="false" ht="15" hidden="false" customHeight="false" outlineLevel="0" collapsed="false">
      <c r="A484" s="3" t="n">
        <v>483</v>
      </c>
      <c r="B484" s="3" t="n">
        <v>10</v>
      </c>
      <c r="C484" s="3" t="s">
        <v>3432</v>
      </c>
      <c r="D484" s="3" t="s">
        <v>3433</v>
      </c>
      <c r="E484" s="3" t="s">
        <v>3434</v>
      </c>
      <c r="F484" s="3" t="s">
        <v>3435</v>
      </c>
      <c r="G484" s="3" t="s">
        <v>3436</v>
      </c>
      <c r="H484" s="3" t="s">
        <v>464</v>
      </c>
      <c r="I484" s="3" t="s">
        <v>61</v>
      </c>
      <c r="J484" s="3" t="s">
        <v>3437</v>
      </c>
      <c r="K484" s="3" t="s">
        <v>3438</v>
      </c>
      <c r="L484" s="3" t="s">
        <v>44</v>
      </c>
      <c r="M484" s="3" t="n">
        <v>10977.77</v>
      </c>
      <c r="N484" s="3" t="s">
        <v>52</v>
      </c>
      <c r="O484" s="3" t="n">
        <f aca="false">IFERROR(LEN(C484&amp;D484&amp;E484&amp;F484&amp;G484&amp;H484&amp;I484&amp;J484&amp;K484&amp;L484&amp;M484&amp;N484)/5,0)</f>
        <v>28.6</v>
      </c>
      <c r="P484" s="3" t="str">
        <f aca="false">IF(OR(D484="",C484=""),"",IF((IFERROR(IF(AND(TRIM(D484)=D484,LEN(D484)&gt;0),0,1),1)+IFERROR(IF(AND(LEN(E484)=10,ISNUMBER(VALUE(E484))),0,1),1)+IFERROR(IF(AND(ISNUMBER(SEARCH("@",F484)),ISNUMBER(SEARCH(".",F484))),0,1),1)+IFERROR(IF(AND(LEN(J484)=6,ISNUMBER(VALUE(J484))),0,1),1)+IFERROR(IF(ISNUMBER(MATCH(TRIM(I484),Lists!$A$2:$A$20,0)),0,1),1)+IFERROR(IF(AND(LEN(K484)=10,VALUE(LEFT(K484,FIND("/",K484)-1))&gt;=1,VALUE(LEFT(K484,FIND("/",K484)-1))&lt;=31,VALUE(LEFT(MID(K484,FIND("/",K484)+1,10),FIND("/",MID(K484,FIND("/",K484)+1,10))-1))&gt;=1,VALUE(LEFT(MID(K484,FIND("/",K484)+1,10),FIND("/",MID(K484,FIND("/",K484)+1,10))-1))&lt;=12,VALUE(LEFT(K484,FIND("/",K484)-1))&lt;=DAY(EOMONTH(DATE(VALUE(MID(MID(K484,FIND("/",K484)+1,10),FIND("/",MID(K484,FIND("/",K484)+1,10))+1,4)),VALUE(LEFT(MID(K484,FIND("/",K484)+1,10),FIND("/",MID(K484,FIND("/",K484)+1,10))-1)),1),0))),0,1),1)+IFERROR(IF(M484&gt;=0,0,1),1)+IFERROR(IF(ISNUMBER(MATCH(N484,Lists!$B$2:$B$7,0)),0,1),1))=0,"OK","ERROR"))</f>
        <v>OK</v>
      </c>
      <c r="Q484" s="3" t="str">
        <f aca="false">IF(D484="","",TRIM(IF(IFERROR(IF(AND(TRIM(D484)=D484,LEN(D484)&gt;0),0,1),1)=1,"Name; ","")&amp;IF(IFERROR(IF(AND(LEN(E484)=10,ISNUMBER(VALUE(E484))),0,1),1)=1,"Phone; ","")&amp;IF(IFERROR(IF(AND(ISNUMBER(SEARCH("@",F484)),ISNUMBER(SEARCH(".",F484))),0,1),1)=1,"Email; ","")&amp;IF(IFERROR(IF(AND(LEN(J484)=6,ISNUMBER(VALUE(J484))),0,1),1)=1,"Pincode; ","")&amp;IF(IFERROR(IF(ISNUMBER(MATCH(TRIM(I484),Lists!$A$2:$A$20,0)),0,1),1)=1,"State; ","")&amp;IF(IFERROR(IF(AND(LEN(K484)=10,VALUE(LEFT(K484,FIND("/",K484)-1))&gt;=1,VALUE(LEFT(K484,FIND("/",K484)-1))&lt;=31,VALUE(LEFT(MID(K484,FIND("/",K484)+1,10),FIND("/",MID(K484,FIND("/",K484)+1,10))-1))&gt;=1,VALUE(LEFT(MID(K484,FIND("/",K484)+1,10),FIND("/",MID(K484,FIND("/",K484)+1,10))-1))&lt;=12,VALUE(LEFT(K484,FIND("/",K484)-1))&lt;=DAY(EOMONTH(DATE(VALUE(MID(MID(K484,FIND("/",K484)+1,10),FIND("/",MID(K484,FIND("/",K484)+1,10))+1,4)),VALUE(LEFT(MID(K484,FIND("/",K484)+1,10),FIND("/",MID(K484,FIND("/",K484)+1,10))-1)),1),0))),0,1),1)=1,"Date; ","")&amp;IF(IFERROR(IF(M484&gt;=0,0,1),1)=1,"Amount; ","")&amp;IF(IFERROR(IF(ISNUMBER(MATCH(N484,Lists!$B$2:$B$7,0)),0,1),1)=1,"Payment; ","")))</f>
        <v/>
      </c>
      <c r="R484" s="3" t="str">
        <f aca="false">IF(D484="","",IF(COUNTIFS($D$2:$D$701,D484,$E$2:$E$701,E484)&gt;1,"DUPLICATE","Unique"))</f>
        <v>Unique</v>
      </c>
    </row>
    <row r="485" customFormat="false" ht="15" hidden="false" customHeight="false" outlineLevel="0" collapsed="false">
      <c r="A485" s="3" t="n">
        <v>484</v>
      </c>
      <c r="B485" s="3" t="n">
        <v>10</v>
      </c>
      <c r="C485" s="3" t="s">
        <v>3439</v>
      </c>
      <c r="D485" s="3" t="s">
        <v>3440</v>
      </c>
      <c r="E485" s="3" t="s">
        <v>3441</v>
      </c>
      <c r="F485" s="3" t="s">
        <v>3442</v>
      </c>
      <c r="G485" s="3" t="s">
        <v>3443</v>
      </c>
      <c r="H485" s="3" t="s">
        <v>502</v>
      </c>
      <c r="I485" s="3" t="s">
        <v>73</v>
      </c>
      <c r="J485" s="3" t="s">
        <v>3444</v>
      </c>
      <c r="K485" s="3" t="s">
        <v>3445</v>
      </c>
      <c r="L485" s="3" t="s">
        <v>56</v>
      </c>
      <c r="M485" s="3" t="n">
        <v>7559.87</v>
      </c>
      <c r="N485" s="3" t="s">
        <v>55</v>
      </c>
      <c r="O485" s="3" t="n">
        <f aca="false">IFERROR(LEN(C485&amp;D485&amp;E485&amp;F485&amp;G485&amp;H485&amp;I485&amp;J485&amp;K485&amp;L485&amp;M485&amp;N485)/5,0)</f>
        <v>28.8</v>
      </c>
      <c r="P485" s="3" t="str">
        <f aca="false">IF(OR(D485="",C485=""),"",IF((IFERROR(IF(AND(TRIM(D485)=D485,LEN(D485)&gt;0),0,1),1)+IFERROR(IF(AND(LEN(E485)=10,ISNUMBER(VALUE(E485))),0,1),1)+IFERROR(IF(AND(ISNUMBER(SEARCH("@",F485)),ISNUMBER(SEARCH(".",F485))),0,1),1)+IFERROR(IF(AND(LEN(J485)=6,ISNUMBER(VALUE(J485))),0,1),1)+IFERROR(IF(ISNUMBER(MATCH(TRIM(I485),Lists!$A$2:$A$20,0)),0,1),1)+IFERROR(IF(AND(LEN(K485)=10,VALUE(LEFT(K485,FIND("/",K485)-1))&gt;=1,VALUE(LEFT(K485,FIND("/",K485)-1))&lt;=31,VALUE(LEFT(MID(K485,FIND("/",K485)+1,10),FIND("/",MID(K485,FIND("/",K485)+1,10))-1))&gt;=1,VALUE(LEFT(MID(K485,FIND("/",K485)+1,10),FIND("/",MID(K485,FIND("/",K485)+1,10))-1))&lt;=12,VALUE(LEFT(K485,FIND("/",K485)-1))&lt;=DAY(EOMONTH(DATE(VALUE(MID(MID(K485,FIND("/",K485)+1,10),FIND("/",MID(K485,FIND("/",K485)+1,10))+1,4)),VALUE(LEFT(MID(K485,FIND("/",K485)+1,10),FIND("/",MID(K485,FIND("/",K485)+1,10))-1)),1),0))),0,1),1)+IFERROR(IF(M485&gt;=0,0,1),1)+IFERROR(IF(ISNUMBER(MATCH(N485,Lists!$B$2:$B$7,0)),0,1),1))=0,"OK","ERROR"))</f>
        <v>OK</v>
      </c>
      <c r="Q485" s="3" t="str">
        <f aca="false">IF(D485="","",TRIM(IF(IFERROR(IF(AND(TRIM(D485)=D485,LEN(D485)&gt;0),0,1),1)=1,"Name; ","")&amp;IF(IFERROR(IF(AND(LEN(E485)=10,ISNUMBER(VALUE(E485))),0,1),1)=1,"Phone; ","")&amp;IF(IFERROR(IF(AND(ISNUMBER(SEARCH("@",F485)),ISNUMBER(SEARCH(".",F485))),0,1),1)=1,"Email; ","")&amp;IF(IFERROR(IF(AND(LEN(J485)=6,ISNUMBER(VALUE(J485))),0,1),1)=1,"Pincode; ","")&amp;IF(IFERROR(IF(ISNUMBER(MATCH(TRIM(I485),Lists!$A$2:$A$20,0)),0,1),1)=1,"State; ","")&amp;IF(IFERROR(IF(AND(LEN(K485)=10,VALUE(LEFT(K485,FIND("/",K485)-1))&gt;=1,VALUE(LEFT(K485,FIND("/",K485)-1))&lt;=31,VALUE(LEFT(MID(K485,FIND("/",K485)+1,10),FIND("/",MID(K485,FIND("/",K485)+1,10))-1))&gt;=1,VALUE(LEFT(MID(K485,FIND("/",K485)+1,10),FIND("/",MID(K485,FIND("/",K485)+1,10))-1))&lt;=12,VALUE(LEFT(K485,FIND("/",K485)-1))&lt;=DAY(EOMONTH(DATE(VALUE(MID(MID(K485,FIND("/",K485)+1,10),FIND("/",MID(K485,FIND("/",K485)+1,10))+1,4)),VALUE(LEFT(MID(K485,FIND("/",K485)+1,10),FIND("/",MID(K485,FIND("/",K485)+1,10))-1)),1),0))),0,1),1)=1,"Date; ","")&amp;IF(IFERROR(IF(M485&gt;=0,0,1),1)=1,"Amount; ","")&amp;IF(IFERROR(IF(ISNUMBER(MATCH(N485,Lists!$B$2:$B$7,0)),0,1),1)=1,"Payment; ","")))</f>
        <v/>
      </c>
      <c r="R485" s="3" t="str">
        <f aca="false">IF(D485="","",IF(COUNTIFS($D$2:$D$701,D485,$E$2:$E$701,E485)&gt;1,"DUPLICATE","Unique"))</f>
        <v>Unique</v>
      </c>
    </row>
    <row r="486" customFormat="false" ht="15" hidden="false" customHeight="false" outlineLevel="0" collapsed="false">
      <c r="A486" s="3" t="n">
        <v>485</v>
      </c>
      <c r="B486" s="3" t="n">
        <v>10</v>
      </c>
      <c r="C486" s="3" t="s">
        <v>3446</v>
      </c>
      <c r="D486" s="3" t="s">
        <v>3447</v>
      </c>
      <c r="E486" s="3" t="s">
        <v>3448</v>
      </c>
      <c r="F486" s="3" t="s">
        <v>3449</v>
      </c>
      <c r="G486" s="3" t="s">
        <v>3450</v>
      </c>
      <c r="H486" s="3" t="s">
        <v>227</v>
      </c>
      <c r="I486" s="3" t="s">
        <v>77</v>
      </c>
      <c r="J486" s="3" t="s">
        <v>3451</v>
      </c>
      <c r="K486" s="3" t="s">
        <v>2913</v>
      </c>
      <c r="L486" s="3" t="s">
        <v>62</v>
      </c>
      <c r="M486" s="3" t="n">
        <v>2659.71</v>
      </c>
      <c r="N486" s="3" t="s">
        <v>49</v>
      </c>
      <c r="O486" s="3" t="n">
        <f aca="false">IFERROR(LEN(C486&amp;D486&amp;E486&amp;F486&amp;G486&amp;H486&amp;I486&amp;J486&amp;K486&amp;L486&amp;M486&amp;N486)/5,0)</f>
        <v>28.2</v>
      </c>
      <c r="P486" s="3" t="str">
        <f aca="false">IF(OR(D486="",C486=""),"",IF((IFERROR(IF(AND(TRIM(D486)=D486,LEN(D486)&gt;0),0,1),1)+IFERROR(IF(AND(LEN(E486)=10,ISNUMBER(VALUE(E486))),0,1),1)+IFERROR(IF(AND(ISNUMBER(SEARCH("@",F486)),ISNUMBER(SEARCH(".",F486))),0,1),1)+IFERROR(IF(AND(LEN(J486)=6,ISNUMBER(VALUE(J486))),0,1),1)+IFERROR(IF(ISNUMBER(MATCH(TRIM(I486),Lists!$A$2:$A$20,0)),0,1),1)+IFERROR(IF(AND(LEN(K486)=10,VALUE(LEFT(K486,FIND("/",K486)-1))&gt;=1,VALUE(LEFT(K486,FIND("/",K486)-1))&lt;=31,VALUE(LEFT(MID(K486,FIND("/",K486)+1,10),FIND("/",MID(K486,FIND("/",K486)+1,10))-1))&gt;=1,VALUE(LEFT(MID(K486,FIND("/",K486)+1,10),FIND("/",MID(K486,FIND("/",K486)+1,10))-1))&lt;=12,VALUE(LEFT(K486,FIND("/",K486)-1))&lt;=DAY(EOMONTH(DATE(VALUE(MID(MID(K486,FIND("/",K486)+1,10),FIND("/",MID(K486,FIND("/",K486)+1,10))+1,4)),VALUE(LEFT(MID(K486,FIND("/",K486)+1,10),FIND("/",MID(K486,FIND("/",K486)+1,10))-1)),1),0))),0,1),1)+IFERROR(IF(M486&gt;=0,0,1),1)+IFERROR(IF(ISNUMBER(MATCH(N486,Lists!$B$2:$B$7,0)),0,1),1))=0,"OK","ERROR"))</f>
        <v>OK</v>
      </c>
      <c r="Q486" s="3" t="str">
        <f aca="false">IF(D486="","",TRIM(IF(IFERROR(IF(AND(TRIM(D486)=D486,LEN(D486)&gt;0),0,1),1)=1,"Name; ","")&amp;IF(IFERROR(IF(AND(LEN(E486)=10,ISNUMBER(VALUE(E486))),0,1),1)=1,"Phone; ","")&amp;IF(IFERROR(IF(AND(ISNUMBER(SEARCH("@",F486)),ISNUMBER(SEARCH(".",F486))),0,1),1)=1,"Email; ","")&amp;IF(IFERROR(IF(AND(LEN(J486)=6,ISNUMBER(VALUE(J486))),0,1),1)=1,"Pincode; ","")&amp;IF(IFERROR(IF(ISNUMBER(MATCH(TRIM(I486),Lists!$A$2:$A$20,0)),0,1),1)=1,"State; ","")&amp;IF(IFERROR(IF(AND(LEN(K486)=10,VALUE(LEFT(K486,FIND("/",K486)-1))&gt;=1,VALUE(LEFT(K486,FIND("/",K486)-1))&lt;=31,VALUE(LEFT(MID(K486,FIND("/",K486)+1,10),FIND("/",MID(K486,FIND("/",K486)+1,10))-1))&gt;=1,VALUE(LEFT(MID(K486,FIND("/",K486)+1,10),FIND("/",MID(K486,FIND("/",K486)+1,10))-1))&lt;=12,VALUE(LEFT(K486,FIND("/",K486)-1))&lt;=DAY(EOMONTH(DATE(VALUE(MID(MID(K486,FIND("/",K486)+1,10),FIND("/",MID(K486,FIND("/",K486)+1,10))+1,4)),VALUE(LEFT(MID(K486,FIND("/",K486)+1,10),FIND("/",MID(K486,FIND("/",K486)+1,10))-1)),1),0))),0,1),1)=1,"Date; ","")&amp;IF(IFERROR(IF(M486&gt;=0,0,1),1)=1,"Amount; ","")&amp;IF(IFERROR(IF(ISNUMBER(MATCH(N486,Lists!$B$2:$B$7,0)),0,1),1)=1,"Payment; ","")))</f>
        <v/>
      </c>
      <c r="R486" s="3" t="str">
        <f aca="false">IF(D486="","",IF(COUNTIFS($D$2:$D$701,D486,$E$2:$E$701,E486)&gt;1,"DUPLICATE","Unique"))</f>
        <v>Unique</v>
      </c>
    </row>
    <row r="487" customFormat="false" ht="15" hidden="false" customHeight="false" outlineLevel="0" collapsed="false">
      <c r="A487" s="3" t="n">
        <v>486</v>
      </c>
      <c r="B487" s="3" t="n">
        <v>10</v>
      </c>
      <c r="C487" s="3" t="s">
        <v>3452</v>
      </c>
      <c r="D487" s="3" t="s">
        <v>3453</v>
      </c>
      <c r="E487" s="3" t="s">
        <v>3454</v>
      </c>
      <c r="F487" s="3" t="s">
        <v>3455</v>
      </c>
      <c r="G487" s="3" t="s">
        <v>3456</v>
      </c>
      <c r="H487" s="3" t="s">
        <v>480</v>
      </c>
      <c r="I487" s="3" t="s">
        <v>51</v>
      </c>
      <c r="J487" s="3" t="s">
        <v>3457</v>
      </c>
      <c r="K487" s="3" t="s">
        <v>3347</v>
      </c>
      <c r="L487" s="3" t="s">
        <v>44</v>
      </c>
      <c r="M487" s="3" t="n">
        <v>4526.7</v>
      </c>
      <c r="N487" s="3" t="s">
        <v>40</v>
      </c>
      <c r="O487" s="3" t="n">
        <f aca="false">IFERROR(LEN(C487&amp;D487&amp;E487&amp;F487&amp;G487&amp;H487&amp;I487&amp;J487&amp;K487&amp;L487&amp;M487&amp;N487)/5,0)</f>
        <v>27</v>
      </c>
      <c r="P487" s="3" t="str">
        <f aca="false">IF(OR(D487="",C487=""),"",IF((IFERROR(IF(AND(TRIM(D487)=D487,LEN(D487)&gt;0),0,1),1)+IFERROR(IF(AND(LEN(E487)=10,ISNUMBER(VALUE(E487))),0,1),1)+IFERROR(IF(AND(ISNUMBER(SEARCH("@",F487)),ISNUMBER(SEARCH(".",F487))),0,1),1)+IFERROR(IF(AND(LEN(J487)=6,ISNUMBER(VALUE(J487))),0,1),1)+IFERROR(IF(ISNUMBER(MATCH(TRIM(I487),Lists!$A$2:$A$20,0)),0,1),1)+IFERROR(IF(AND(LEN(K487)=10,VALUE(LEFT(K487,FIND("/",K487)-1))&gt;=1,VALUE(LEFT(K487,FIND("/",K487)-1))&lt;=31,VALUE(LEFT(MID(K487,FIND("/",K487)+1,10),FIND("/",MID(K487,FIND("/",K487)+1,10))-1))&gt;=1,VALUE(LEFT(MID(K487,FIND("/",K487)+1,10),FIND("/",MID(K487,FIND("/",K487)+1,10))-1))&lt;=12,VALUE(LEFT(K487,FIND("/",K487)-1))&lt;=DAY(EOMONTH(DATE(VALUE(MID(MID(K487,FIND("/",K487)+1,10),FIND("/",MID(K487,FIND("/",K487)+1,10))+1,4)),VALUE(LEFT(MID(K487,FIND("/",K487)+1,10),FIND("/",MID(K487,FIND("/",K487)+1,10))-1)),1),0))),0,1),1)+IFERROR(IF(M487&gt;=0,0,1),1)+IFERROR(IF(ISNUMBER(MATCH(N487,Lists!$B$2:$B$7,0)),0,1),1))=0,"OK","ERROR"))</f>
        <v>OK</v>
      </c>
      <c r="Q487" s="3" t="str">
        <f aca="false">IF(D487="","",TRIM(IF(IFERROR(IF(AND(TRIM(D487)=D487,LEN(D487)&gt;0),0,1),1)=1,"Name; ","")&amp;IF(IFERROR(IF(AND(LEN(E487)=10,ISNUMBER(VALUE(E487))),0,1),1)=1,"Phone; ","")&amp;IF(IFERROR(IF(AND(ISNUMBER(SEARCH("@",F487)),ISNUMBER(SEARCH(".",F487))),0,1),1)=1,"Email; ","")&amp;IF(IFERROR(IF(AND(LEN(J487)=6,ISNUMBER(VALUE(J487))),0,1),1)=1,"Pincode; ","")&amp;IF(IFERROR(IF(ISNUMBER(MATCH(TRIM(I487),Lists!$A$2:$A$20,0)),0,1),1)=1,"State; ","")&amp;IF(IFERROR(IF(AND(LEN(K487)=10,VALUE(LEFT(K487,FIND("/",K487)-1))&gt;=1,VALUE(LEFT(K487,FIND("/",K487)-1))&lt;=31,VALUE(LEFT(MID(K487,FIND("/",K487)+1,10),FIND("/",MID(K487,FIND("/",K487)+1,10))-1))&gt;=1,VALUE(LEFT(MID(K487,FIND("/",K487)+1,10),FIND("/",MID(K487,FIND("/",K487)+1,10))-1))&lt;=12,VALUE(LEFT(K487,FIND("/",K487)-1))&lt;=DAY(EOMONTH(DATE(VALUE(MID(MID(K487,FIND("/",K487)+1,10),FIND("/",MID(K487,FIND("/",K487)+1,10))+1,4)),VALUE(LEFT(MID(K487,FIND("/",K487)+1,10),FIND("/",MID(K487,FIND("/",K487)+1,10))-1)),1),0))),0,1),1)=1,"Date; ","")&amp;IF(IFERROR(IF(M487&gt;=0,0,1),1)=1,"Amount; ","")&amp;IF(IFERROR(IF(ISNUMBER(MATCH(N487,Lists!$B$2:$B$7,0)),0,1),1)=1,"Payment; ","")))</f>
        <v/>
      </c>
      <c r="R487" s="3" t="str">
        <f aca="false">IF(D487="","",IF(COUNTIFS($D$2:$D$701,D487,$E$2:$E$701,E487)&gt;1,"DUPLICATE","Unique"))</f>
        <v>Unique</v>
      </c>
    </row>
    <row r="488" customFormat="false" ht="15" hidden="false" customHeight="false" outlineLevel="0" collapsed="false">
      <c r="A488" s="3" t="n">
        <v>487</v>
      </c>
      <c r="B488" s="3" t="n">
        <v>10</v>
      </c>
      <c r="C488" s="3" t="s">
        <v>3458</v>
      </c>
      <c r="D488" s="3" t="s">
        <v>3459</v>
      </c>
      <c r="E488" s="3" t="s">
        <v>3460</v>
      </c>
      <c r="F488" s="3" t="s">
        <v>3461</v>
      </c>
      <c r="G488" s="3" t="s">
        <v>3462</v>
      </c>
      <c r="H488" s="3" t="s">
        <v>258</v>
      </c>
      <c r="I488" s="3" t="s">
        <v>63</v>
      </c>
      <c r="J488" s="3" t="s">
        <v>3463</v>
      </c>
      <c r="K488" s="3" t="s">
        <v>1284</v>
      </c>
      <c r="L488" s="3" t="s">
        <v>68</v>
      </c>
      <c r="M488" s="3" t="n">
        <v>12583.95</v>
      </c>
      <c r="N488" s="3" t="s">
        <v>55</v>
      </c>
      <c r="O488" s="3" t="n">
        <f aca="false">IFERROR(LEN(C488&amp;D488&amp;E488&amp;F488&amp;G488&amp;H488&amp;I488&amp;J488&amp;K488&amp;L488&amp;M488&amp;N488)/5,0)</f>
        <v>29</v>
      </c>
      <c r="P488" s="3" t="str">
        <f aca="false">IF(OR(D488="",C488=""),"",IF((IFERROR(IF(AND(TRIM(D488)=D488,LEN(D488)&gt;0),0,1),1)+IFERROR(IF(AND(LEN(E488)=10,ISNUMBER(VALUE(E488))),0,1),1)+IFERROR(IF(AND(ISNUMBER(SEARCH("@",F488)),ISNUMBER(SEARCH(".",F488))),0,1),1)+IFERROR(IF(AND(LEN(J488)=6,ISNUMBER(VALUE(J488))),0,1),1)+IFERROR(IF(ISNUMBER(MATCH(TRIM(I488),Lists!$A$2:$A$20,0)),0,1),1)+IFERROR(IF(AND(LEN(K488)=10,VALUE(LEFT(K488,FIND("/",K488)-1))&gt;=1,VALUE(LEFT(K488,FIND("/",K488)-1))&lt;=31,VALUE(LEFT(MID(K488,FIND("/",K488)+1,10),FIND("/",MID(K488,FIND("/",K488)+1,10))-1))&gt;=1,VALUE(LEFT(MID(K488,FIND("/",K488)+1,10),FIND("/",MID(K488,FIND("/",K488)+1,10))-1))&lt;=12,VALUE(LEFT(K488,FIND("/",K488)-1))&lt;=DAY(EOMONTH(DATE(VALUE(MID(MID(K488,FIND("/",K488)+1,10),FIND("/",MID(K488,FIND("/",K488)+1,10))+1,4)),VALUE(LEFT(MID(K488,FIND("/",K488)+1,10),FIND("/",MID(K488,FIND("/",K488)+1,10))-1)),1),0))),0,1),1)+IFERROR(IF(M488&gt;=0,0,1),1)+IFERROR(IF(ISNUMBER(MATCH(N488,Lists!$B$2:$B$7,0)),0,1),1))=0,"OK","ERROR"))</f>
        <v>OK</v>
      </c>
      <c r="Q488" s="3" t="str">
        <f aca="false">IF(D488="","",TRIM(IF(IFERROR(IF(AND(TRIM(D488)=D488,LEN(D488)&gt;0),0,1),1)=1,"Name; ","")&amp;IF(IFERROR(IF(AND(LEN(E488)=10,ISNUMBER(VALUE(E488))),0,1),1)=1,"Phone; ","")&amp;IF(IFERROR(IF(AND(ISNUMBER(SEARCH("@",F488)),ISNUMBER(SEARCH(".",F488))),0,1),1)=1,"Email; ","")&amp;IF(IFERROR(IF(AND(LEN(J488)=6,ISNUMBER(VALUE(J488))),0,1),1)=1,"Pincode; ","")&amp;IF(IFERROR(IF(ISNUMBER(MATCH(TRIM(I488),Lists!$A$2:$A$20,0)),0,1),1)=1,"State; ","")&amp;IF(IFERROR(IF(AND(LEN(K488)=10,VALUE(LEFT(K488,FIND("/",K488)-1))&gt;=1,VALUE(LEFT(K488,FIND("/",K488)-1))&lt;=31,VALUE(LEFT(MID(K488,FIND("/",K488)+1,10),FIND("/",MID(K488,FIND("/",K488)+1,10))-1))&gt;=1,VALUE(LEFT(MID(K488,FIND("/",K488)+1,10),FIND("/",MID(K488,FIND("/",K488)+1,10))-1))&lt;=12,VALUE(LEFT(K488,FIND("/",K488)-1))&lt;=DAY(EOMONTH(DATE(VALUE(MID(MID(K488,FIND("/",K488)+1,10),FIND("/",MID(K488,FIND("/",K488)+1,10))+1,4)),VALUE(LEFT(MID(K488,FIND("/",K488)+1,10),FIND("/",MID(K488,FIND("/",K488)+1,10))-1)),1),0))),0,1),1)=1,"Date; ","")&amp;IF(IFERROR(IF(M488&gt;=0,0,1),1)=1,"Amount; ","")&amp;IF(IFERROR(IF(ISNUMBER(MATCH(N488,Lists!$B$2:$B$7,0)),0,1),1)=1,"Payment; ","")))</f>
        <v/>
      </c>
      <c r="R488" s="3" t="str">
        <f aca="false">IF(D488="","",IF(COUNTIFS($D$2:$D$701,D488,$E$2:$E$701,E488)&gt;1,"DUPLICATE","Unique"))</f>
        <v>Unique</v>
      </c>
    </row>
    <row r="489" customFormat="false" ht="15" hidden="false" customHeight="false" outlineLevel="0" collapsed="false">
      <c r="A489" s="3" t="n">
        <v>488</v>
      </c>
      <c r="B489" s="3" t="n">
        <v>10</v>
      </c>
      <c r="C489" s="3" t="s">
        <v>3464</v>
      </c>
      <c r="D489" s="3" t="s">
        <v>3465</v>
      </c>
      <c r="E489" s="3" t="s">
        <v>3466</v>
      </c>
      <c r="F489" s="3" t="s">
        <v>3467</v>
      </c>
      <c r="G489" s="3" t="s">
        <v>3468</v>
      </c>
      <c r="H489" s="3" t="s">
        <v>540</v>
      </c>
      <c r="I489" s="3" t="s">
        <v>71</v>
      </c>
      <c r="J489" s="3" t="s">
        <v>3469</v>
      </c>
      <c r="K489" s="3" t="s">
        <v>2071</v>
      </c>
      <c r="L489" s="3" t="s">
        <v>44</v>
      </c>
      <c r="M489" s="3" t="n">
        <v>12712.87</v>
      </c>
      <c r="N489" s="3" t="s">
        <v>55</v>
      </c>
      <c r="O489" s="3" t="n">
        <f aca="false">IFERROR(LEN(C489&amp;D489&amp;E489&amp;F489&amp;G489&amp;H489&amp;I489&amp;J489&amp;K489&amp;L489&amp;M489&amp;N489)/5,0)</f>
        <v>27.8</v>
      </c>
      <c r="P489" s="3" t="str">
        <f aca="false">IF(OR(D489="",C489=""),"",IF((IFERROR(IF(AND(TRIM(D489)=D489,LEN(D489)&gt;0),0,1),1)+IFERROR(IF(AND(LEN(E489)=10,ISNUMBER(VALUE(E489))),0,1),1)+IFERROR(IF(AND(ISNUMBER(SEARCH("@",F489)),ISNUMBER(SEARCH(".",F489))),0,1),1)+IFERROR(IF(AND(LEN(J489)=6,ISNUMBER(VALUE(J489))),0,1),1)+IFERROR(IF(ISNUMBER(MATCH(TRIM(I489),Lists!$A$2:$A$20,0)),0,1),1)+IFERROR(IF(AND(LEN(K489)=10,VALUE(LEFT(K489,FIND("/",K489)-1))&gt;=1,VALUE(LEFT(K489,FIND("/",K489)-1))&lt;=31,VALUE(LEFT(MID(K489,FIND("/",K489)+1,10),FIND("/",MID(K489,FIND("/",K489)+1,10))-1))&gt;=1,VALUE(LEFT(MID(K489,FIND("/",K489)+1,10),FIND("/",MID(K489,FIND("/",K489)+1,10))-1))&lt;=12,VALUE(LEFT(K489,FIND("/",K489)-1))&lt;=DAY(EOMONTH(DATE(VALUE(MID(MID(K489,FIND("/",K489)+1,10),FIND("/",MID(K489,FIND("/",K489)+1,10))+1,4)),VALUE(LEFT(MID(K489,FIND("/",K489)+1,10),FIND("/",MID(K489,FIND("/",K489)+1,10))-1)),1),0))),0,1),1)+IFERROR(IF(M489&gt;=0,0,1),1)+IFERROR(IF(ISNUMBER(MATCH(N489,Lists!$B$2:$B$7,0)),0,1),1))=0,"OK","ERROR"))</f>
        <v>OK</v>
      </c>
      <c r="Q489" s="3" t="str">
        <f aca="false">IF(D489="","",TRIM(IF(IFERROR(IF(AND(TRIM(D489)=D489,LEN(D489)&gt;0),0,1),1)=1,"Name; ","")&amp;IF(IFERROR(IF(AND(LEN(E489)=10,ISNUMBER(VALUE(E489))),0,1),1)=1,"Phone; ","")&amp;IF(IFERROR(IF(AND(ISNUMBER(SEARCH("@",F489)),ISNUMBER(SEARCH(".",F489))),0,1),1)=1,"Email; ","")&amp;IF(IFERROR(IF(AND(LEN(J489)=6,ISNUMBER(VALUE(J489))),0,1),1)=1,"Pincode; ","")&amp;IF(IFERROR(IF(ISNUMBER(MATCH(TRIM(I489),Lists!$A$2:$A$20,0)),0,1),1)=1,"State; ","")&amp;IF(IFERROR(IF(AND(LEN(K489)=10,VALUE(LEFT(K489,FIND("/",K489)-1))&gt;=1,VALUE(LEFT(K489,FIND("/",K489)-1))&lt;=31,VALUE(LEFT(MID(K489,FIND("/",K489)+1,10),FIND("/",MID(K489,FIND("/",K489)+1,10))-1))&gt;=1,VALUE(LEFT(MID(K489,FIND("/",K489)+1,10),FIND("/",MID(K489,FIND("/",K489)+1,10))-1))&lt;=12,VALUE(LEFT(K489,FIND("/",K489)-1))&lt;=DAY(EOMONTH(DATE(VALUE(MID(MID(K489,FIND("/",K489)+1,10),FIND("/",MID(K489,FIND("/",K489)+1,10))+1,4)),VALUE(LEFT(MID(K489,FIND("/",K489)+1,10),FIND("/",MID(K489,FIND("/",K489)+1,10))-1)),1),0))),0,1),1)=1,"Date; ","")&amp;IF(IFERROR(IF(M489&gt;=0,0,1),1)=1,"Amount; ","")&amp;IF(IFERROR(IF(ISNUMBER(MATCH(N489,Lists!$B$2:$B$7,0)),0,1),1)=1,"Payment; ","")))</f>
        <v/>
      </c>
      <c r="R489" s="3" t="str">
        <f aca="false">IF(D489="","",IF(COUNTIFS($D$2:$D$701,D489,$E$2:$E$701,E489)&gt;1,"DUPLICATE","Unique"))</f>
        <v>Unique</v>
      </c>
    </row>
    <row r="490" customFormat="false" ht="15" hidden="false" customHeight="false" outlineLevel="0" collapsed="false">
      <c r="A490" s="3" t="n">
        <v>489</v>
      </c>
      <c r="B490" s="3" t="n">
        <v>10</v>
      </c>
      <c r="C490" s="3" t="s">
        <v>3470</v>
      </c>
      <c r="D490" s="3" t="s">
        <v>3471</v>
      </c>
      <c r="E490" s="3" t="s">
        <v>3472</v>
      </c>
      <c r="F490" s="3" t="s">
        <v>3473</v>
      </c>
      <c r="G490" s="3" t="s">
        <v>3474</v>
      </c>
      <c r="H490" s="3" t="s">
        <v>540</v>
      </c>
      <c r="I490" s="3" t="s">
        <v>71</v>
      </c>
      <c r="J490" s="3" t="s">
        <v>3475</v>
      </c>
      <c r="K490" s="3" t="s">
        <v>3476</v>
      </c>
      <c r="L490" s="3" t="s">
        <v>50</v>
      </c>
      <c r="M490" s="3" t="n">
        <v>15552.56</v>
      </c>
      <c r="N490" s="3" t="s">
        <v>52</v>
      </c>
      <c r="O490" s="3" t="n">
        <f aca="false">IFERROR(LEN(C490&amp;D490&amp;E490&amp;F490&amp;G490&amp;H490&amp;I490&amp;J490&amp;K490&amp;L490&amp;M490&amp;N490)/5,0)</f>
        <v>26.8</v>
      </c>
      <c r="P490" s="3" t="str">
        <f aca="false">IF(OR(D490="",C490=""),"",IF((IFERROR(IF(AND(TRIM(D490)=D490,LEN(D490)&gt;0),0,1),1)+IFERROR(IF(AND(LEN(E490)=10,ISNUMBER(VALUE(E490))),0,1),1)+IFERROR(IF(AND(ISNUMBER(SEARCH("@",F490)),ISNUMBER(SEARCH(".",F490))),0,1),1)+IFERROR(IF(AND(LEN(J490)=6,ISNUMBER(VALUE(J490))),0,1),1)+IFERROR(IF(ISNUMBER(MATCH(TRIM(I490),Lists!$A$2:$A$20,0)),0,1),1)+IFERROR(IF(AND(LEN(K490)=10,VALUE(LEFT(K490,FIND("/",K490)-1))&gt;=1,VALUE(LEFT(K490,FIND("/",K490)-1))&lt;=31,VALUE(LEFT(MID(K490,FIND("/",K490)+1,10),FIND("/",MID(K490,FIND("/",K490)+1,10))-1))&gt;=1,VALUE(LEFT(MID(K490,FIND("/",K490)+1,10),FIND("/",MID(K490,FIND("/",K490)+1,10))-1))&lt;=12,VALUE(LEFT(K490,FIND("/",K490)-1))&lt;=DAY(EOMONTH(DATE(VALUE(MID(MID(K490,FIND("/",K490)+1,10),FIND("/",MID(K490,FIND("/",K490)+1,10))+1,4)),VALUE(LEFT(MID(K490,FIND("/",K490)+1,10),FIND("/",MID(K490,FIND("/",K490)+1,10))-1)),1),0))),0,1),1)+IFERROR(IF(M490&gt;=0,0,1),1)+IFERROR(IF(ISNUMBER(MATCH(N490,Lists!$B$2:$B$7,0)),0,1),1))=0,"OK","ERROR"))</f>
        <v>OK</v>
      </c>
      <c r="Q490" s="3" t="str">
        <f aca="false">IF(D490="","",TRIM(IF(IFERROR(IF(AND(TRIM(D490)=D490,LEN(D490)&gt;0),0,1),1)=1,"Name; ","")&amp;IF(IFERROR(IF(AND(LEN(E490)=10,ISNUMBER(VALUE(E490))),0,1),1)=1,"Phone; ","")&amp;IF(IFERROR(IF(AND(ISNUMBER(SEARCH("@",F490)),ISNUMBER(SEARCH(".",F490))),0,1),1)=1,"Email; ","")&amp;IF(IFERROR(IF(AND(LEN(J490)=6,ISNUMBER(VALUE(J490))),0,1),1)=1,"Pincode; ","")&amp;IF(IFERROR(IF(ISNUMBER(MATCH(TRIM(I490),Lists!$A$2:$A$20,0)),0,1),1)=1,"State; ","")&amp;IF(IFERROR(IF(AND(LEN(K490)=10,VALUE(LEFT(K490,FIND("/",K490)-1))&gt;=1,VALUE(LEFT(K490,FIND("/",K490)-1))&lt;=31,VALUE(LEFT(MID(K490,FIND("/",K490)+1,10),FIND("/",MID(K490,FIND("/",K490)+1,10))-1))&gt;=1,VALUE(LEFT(MID(K490,FIND("/",K490)+1,10),FIND("/",MID(K490,FIND("/",K490)+1,10))-1))&lt;=12,VALUE(LEFT(K490,FIND("/",K490)-1))&lt;=DAY(EOMONTH(DATE(VALUE(MID(MID(K490,FIND("/",K490)+1,10),FIND("/",MID(K490,FIND("/",K490)+1,10))+1,4)),VALUE(LEFT(MID(K490,FIND("/",K490)+1,10),FIND("/",MID(K490,FIND("/",K490)+1,10))-1)),1),0))),0,1),1)=1,"Date; ","")&amp;IF(IFERROR(IF(M490&gt;=0,0,1),1)=1,"Amount; ","")&amp;IF(IFERROR(IF(ISNUMBER(MATCH(N490,Lists!$B$2:$B$7,0)),0,1),1)=1,"Payment; ","")))</f>
        <v/>
      </c>
      <c r="R490" s="3" t="str">
        <f aca="false">IF(D490="","",IF(COUNTIFS($D$2:$D$701,D490,$E$2:$E$701,E490)&gt;1,"DUPLICATE","Unique"))</f>
        <v>Unique</v>
      </c>
    </row>
    <row r="491" customFormat="false" ht="15" hidden="false" customHeight="false" outlineLevel="0" collapsed="false">
      <c r="A491" s="3" t="n">
        <v>490</v>
      </c>
      <c r="B491" s="3" t="n">
        <v>10</v>
      </c>
      <c r="C491" s="3" t="s">
        <v>3477</v>
      </c>
      <c r="D491" s="3" t="s">
        <v>3478</v>
      </c>
      <c r="E491" s="3" t="s">
        <v>3479</v>
      </c>
      <c r="F491" s="3" t="s">
        <v>3480</v>
      </c>
      <c r="G491" s="3" t="s">
        <v>3481</v>
      </c>
      <c r="H491" s="3" t="s">
        <v>2577</v>
      </c>
      <c r="I491" s="3" t="s">
        <v>39</v>
      </c>
      <c r="J491" s="3" t="s">
        <v>3482</v>
      </c>
      <c r="K491" s="3" t="s">
        <v>3483</v>
      </c>
      <c r="L491" s="3" t="s">
        <v>58</v>
      </c>
      <c r="M491" s="3" t="n">
        <v>6094.32</v>
      </c>
      <c r="N491" s="3" t="s">
        <v>52</v>
      </c>
      <c r="O491" s="3" t="n">
        <f aca="false">IFERROR(LEN(C491&amp;D491&amp;E491&amp;F491&amp;G491&amp;H491&amp;I491&amp;J491&amp;K491&amp;L491&amp;M491&amp;N491)/5,0)</f>
        <v>26.6</v>
      </c>
      <c r="P491" s="3" t="str">
        <f aca="false">IF(OR(D491="",C491=""),"",IF((IFERROR(IF(AND(TRIM(D491)=D491,LEN(D491)&gt;0),0,1),1)+IFERROR(IF(AND(LEN(E491)=10,ISNUMBER(VALUE(E491))),0,1),1)+IFERROR(IF(AND(ISNUMBER(SEARCH("@",F491)),ISNUMBER(SEARCH(".",F491))),0,1),1)+IFERROR(IF(AND(LEN(J491)=6,ISNUMBER(VALUE(J491))),0,1),1)+IFERROR(IF(ISNUMBER(MATCH(TRIM(I491),Lists!$A$2:$A$20,0)),0,1),1)+IFERROR(IF(AND(LEN(K491)=10,VALUE(LEFT(K491,FIND("/",K491)-1))&gt;=1,VALUE(LEFT(K491,FIND("/",K491)-1))&lt;=31,VALUE(LEFT(MID(K491,FIND("/",K491)+1,10),FIND("/",MID(K491,FIND("/",K491)+1,10))-1))&gt;=1,VALUE(LEFT(MID(K491,FIND("/",K491)+1,10),FIND("/",MID(K491,FIND("/",K491)+1,10))-1))&lt;=12,VALUE(LEFT(K491,FIND("/",K491)-1))&lt;=DAY(EOMONTH(DATE(VALUE(MID(MID(K491,FIND("/",K491)+1,10),FIND("/",MID(K491,FIND("/",K491)+1,10))+1,4)),VALUE(LEFT(MID(K491,FIND("/",K491)+1,10),FIND("/",MID(K491,FIND("/",K491)+1,10))-1)),1),0))),0,1),1)+IFERROR(IF(M491&gt;=0,0,1),1)+IFERROR(IF(ISNUMBER(MATCH(N491,Lists!$B$2:$B$7,0)),0,1),1))=0,"OK","ERROR"))</f>
        <v>OK</v>
      </c>
      <c r="Q491" s="3" t="str">
        <f aca="false">IF(D491="","",TRIM(IF(IFERROR(IF(AND(TRIM(D491)=D491,LEN(D491)&gt;0),0,1),1)=1,"Name; ","")&amp;IF(IFERROR(IF(AND(LEN(E491)=10,ISNUMBER(VALUE(E491))),0,1),1)=1,"Phone; ","")&amp;IF(IFERROR(IF(AND(ISNUMBER(SEARCH("@",F491)),ISNUMBER(SEARCH(".",F491))),0,1),1)=1,"Email; ","")&amp;IF(IFERROR(IF(AND(LEN(J491)=6,ISNUMBER(VALUE(J491))),0,1),1)=1,"Pincode; ","")&amp;IF(IFERROR(IF(ISNUMBER(MATCH(TRIM(I491),Lists!$A$2:$A$20,0)),0,1),1)=1,"State; ","")&amp;IF(IFERROR(IF(AND(LEN(K491)=10,VALUE(LEFT(K491,FIND("/",K491)-1))&gt;=1,VALUE(LEFT(K491,FIND("/",K491)-1))&lt;=31,VALUE(LEFT(MID(K491,FIND("/",K491)+1,10),FIND("/",MID(K491,FIND("/",K491)+1,10))-1))&gt;=1,VALUE(LEFT(MID(K491,FIND("/",K491)+1,10),FIND("/",MID(K491,FIND("/",K491)+1,10))-1))&lt;=12,VALUE(LEFT(K491,FIND("/",K491)-1))&lt;=DAY(EOMONTH(DATE(VALUE(MID(MID(K491,FIND("/",K491)+1,10),FIND("/",MID(K491,FIND("/",K491)+1,10))+1,4)),VALUE(LEFT(MID(K491,FIND("/",K491)+1,10),FIND("/",MID(K491,FIND("/",K491)+1,10))-1)),1),0))),0,1),1)=1,"Date; ","")&amp;IF(IFERROR(IF(M491&gt;=0,0,1),1)=1,"Amount; ","")&amp;IF(IFERROR(IF(ISNUMBER(MATCH(N491,Lists!$B$2:$B$7,0)),0,1),1)=1,"Payment; ","")))</f>
        <v/>
      </c>
      <c r="R491" s="3" t="str">
        <f aca="false">IF(D491="","",IF(COUNTIFS($D$2:$D$701,D491,$E$2:$E$701,E491)&gt;1,"DUPLICATE","Unique"))</f>
        <v>Unique</v>
      </c>
    </row>
    <row r="492" customFormat="false" ht="15" hidden="false" customHeight="false" outlineLevel="0" collapsed="false">
      <c r="A492" s="3" t="n">
        <v>491</v>
      </c>
      <c r="B492" s="3" t="n">
        <v>10</v>
      </c>
      <c r="C492" s="3" t="s">
        <v>3484</v>
      </c>
      <c r="D492" s="3" t="s">
        <v>3485</v>
      </c>
      <c r="E492" s="3" t="s">
        <v>3486</v>
      </c>
      <c r="F492" s="3" t="s">
        <v>3487</v>
      </c>
      <c r="G492" s="3" t="s">
        <v>3488</v>
      </c>
      <c r="H492" s="3" t="s">
        <v>3489</v>
      </c>
      <c r="I492" s="3" t="s">
        <v>54</v>
      </c>
      <c r="J492" s="3" t="s">
        <v>3490</v>
      </c>
      <c r="K492" s="3" t="s">
        <v>3491</v>
      </c>
      <c r="L492" s="3" t="s">
        <v>64</v>
      </c>
      <c r="M492" s="3" t="n">
        <v>12931.76</v>
      </c>
      <c r="N492" s="3" t="s">
        <v>55</v>
      </c>
      <c r="O492" s="3" t="n">
        <f aca="false">IFERROR(LEN(C492&amp;D492&amp;E492&amp;F492&amp;G492&amp;H492&amp;I492&amp;J492&amp;K492&amp;L492&amp;M492&amp;N492)/5,0)</f>
        <v>27.8</v>
      </c>
      <c r="P492" s="3" t="str">
        <f aca="false">IF(OR(D492="",C492=""),"",IF((IFERROR(IF(AND(TRIM(D492)=D492,LEN(D492)&gt;0),0,1),1)+IFERROR(IF(AND(LEN(E492)=10,ISNUMBER(VALUE(E492))),0,1),1)+IFERROR(IF(AND(ISNUMBER(SEARCH("@",F492)),ISNUMBER(SEARCH(".",F492))),0,1),1)+IFERROR(IF(AND(LEN(J492)=6,ISNUMBER(VALUE(J492))),0,1),1)+IFERROR(IF(ISNUMBER(MATCH(TRIM(I492),Lists!$A$2:$A$20,0)),0,1),1)+IFERROR(IF(AND(LEN(K492)=10,VALUE(LEFT(K492,FIND("/",K492)-1))&gt;=1,VALUE(LEFT(K492,FIND("/",K492)-1))&lt;=31,VALUE(LEFT(MID(K492,FIND("/",K492)+1,10),FIND("/",MID(K492,FIND("/",K492)+1,10))-1))&gt;=1,VALUE(LEFT(MID(K492,FIND("/",K492)+1,10),FIND("/",MID(K492,FIND("/",K492)+1,10))-1))&lt;=12,VALUE(LEFT(K492,FIND("/",K492)-1))&lt;=DAY(EOMONTH(DATE(VALUE(MID(MID(K492,FIND("/",K492)+1,10),FIND("/",MID(K492,FIND("/",K492)+1,10))+1,4)),VALUE(LEFT(MID(K492,FIND("/",K492)+1,10),FIND("/",MID(K492,FIND("/",K492)+1,10))-1)),1),0))),0,1),1)+IFERROR(IF(M492&gt;=0,0,1),1)+IFERROR(IF(ISNUMBER(MATCH(N492,Lists!$B$2:$B$7,0)),0,1),1))=0,"OK","ERROR"))</f>
        <v>OK</v>
      </c>
      <c r="Q492" s="3" t="str">
        <f aca="false">IF(D492="","",TRIM(IF(IFERROR(IF(AND(TRIM(D492)=D492,LEN(D492)&gt;0),0,1),1)=1,"Name; ","")&amp;IF(IFERROR(IF(AND(LEN(E492)=10,ISNUMBER(VALUE(E492))),0,1),1)=1,"Phone; ","")&amp;IF(IFERROR(IF(AND(ISNUMBER(SEARCH("@",F492)),ISNUMBER(SEARCH(".",F492))),0,1),1)=1,"Email; ","")&amp;IF(IFERROR(IF(AND(LEN(J492)=6,ISNUMBER(VALUE(J492))),0,1),1)=1,"Pincode; ","")&amp;IF(IFERROR(IF(ISNUMBER(MATCH(TRIM(I492),Lists!$A$2:$A$20,0)),0,1),1)=1,"State; ","")&amp;IF(IFERROR(IF(AND(LEN(K492)=10,VALUE(LEFT(K492,FIND("/",K492)-1))&gt;=1,VALUE(LEFT(K492,FIND("/",K492)-1))&lt;=31,VALUE(LEFT(MID(K492,FIND("/",K492)+1,10),FIND("/",MID(K492,FIND("/",K492)+1,10))-1))&gt;=1,VALUE(LEFT(MID(K492,FIND("/",K492)+1,10),FIND("/",MID(K492,FIND("/",K492)+1,10))-1))&lt;=12,VALUE(LEFT(K492,FIND("/",K492)-1))&lt;=DAY(EOMONTH(DATE(VALUE(MID(MID(K492,FIND("/",K492)+1,10),FIND("/",MID(K492,FIND("/",K492)+1,10))+1,4)),VALUE(LEFT(MID(K492,FIND("/",K492)+1,10),FIND("/",MID(K492,FIND("/",K492)+1,10))-1)),1),0))),0,1),1)=1,"Date; ","")&amp;IF(IFERROR(IF(M492&gt;=0,0,1),1)=1,"Amount; ","")&amp;IF(IFERROR(IF(ISNUMBER(MATCH(N492,Lists!$B$2:$B$7,0)),0,1),1)=1,"Payment; ","")))</f>
        <v/>
      </c>
      <c r="R492" s="3" t="str">
        <f aca="false">IF(D492="","",IF(COUNTIFS($D$2:$D$701,D492,$E$2:$E$701,E492)&gt;1,"DUPLICATE","Unique"))</f>
        <v>Unique</v>
      </c>
    </row>
    <row r="493" customFormat="false" ht="15" hidden="false" customHeight="false" outlineLevel="0" collapsed="false">
      <c r="A493" s="3" t="n">
        <v>492</v>
      </c>
      <c r="B493" s="3" t="n">
        <v>10</v>
      </c>
      <c r="C493" s="3" t="s">
        <v>3492</v>
      </c>
      <c r="D493" s="3" t="s">
        <v>3493</v>
      </c>
      <c r="E493" s="3" t="s">
        <v>3494</v>
      </c>
      <c r="F493" s="3" t="s">
        <v>3495</v>
      </c>
      <c r="G493" s="3" t="s">
        <v>3496</v>
      </c>
      <c r="H493" s="3" t="s">
        <v>165</v>
      </c>
      <c r="I493" s="3" t="s">
        <v>63</v>
      </c>
      <c r="J493" s="3" t="s">
        <v>3497</v>
      </c>
      <c r="K493" s="3" t="s">
        <v>3498</v>
      </c>
      <c r="L493" s="3" t="s">
        <v>74</v>
      </c>
      <c r="M493" s="3" t="n">
        <v>10606.17</v>
      </c>
      <c r="N493" s="3" t="s">
        <v>46</v>
      </c>
      <c r="O493" s="3" t="n">
        <f aca="false">IFERROR(LEN(C493&amp;D493&amp;E493&amp;F493&amp;G493&amp;H493&amp;I493&amp;J493&amp;K493&amp;L493&amp;M493&amp;N493)/5,0)</f>
        <v>26.4</v>
      </c>
      <c r="P493" s="3" t="str">
        <f aca="false">IF(OR(D493="",C493=""),"",IF((IFERROR(IF(AND(TRIM(D493)=D493,LEN(D493)&gt;0),0,1),1)+IFERROR(IF(AND(LEN(E493)=10,ISNUMBER(VALUE(E493))),0,1),1)+IFERROR(IF(AND(ISNUMBER(SEARCH("@",F493)),ISNUMBER(SEARCH(".",F493))),0,1),1)+IFERROR(IF(AND(LEN(J493)=6,ISNUMBER(VALUE(J493))),0,1),1)+IFERROR(IF(ISNUMBER(MATCH(TRIM(I493),Lists!$A$2:$A$20,0)),0,1),1)+IFERROR(IF(AND(LEN(K493)=10,VALUE(LEFT(K493,FIND("/",K493)-1))&gt;=1,VALUE(LEFT(K493,FIND("/",K493)-1))&lt;=31,VALUE(LEFT(MID(K493,FIND("/",K493)+1,10),FIND("/",MID(K493,FIND("/",K493)+1,10))-1))&gt;=1,VALUE(LEFT(MID(K493,FIND("/",K493)+1,10),FIND("/",MID(K493,FIND("/",K493)+1,10))-1))&lt;=12,VALUE(LEFT(K493,FIND("/",K493)-1))&lt;=DAY(EOMONTH(DATE(VALUE(MID(MID(K493,FIND("/",K493)+1,10),FIND("/",MID(K493,FIND("/",K493)+1,10))+1,4)),VALUE(LEFT(MID(K493,FIND("/",K493)+1,10),FIND("/",MID(K493,FIND("/",K493)+1,10))-1)),1),0))),0,1),1)+IFERROR(IF(M493&gt;=0,0,1),1)+IFERROR(IF(ISNUMBER(MATCH(N493,Lists!$B$2:$B$7,0)),0,1),1))=0,"OK","ERROR"))</f>
        <v>OK</v>
      </c>
      <c r="Q493" s="3" t="str">
        <f aca="false">IF(D493="","",TRIM(IF(IFERROR(IF(AND(TRIM(D493)=D493,LEN(D493)&gt;0),0,1),1)=1,"Name; ","")&amp;IF(IFERROR(IF(AND(LEN(E493)=10,ISNUMBER(VALUE(E493))),0,1),1)=1,"Phone; ","")&amp;IF(IFERROR(IF(AND(ISNUMBER(SEARCH("@",F493)),ISNUMBER(SEARCH(".",F493))),0,1),1)=1,"Email; ","")&amp;IF(IFERROR(IF(AND(LEN(J493)=6,ISNUMBER(VALUE(J493))),0,1),1)=1,"Pincode; ","")&amp;IF(IFERROR(IF(ISNUMBER(MATCH(TRIM(I493),Lists!$A$2:$A$20,0)),0,1),1)=1,"State; ","")&amp;IF(IFERROR(IF(AND(LEN(K493)=10,VALUE(LEFT(K493,FIND("/",K493)-1))&gt;=1,VALUE(LEFT(K493,FIND("/",K493)-1))&lt;=31,VALUE(LEFT(MID(K493,FIND("/",K493)+1,10),FIND("/",MID(K493,FIND("/",K493)+1,10))-1))&gt;=1,VALUE(LEFT(MID(K493,FIND("/",K493)+1,10),FIND("/",MID(K493,FIND("/",K493)+1,10))-1))&lt;=12,VALUE(LEFT(K493,FIND("/",K493)-1))&lt;=DAY(EOMONTH(DATE(VALUE(MID(MID(K493,FIND("/",K493)+1,10),FIND("/",MID(K493,FIND("/",K493)+1,10))+1,4)),VALUE(LEFT(MID(K493,FIND("/",K493)+1,10),FIND("/",MID(K493,FIND("/",K493)+1,10))-1)),1),0))),0,1),1)=1,"Date; ","")&amp;IF(IFERROR(IF(M493&gt;=0,0,1),1)=1,"Amount; ","")&amp;IF(IFERROR(IF(ISNUMBER(MATCH(N493,Lists!$B$2:$B$7,0)),0,1),1)=1,"Payment; ","")))</f>
        <v/>
      </c>
      <c r="R493" s="3" t="str">
        <f aca="false">IF(D493="","",IF(COUNTIFS($D$2:$D$701,D493,$E$2:$E$701,E493)&gt;1,"DUPLICATE","Unique"))</f>
        <v>Unique</v>
      </c>
    </row>
    <row r="494" customFormat="false" ht="15" hidden="false" customHeight="false" outlineLevel="0" collapsed="false">
      <c r="A494" s="3" t="n">
        <v>493</v>
      </c>
      <c r="B494" s="3" t="n">
        <v>10</v>
      </c>
      <c r="C494" s="3" t="s">
        <v>3499</v>
      </c>
      <c r="D494" s="3" t="s">
        <v>3500</v>
      </c>
      <c r="E494" s="3" t="s">
        <v>3501</v>
      </c>
      <c r="F494" s="3" t="s">
        <v>3502</v>
      </c>
      <c r="G494" s="3" t="s">
        <v>3503</v>
      </c>
      <c r="H494" s="3" t="s">
        <v>235</v>
      </c>
      <c r="I494" s="3" t="s">
        <v>71</v>
      </c>
      <c r="J494" s="3" t="s">
        <v>3504</v>
      </c>
      <c r="K494" s="3" t="s">
        <v>3505</v>
      </c>
      <c r="L494" s="3" t="s">
        <v>66</v>
      </c>
      <c r="M494" s="3" t="n">
        <v>6413.42</v>
      </c>
      <c r="N494" s="3" t="s">
        <v>40</v>
      </c>
      <c r="O494" s="3" t="n">
        <f aca="false">IFERROR(LEN(C494&amp;D494&amp;E494&amp;F494&amp;G494&amp;H494&amp;I494&amp;J494&amp;K494&amp;L494&amp;M494&amp;N494)/5,0)</f>
        <v>26.2</v>
      </c>
      <c r="P494" s="3" t="str">
        <f aca="false">IF(OR(D494="",C494=""),"",IF((IFERROR(IF(AND(TRIM(D494)=D494,LEN(D494)&gt;0),0,1),1)+IFERROR(IF(AND(LEN(E494)=10,ISNUMBER(VALUE(E494))),0,1),1)+IFERROR(IF(AND(ISNUMBER(SEARCH("@",F494)),ISNUMBER(SEARCH(".",F494))),0,1),1)+IFERROR(IF(AND(LEN(J494)=6,ISNUMBER(VALUE(J494))),0,1),1)+IFERROR(IF(ISNUMBER(MATCH(TRIM(I494),Lists!$A$2:$A$20,0)),0,1),1)+IFERROR(IF(AND(LEN(K494)=10,VALUE(LEFT(K494,FIND("/",K494)-1))&gt;=1,VALUE(LEFT(K494,FIND("/",K494)-1))&lt;=31,VALUE(LEFT(MID(K494,FIND("/",K494)+1,10),FIND("/",MID(K494,FIND("/",K494)+1,10))-1))&gt;=1,VALUE(LEFT(MID(K494,FIND("/",K494)+1,10),FIND("/",MID(K494,FIND("/",K494)+1,10))-1))&lt;=12,VALUE(LEFT(K494,FIND("/",K494)-1))&lt;=DAY(EOMONTH(DATE(VALUE(MID(MID(K494,FIND("/",K494)+1,10),FIND("/",MID(K494,FIND("/",K494)+1,10))+1,4)),VALUE(LEFT(MID(K494,FIND("/",K494)+1,10),FIND("/",MID(K494,FIND("/",K494)+1,10))-1)),1),0))),0,1),1)+IFERROR(IF(M494&gt;=0,0,1),1)+IFERROR(IF(ISNUMBER(MATCH(N494,Lists!$B$2:$B$7,0)),0,1),1))=0,"OK","ERROR"))</f>
        <v>OK</v>
      </c>
      <c r="Q494" s="3" t="str">
        <f aca="false">IF(D494="","",TRIM(IF(IFERROR(IF(AND(TRIM(D494)=D494,LEN(D494)&gt;0),0,1),1)=1,"Name; ","")&amp;IF(IFERROR(IF(AND(LEN(E494)=10,ISNUMBER(VALUE(E494))),0,1),1)=1,"Phone; ","")&amp;IF(IFERROR(IF(AND(ISNUMBER(SEARCH("@",F494)),ISNUMBER(SEARCH(".",F494))),0,1),1)=1,"Email; ","")&amp;IF(IFERROR(IF(AND(LEN(J494)=6,ISNUMBER(VALUE(J494))),0,1),1)=1,"Pincode; ","")&amp;IF(IFERROR(IF(ISNUMBER(MATCH(TRIM(I494),Lists!$A$2:$A$20,0)),0,1),1)=1,"State; ","")&amp;IF(IFERROR(IF(AND(LEN(K494)=10,VALUE(LEFT(K494,FIND("/",K494)-1))&gt;=1,VALUE(LEFT(K494,FIND("/",K494)-1))&lt;=31,VALUE(LEFT(MID(K494,FIND("/",K494)+1,10),FIND("/",MID(K494,FIND("/",K494)+1,10))-1))&gt;=1,VALUE(LEFT(MID(K494,FIND("/",K494)+1,10),FIND("/",MID(K494,FIND("/",K494)+1,10))-1))&lt;=12,VALUE(LEFT(K494,FIND("/",K494)-1))&lt;=DAY(EOMONTH(DATE(VALUE(MID(MID(K494,FIND("/",K494)+1,10),FIND("/",MID(K494,FIND("/",K494)+1,10))+1,4)),VALUE(LEFT(MID(K494,FIND("/",K494)+1,10),FIND("/",MID(K494,FIND("/",K494)+1,10))-1)),1),0))),0,1),1)=1,"Date; ","")&amp;IF(IFERROR(IF(M494&gt;=0,0,1),1)=1,"Amount; ","")&amp;IF(IFERROR(IF(ISNUMBER(MATCH(N494,Lists!$B$2:$B$7,0)),0,1),1)=1,"Payment; ","")))</f>
        <v/>
      </c>
      <c r="R494" s="3" t="str">
        <f aca="false">IF(D494="","",IF(COUNTIFS($D$2:$D$701,D494,$E$2:$E$701,E494)&gt;1,"DUPLICATE","Unique"))</f>
        <v>Unique</v>
      </c>
    </row>
    <row r="495" customFormat="false" ht="15" hidden="false" customHeight="false" outlineLevel="0" collapsed="false">
      <c r="A495" s="3" t="n">
        <v>494</v>
      </c>
      <c r="B495" s="3" t="n">
        <v>10</v>
      </c>
      <c r="C495" s="3" t="s">
        <v>3506</v>
      </c>
      <c r="D495" s="3" t="s">
        <v>3507</v>
      </c>
      <c r="E495" s="3" t="s">
        <v>3508</v>
      </c>
      <c r="F495" s="3" t="s">
        <v>3509</v>
      </c>
      <c r="G495" s="3" t="s">
        <v>3510</v>
      </c>
      <c r="H495" s="3" t="s">
        <v>266</v>
      </c>
      <c r="I495" s="3" t="s">
        <v>78</v>
      </c>
      <c r="J495" s="3" t="s">
        <v>3511</v>
      </c>
      <c r="K495" s="3" t="s">
        <v>3512</v>
      </c>
      <c r="L495" s="3" t="s">
        <v>56</v>
      </c>
      <c r="M495" s="3" t="n">
        <v>3418.45</v>
      </c>
      <c r="N495" s="3" t="s">
        <v>40</v>
      </c>
      <c r="O495" s="3" t="n">
        <f aca="false">IFERROR(LEN(C495&amp;D495&amp;E495&amp;F495&amp;G495&amp;H495&amp;I495&amp;J495&amp;K495&amp;L495&amp;M495&amp;N495)/5,0)</f>
        <v>28.2</v>
      </c>
      <c r="P495" s="3" t="str">
        <f aca="false">IF(OR(D495="",C495=""),"",IF((IFERROR(IF(AND(TRIM(D495)=D495,LEN(D495)&gt;0),0,1),1)+IFERROR(IF(AND(LEN(E495)=10,ISNUMBER(VALUE(E495))),0,1),1)+IFERROR(IF(AND(ISNUMBER(SEARCH("@",F495)),ISNUMBER(SEARCH(".",F495))),0,1),1)+IFERROR(IF(AND(LEN(J495)=6,ISNUMBER(VALUE(J495))),0,1),1)+IFERROR(IF(ISNUMBER(MATCH(TRIM(I495),Lists!$A$2:$A$20,0)),0,1),1)+IFERROR(IF(AND(LEN(K495)=10,VALUE(LEFT(K495,FIND("/",K495)-1))&gt;=1,VALUE(LEFT(K495,FIND("/",K495)-1))&lt;=31,VALUE(LEFT(MID(K495,FIND("/",K495)+1,10),FIND("/",MID(K495,FIND("/",K495)+1,10))-1))&gt;=1,VALUE(LEFT(MID(K495,FIND("/",K495)+1,10),FIND("/",MID(K495,FIND("/",K495)+1,10))-1))&lt;=12,VALUE(LEFT(K495,FIND("/",K495)-1))&lt;=DAY(EOMONTH(DATE(VALUE(MID(MID(K495,FIND("/",K495)+1,10),FIND("/",MID(K495,FIND("/",K495)+1,10))+1,4)),VALUE(LEFT(MID(K495,FIND("/",K495)+1,10),FIND("/",MID(K495,FIND("/",K495)+1,10))-1)),1),0))),0,1),1)+IFERROR(IF(M495&gt;=0,0,1),1)+IFERROR(IF(ISNUMBER(MATCH(N495,Lists!$B$2:$B$7,0)),0,1),1))=0,"OK","ERROR"))</f>
        <v>OK</v>
      </c>
      <c r="Q495" s="3" t="str">
        <f aca="false">IF(D495="","",TRIM(IF(IFERROR(IF(AND(TRIM(D495)=D495,LEN(D495)&gt;0),0,1),1)=1,"Name; ","")&amp;IF(IFERROR(IF(AND(LEN(E495)=10,ISNUMBER(VALUE(E495))),0,1),1)=1,"Phone; ","")&amp;IF(IFERROR(IF(AND(ISNUMBER(SEARCH("@",F495)),ISNUMBER(SEARCH(".",F495))),0,1),1)=1,"Email; ","")&amp;IF(IFERROR(IF(AND(LEN(J495)=6,ISNUMBER(VALUE(J495))),0,1),1)=1,"Pincode; ","")&amp;IF(IFERROR(IF(ISNUMBER(MATCH(TRIM(I495),Lists!$A$2:$A$20,0)),0,1),1)=1,"State; ","")&amp;IF(IFERROR(IF(AND(LEN(K495)=10,VALUE(LEFT(K495,FIND("/",K495)-1))&gt;=1,VALUE(LEFT(K495,FIND("/",K495)-1))&lt;=31,VALUE(LEFT(MID(K495,FIND("/",K495)+1,10),FIND("/",MID(K495,FIND("/",K495)+1,10))-1))&gt;=1,VALUE(LEFT(MID(K495,FIND("/",K495)+1,10),FIND("/",MID(K495,FIND("/",K495)+1,10))-1))&lt;=12,VALUE(LEFT(K495,FIND("/",K495)-1))&lt;=DAY(EOMONTH(DATE(VALUE(MID(MID(K495,FIND("/",K495)+1,10),FIND("/",MID(K495,FIND("/",K495)+1,10))+1,4)),VALUE(LEFT(MID(K495,FIND("/",K495)+1,10),FIND("/",MID(K495,FIND("/",K495)+1,10))-1)),1),0))),0,1),1)=1,"Date; ","")&amp;IF(IFERROR(IF(M495&gt;=0,0,1),1)=1,"Amount; ","")&amp;IF(IFERROR(IF(ISNUMBER(MATCH(N495,Lists!$B$2:$B$7,0)),0,1),1)=1,"Payment; ","")))</f>
        <v/>
      </c>
      <c r="R495" s="3" t="str">
        <f aca="false">IF(D495="","",IF(COUNTIFS($D$2:$D$701,D495,$E$2:$E$701,E495)&gt;1,"DUPLICATE","Unique"))</f>
        <v>Unique</v>
      </c>
    </row>
    <row r="496" customFormat="false" ht="15" hidden="false" customHeight="false" outlineLevel="0" collapsed="false">
      <c r="A496" s="3" t="n">
        <v>495</v>
      </c>
      <c r="B496" s="3" t="n">
        <v>10</v>
      </c>
      <c r="C496" s="3" t="s">
        <v>3513</v>
      </c>
      <c r="D496" s="3" t="s">
        <v>3514</v>
      </c>
      <c r="E496" s="3" t="s">
        <v>3515</v>
      </c>
      <c r="F496" s="3" t="s">
        <v>3516</v>
      </c>
      <c r="G496" s="3" t="s">
        <v>3517</v>
      </c>
      <c r="H496" s="3" t="s">
        <v>3489</v>
      </c>
      <c r="I496" s="3" t="s">
        <v>54</v>
      </c>
      <c r="J496" s="3" t="s">
        <v>3518</v>
      </c>
      <c r="K496" s="3" t="s">
        <v>3149</v>
      </c>
      <c r="L496" s="3" t="s">
        <v>53</v>
      </c>
      <c r="M496" s="3" t="n">
        <v>14048.83</v>
      </c>
      <c r="N496" s="3" t="s">
        <v>46</v>
      </c>
      <c r="O496" s="3" t="n">
        <f aca="false">IFERROR(LEN(C496&amp;D496&amp;E496&amp;F496&amp;G496&amp;H496&amp;I496&amp;J496&amp;K496&amp;L496&amp;M496&amp;N496)/5,0)</f>
        <v>28.4</v>
      </c>
      <c r="P496" s="3" t="str">
        <f aca="false">IF(OR(D496="",C496=""),"",IF((IFERROR(IF(AND(TRIM(D496)=D496,LEN(D496)&gt;0),0,1),1)+IFERROR(IF(AND(LEN(E496)=10,ISNUMBER(VALUE(E496))),0,1),1)+IFERROR(IF(AND(ISNUMBER(SEARCH("@",F496)),ISNUMBER(SEARCH(".",F496))),0,1),1)+IFERROR(IF(AND(LEN(J496)=6,ISNUMBER(VALUE(J496))),0,1),1)+IFERROR(IF(ISNUMBER(MATCH(TRIM(I496),Lists!$A$2:$A$20,0)),0,1),1)+IFERROR(IF(AND(LEN(K496)=10,VALUE(LEFT(K496,FIND("/",K496)-1))&gt;=1,VALUE(LEFT(K496,FIND("/",K496)-1))&lt;=31,VALUE(LEFT(MID(K496,FIND("/",K496)+1,10),FIND("/",MID(K496,FIND("/",K496)+1,10))-1))&gt;=1,VALUE(LEFT(MID(K496,FIND("/",K496)+1,10),FIND("/",MID(K496,FIND("/",K496)+1,10))-1))&lt;=12,VALUE(LEFT(K496,FIND("/",K496)-1))&lt;=DAY(EOMONTH(DATE(VALUE(MID(MID(K496,FIND("/",K496)+1,10),FIND("/",MID(K496,FIND("/",K496)+1,10))+1,4)),VALUE(LEFT(MID(K496,FIND("/",K496)+1,10),FIND("/",MID(K496,FIND("/",K496)+1,10))-1)),1),0))),0,1),1)+IFERROR(IF(M496&gt;=0,0,1),1)+IFERROR(IF(ISNUMBER(MATCH(N496,Lists!$B$2:$B$7,0)),0,1),1))=0,"OK","ERROR"))</f>
        <v>OK</v>
      </c>
      <c r="Q496" s="3" t="str">
        <f aca="false">IF(D496="","",TRIM(IF(IFERROR(IF(AND(TRIM(D496)=D496,LEN(D496)&gt;0),0,1),1)=1,"Name; ","")&amp;IF(IFERROR(IF(AND(LEN(E496)=10,ISNUMBER(VALUE(E496))),0,1),1)=1,"Phone; ","")&amp;IF(IFERROR(IF(AND(ISNUMBER(SEARCH("@",F496)),ISNUMBER(SEARCH(".",F496))),0,1),1)=1,"Email; ","")&amp;IF(IFERROR(IF(AND(LEN(J496)=6,ISNUMBER(VALUE(J496))),0,1),1)=1,"Pincode; ","")&amp;IF(IFERROR(IF(ISNUMBER(MATCH(TRIM(I496),Lists!$A$2:$A$20,0)),0,1),1)=1,"State; ","")&amp;IF(IFERROR(IF(AND(LEN(K496)=10,VALUE(LEFT(K496,FIND("/",K496)-1))&gt;=1,VALUE(LEFT(K496,FIND("/",K496)-1))&lt;=31,VALUE(LEFT(MID(K496,FIND("/",K496)+1,10),FIND("/",MID(K496,FIND("/",K496)+1,10))-1))&gt;=1,VALUE(LEFT(MID(K496,FIND("/",K496)+1,10),FIND("/",MID(K496,FIND("/",K496)+1,10))-1))&lt;=12,VALUE(LEFT(K496,FIND("/",K496)-1))&lt;=DAY(EOMONTH(DATE(VALUE(MID(MID(K496,FIND("/",K496)+1,10),FIND("/",MID(K496,FIND("/",K496)+1,10))+1,4)),VALUE(LEFT(MID(K496,FIND("/",K496)+1,10),FIND("/",MID(K496,FIND("/",K496)+1,10))-1)),1),0))),0,1),1)=1,"Date; ","")&amp;IF(IFERROR(IF(M496&gt;=0,0,1),1)=1,"Amount; ","")&amp;IF(IFERROR(IF(ISNUMBER(MATCH(N496,Lists!$B$2:$B$7,0)),0,1),1)=1,"Payment; ","")))</f>
        <v/>
      </c>
      <c r="R496" s="3" t="str">
        <f aca="false">IF(D496="","",IF(COUNTIFS($D$2:$D$701,D496,$E$2:$E$701,E496)&gt;1,"DUPLICATE","Unique"))</f>
        <v>Unique</v>
      </c>
    </row>
    <row r="497" customFormat="false" ht="15" hidden="false" customHeight="false" outlineLevel="0" collapsed="false">
      <c r="A497" s="3" t="n">
        <v>496</v>
      </c>
      <c r="B497" s="3" t="n">
        <v>10</v>
      </c>
      <c r="C497" s="3" t="s">
        <v>3519</v>
      </c>
      <c r="D497" s="3" t="s">
        <v>3520</v>
      </c>
      <c r="E497" s="3" t="s">
        <v>3521</v>
      </c>
      <c r="F497" s="3" t="s">
        <v>3522</v>
      </c>
      <c r="G497" s="3" t="s">
        <v>3523</v>
      </c>
      <c r="H497" s="3" t="s">
        <v>310</v>
      </c>
      <c r="I497" s="3" t="s">
        <v>69</v>
      </c>
      <c r="J497" s="3" t="s">
        <v>3524</v>
      </c>
      <c r="K497" s="3" t="s">
        <v>3525</v>
      </c>
      <c r="L497" s="3" t="s">
        <v>72</v>
      </c>
      <c r="M497" s="3" t="n">
        <v>5909.08</v>
      </c>
      <c r="N497" s="3" t="s">
        <v>43</v>
      </c>
      <c r="O497" s="3" t="n">
        <f aca="false">IFERROR(LEN(C497&amp;D497&amp;E497&amp;F497&amp;G497&amp;H497&amp;I497&amp;J497&amp;K497&amp;L497&amp;M497&amp;N497)/5,0)</f>
        <v>26.8</v>
      </c>
      <c r="P497" s="3" t="str">
        <f aca="false">IF(OR(D497="",C497=""),"",IF((IFERROR(IF(AND(TRIM(D497)=D497,LEN(D497)&gt;0),0,1),1)+IFERROR(IF(AND(LEN(E497)=10,ISNUMBER(VALUE(E497))),0,1),1)+IFERROR(IF(AND(ISNUMBER(SEARCH("@",F497)),ISNUMBER(SEARCH(".",F497))),0,1),1)+IFERROR(IF(AND(LEN(J497)=6,ISNUMBER(VALUE(J497))),0,1),1)+IFERROR(IF(ISNUMBER(MATCH(TRIM(I497),Lists!$A$2:$A$20,0)),0,1),1)+IFERROR(IF(AND(LEN(K497)=10,VALUE(LEFT(K497,FIND("/",K497)-1))&gt;=1,VALUE(LEFT(K497,FIND("/",K497)-1))&lt;=31,VALUE(LEFT(MID(K497,FIND("/",K497)+1,10),FIND("/",MID(K497,FIND("/",K497)+1,10))-1))&gt;=1,VALUE(LEFT(MID(K497,FIND("/",K497)+1,10),FIND("/",MID(K497,FIND("/",K497)+1,10))-1))&lt;=12,VALUE(LEFT(K497,FIND("/",K497)-1))&lt;=DAY(EOMONTH(DATE(VALUE(MID(MID(K497,FIND("/",K497)+1,10),FIND("/",MID(K497,FIND("/",K497)+1,10))+1,4)),VALUE(LEFT(MID(K497,FIND("/",K497)+1,10),FIND("/",MID(K497,FIND("/",K497)+1,10))-1)),1),0))),0,1),1)+IFERROR(IF(M497&gt;=0,0,1),1)+IFERROR(IF(ISNUMBER(MATCH(N497,Lists!$B$2:$B$7,0)),0,1),1))=0,"OK","ERROR"))</f>
        <v>OK</v>
      </c>
      <c r="Q497" s="3" t="str">
        <f aca="false">IF(D497="","",TRIM(IF(IFERROR(IF(AND(TRIM(D497)=D497,LEN(D497)&gt;0),0,1),1)=1,"Name; ","")&amp;IF(IFERROR(IF(AND(LEN(E497)=10,ISNUMBER(VALUE(E497))),0,1),1)=1,"Phone; ","")&amp;IF(IFERROR(IF(AND(ISNUMBER(SEARCH("@",F497)),ISNUMBER(SEARCH(".",F497))),0,1),1)=1,"Email; ","")&amp;IF(IFERROR(IF(AND(LEN(J497)=6,ISNUMBER(VALUE(J497))),0,1),1)=1,"Pincode; ","")&amp;IF(IFERROR(IF(ISNUMBER(MATCH(TRIM(I497),Lists!$A$2:$A$20,0)),0,1),1)=1,"State; ","")&amp;IF(IFERROR(IF(AND(LEN(K497)=10,VALUE(LEFT(K497,FIND("/",K497)-1))&gt;=1,VALUE(LEFT(K497,FIND("/",K497)-1))&lt;=31,VALUE(LEFT(MID(K497,FIND("/",K497)+1,10),FIND("/",MID(K497,FIND("/",K497)+1,10))-1))&gt;=1,VALUE(LEFT(MID(K497,FIND("/",K497)+1,10),FIND("/",MID(K497,FIND("/",K497)+1,10))-1))&lt;=12,VALUE(LEFT(K497,FIND("/",K497)-1))&lt;=DAY(EOMONTH(DATE(VALUE(MID(MID(K497,FIND("/",K497)+1,10),FIND("/",MID(K497,FIND("/",K497)+1,10))+1,4)),VALUE(LEFT(MID(K497,FIND("/",K497)+1,10),FIND("/",MID(K497,FIND("/",K497)+1,10))-1)),1),0))),0,1),1)=1,"Date; ","")&amp;IF(IFERROR(IF(M497&gt;=0,0,1),1)=1,"Amount; ","")&amp;IF(IFERROR(IF(ISNUMBER(MATCH(N497,Lists!$B$2:$B$7,0)),0,1),1)=1,"Payment; ","")))</f>
        <v/>
      </c>
      <c r="R497" s="3" t="str">
        <f aca="false">IF(D497="","",IF(COUNTIFS($D$2:$D$701,D497,$E$2:$E$701,E497)&gt;1,"DUPLICATE","Unique"))</f>
        <v>Unique</v>
      </c>
    </row>
    <row r="498" customFormat="false" ht="15" hidden="false" customHeight="false" outlineLevel="0" collapsed="false">
      <c r="A498" s="3" t="n">
        <v>497</v>
      </c>
      <c r="B498" s="3" t="n">
        <v>10</v>
      </c>
      <c r="C498" s="3" t="s">
        <v>3526</v>
      </c>
      <c r="D498" s="3" t="s">
        <v>3527</v>
      </c>
      <c r="E498" s="3" t="s">
        <v>3528</v>
      </c>
      <c r="F498" s="3" t="s">
        <v>3529</v>
      </c>
      <c r="G498" s="3" t="s">
        <v>3530</v>
      </c>
      <c r="H498" s="3" t="s">
        <v>118</v>
      </c>
      <c r="I498" s="3" t="s">
        <v>69</v>
      </c>
      <c r="J498" s="3" t="s">
        <v>3531</v>
      </c>
      <c r="K498" s="3" t="s">
        <v>167</v>
      </c>
      <c r="L498" s="3" t="s">
        <v>64</v>
      </c>
      <c r="M498" s="3" t="n">
        <v>13704.98</v>
      </c>
      <c r="N498" s="3" t="s">
        <v>40</v>
      </c>
      <c r="O498" s="3" t="n">
        <f aca="false">IFERROR(LEN(C498&amp;D498&amp;E498&amp;F498&amp;G498&amp;H498&amp;I498&amp;J498&amp;K498&amp;L498&amp;M498&amp;N498)/5,0)</f>
        <v>26.2</v>
      </c>
      <c r="P498" s="3" t="str">
        <f aca="false">IF(OR(D498="",C498=""),"",IF((IFERROR(IF(AND(TRIM(D498)=D498,LEN(D498)&gt;0),0,1),1)+IFERROR(IF(AND(LEN(E498)=10,ISNUMBER(VALUE(E498))),0,1),1)+IFERROR(IF(AND(ISNUMBER(SEARCH("@",F498)),ISNUMBER(SEARCH(".",F498))),0,1),1)+IFERROR(IF(AND(LEN(J498)=6,ISNUMBER(VALUE(J498))),0,1),1)+IFERROR(IF(ISNUMBER(MATCH(TRIM(I498),Lists!$A$2:$A$20,0)),0,1),1)+IFERROR(IF(AND(LEN(K498)=10,VALUE(LEFT(K498,FIND("/",K498)-1))&gt;=1,VALUE(LEFT(K498,FIND("/",K498)-1))&lt;=31,VALUE(LEFT(MID(K498,FIND("/",K498)+1,10),FIND("/",MID(K498,FIND("/",K498)+1,10))-1))&gt;=1,VALUE(LEFT(MID(K498,FIND("/",K498)+1,10),FIND("/",MID(K498,FIND("/",K498)+1,10))-1))&lt;=12,VALUE(LEFT(K498,FIND("/",K498)-1))&lt;=DAY(EOMONTH(DATE(VALUE(MID(MID(K498,FIND("/",K498)+1,10),FIND("/",MID(K498,FIND("/",K498)+1,10))+1,4)),VALUE(LEFT(MID(K498,FIND("/",K498)+1,10),FIND("/",MID(K498,FIND("/",K498)+1,10))-1)),1),0))),0,1),1)+IFERROR(IF(M498&gt;=0,0,1),1)+IFERROR(IF(ISNUMBER(MATCH(N498,Lists!$B$2:$B$7,0)),0,1),1))=0,"OK","ERROR"))</f>
        <v>OK</v>
      </c>
      <c r="Q498" s="3" t="str">
        <f aca="false">IF(D498="","",TRIM(IF(IFERROR(IF(AND(TRIM(D498)=D498,LEN(D498)&gt;0),0,1),1)=1,"Name; ","")&amp;IF(IFERROR(IF(AND(LEN(E498)=10,ISNUMBER(VALUE(E498))),0,1),1)=1,"Phone; ","")&amp;IF(IFERROR(IF(AND(ISNUMBER(SEARCH("@",F498)),ISNUMBER(SEARCH(".",F498))),0,1),1)=1,"Email; ","")&amp;IF(IFERROR(IF(AND(LEN(J498)=6,ISNUMBER(VALUE(J498))),0,1),1)=1,"Pincode; ","")&amp;IF(IFERROR(IF(ISNUMBER(MATCH(TRIM(I498),Lists!$A$2:$A$20,0)),0,1),1)=1,"State; ","")&amp;IF(IFERROR(IF(AND(LEN(K498)=10,VALUE(LEFT(K498,FIND("/",K498)-1))&gt;=1,VALUE(LEFT(K498,FIND("/",K498)-1))&lt;=31,VALUE(LEFT(MID(K498,FIND("/",K498)+1,10),FIND("/",MID(K498,FIND("/",K498)+1,10))-1))&gt;=1,VALUE(LEFT(MID(K498,FIND("/",K498)+1,10),FIND("/",MID(K498,FIND("/",K498)+1,10))-1))&lt;=12,VALUE(LEFT(K498,FIND("/",K498)-1))&lt;=DAY(EOMONTH(DATE(VALUE(MID(MID(K498,FIND("/",K498)+1,10),FIND("/",MID(K498,FIND("/",K498)+1,10))+1,4)),VALUE(LEFT(MID(K498,FIND("/",K498)+1,10),FIND("/",MID(K498,FIND("/",K498)+1,10))-1)),1),0))),0,1),1)=1,"Date; ","")&amp;IF(IFERROR(IF(M498&gt;=0,0,1),1)=1,"Amount; ","")&amp;IF(IFERROR(IF(ISNUMBER(MATCH(N498,Lists!$B$2:$B$7,0)),0,1),1)=1,"Payment; ","")))</f>
        <v/>
      </c>
      <c r="R498" s="3" t="str">
        <f aca="false">IF(D498="","",IF(COUNTIFS($D$2:$D$701,D498,$E$2:$E$701,E498)&gt;1,"DUPLICATE","Unique"))</f>
        <v>Unique</v>
      </c>
    </row>
    <row r="499" customFormat="false" ht="15" hidden="false" customHeight="false" outlineLevel="0" collapsed="false">
      <c r="A499" s="3" t="n">
        <v>498</v>
      </c>
      <c r="B499" s="3" t="n">
        <v>10</v>
      </c>
      <c r="C499" s="3" t="s">
        <v>3532</v>
      </c>
      <c r="D499" s="3" t="s">
        <v>3533</v>
      </c>
      <c r="E499" s="3" t="s">
        <v>3534</v>
      </c>
      <c r="F499" s="3" t="s">
        <v>3535</v>
      </c>
      <c r="G499" s="3" t="s">
        <v>3536</v>
      </c>
      <c r="H499" s="3" t="s">
        <v>250</v>
      </c>
      <c r="I499" s="3" t="s">
        <v>65</v>
      </c>
      <c r="J499" s="3" t="s">
        <v>3537</v>
      </c>
      <c r="K499" s="3" t="s">
        <v>3122</v>
      </c>
      <c r="L499" s="3" t="s">
        <v>44</v>
      </c>
      <c r="M499" s="3" t="n">
        <v>14396.44</v>
      </c>
      <c r="N499" s="3" t="s">
        <v>40</v>
      </c>
      <c r="O499" s="3" t="n">
        <f aca="false">IFERROR(LEN(C499&amp;D499&amp;E499&amp;F499&amp;G499&amp;H499&amp;I499&amp;J499&amp;K499&amp;L499&amp;M499&amp;N499)/5,0)</f>
        <v>26.6</v>
      </c>
      <c r="P499" s="3" t="str">
        <f aca="false">IF(OR(D499="",C499=""),"",IF((IFERROR(IF(AND(TRIM(D499)=D499,LEN(D499)&gt;0),0,1),1)+IFERROR(IF(AND(LEN(E499)=10,ISNUMBER(VALUE(E499))),0,1),1)+IFERROR(IF(AND(ISNUMBER(SEARCH("@",F499)),ISNUMBER(SEARCH(".",F499))),0,1),1)+IFERROR(IF(AND(LEN(J499)=6,ISNUMBER(VALUE(J499))),0,1),1)+IFERROR(IF(ISNUMBER(MATCH(TRIM(I499),Lists!$A$2:$A$20,0)),0,1),1)+IFERROR(IF(AND(LEN(K499)=10,VALUE(LEFT(K499,FIND("/",K499)-1))&gt;=1,VALUE(LEFT(K499,FIND("/",K499)-1))&lt;=31,VALUE(LEFT(MID(K499,FIND("/",K499)+1,10),FIND("/",MID(K499,FIND("/",K499)+1,10))-1))&gt;=1,VALUE(LEFT(MID(K499,FIND("/",K499)+1,10),FIND("/",MID(K499,FIND("/",K499)+1,10))-1))&lt;=12,VALUE(LEFT(K499,FIND("/",K499)-1))&lt;=DAY(EOMONTH(DATE(VALUE(MID(MID(K499,FIND("/",K499)+1,10),FIND("/",MID(K499,FIND("/",K499)+1,10))+1,4)),VALUE(LEFT(MID(K499,FIND("/",K499)+1,10),FIND("/",MID(K499,FIND("/",K499)+1,10))-1)),1),0))),0,1),1)+IFERROR(IF(M499&gt;=0,0,1),1)+IFERROR(IF(ISNUMBER(MATCH(N499,Lists!$B$2:$B$7,0)),0,1),1))=0,"OK","ERROR"))</f>
        <v>OK</v>
      </c>
      <c r="Q499" s="3" t="str">
        <f aca="false">IF(D499="","",TRIM(IF(IFERROR(IF(AND(TRIM(D499)=D499,LEN(D499)&gt;0),0,1),1)=1,"Name; ","")&amp;IF(IFERROR(IF(AND(LEN(E499)=10,ISNUMBER(VALUE(E499))),0,1),1)=1,"Phone; ","")&amp;IF(IFERROR(IF(AND(ISNUMBER(SEARCH("@",F499)),ISNUMBER(SEARCH(".",F499))),0,1),1)=1,"Email; ","")&amp;IF(IFERROR(IF(AND(LEN(J499)=6,ISNUMBER(VALUE(J499))),0,1),1)=1,"Pincode; ","")&amp;IF(IFERROR(IF(ISNUMBER(MATCH(TRIM(I499),Lists!$A$2:$A$20,0)),0,1),1)=1,"State; ","")&amp;IF(IFERROR(IF(AND(LEN(K499)=10,VALUE(LEFT(K499,FIND("/",K499)-1))&gt;=1,VALUE(LEFT(K499,FIND("/",K499)-1))&lt;=31,VALUE(LEFT(MID(K499,FIND("/",K499)+1,10),FIND("/",MID(K499,FIND("/",K499)+1,10))-1))&gt;=1,VALUE(LEFT(MID(K499,FIND("/",K499)+1,10),FIND("/",MID(K499,FIND("/",K499)+1,10))-1))&lt;=12,VALUE(LEFT(K499,FIND("/",K499)-1))&lt;=DAY(EOMONTH(DATE(VALUE(MID(MID(K499,FIND("/",K499)+1,10),FIND("/",MID(K499,FIND("/",K499)+1,10))+1,4)),VALUE(LEFT(MID(K499,FIND("/",K499)+1,10),FIND("/",MID(K499,FIND("/",K499)+1,10))-1)),1),0))),0,1),1)=1,"Date; ","")&amp;IF(IFERROR(IF(M499&gt;=0,0,1),1)=1,"Amount; ","")&amp;IF(IFERROR(IF(ISNUMBER(MATCH(N499,Lists!$B$2:$B$7,0)),0,1),1)=1,"Payment; ","")))</f>
        <v/>
      </c>
      <c r="R499" s="3" t="str">
        <f aca="false">IF(D499="","",IF(COUNTIFS($D$2:$D$701,D499,$E$2:$E$701,E499)&gt;1,"DUPLICATE","Unique"))</f>
        <v>Unique</v>
      </c>
    </row>
    <row r="500" customFormat="false" ht="15" hidden="false" customHeight="false" outlineLevel="0" collapsed="false">
      <c r="A500" s="3" t="n">
        <v>499</v>
      </c>
      <c r="B500" s="3" t="n">
        <v>10</v>
      </c>
      <c r="C500" s="3" t="s">
        <v>3538</v>
      </c>
      <c r="D500" s="3" t="s">
        <v>3539</v>
      </c>
      <c r="E500" s="3" t="s">
        <v>3540</v>
      </c>
      <c r="F500" s="3" t="s">
        <v>3541</v>
      </c>
      <c r="G500" s="3" t="s">
        <v>3542</v>
      </c>
      <c r="H500" s="3" t="s">
        <v>134</v>
      </c>
      <c r="I500" s="3" t="s">
        <v>65</v>
      </c>
      <c r="J500" s="3" t="s">
        <v>3543</v>
      </c>
      <c r="K500" s="3" t="s">
        <v>3544</v>
      </c>
      <c r="L500" s="3" t="s">
        <v>50</v>
      </c>
      <c r="M500" s="3" t="n">
        <v>11054.51</v>
      </c>
      <c r="N500" s="3" t="s">
        <v>55</v>
      </c>
      <c r="O500" s="3" t="n">
        <f aca="false">IFERROR(LEN(C500&amp;D500&amp;E500&amp;F500&amp;G500&amp;H500&amp;I500&amp;J500&amp;K500&amp;L500&amp;M500&amp;N500)/5,0)</f>
        <v>27.2</v>
      </c>
      <c r="P500" s="3" t="str">
        <f aca="false">IF(OR(D500="",C500=""),"",IF((IFERROR(IF(AND(TRIM(D500)=D500,LEN(D500)&gt;0),0,1),1)+IFERROR(IF(AND(LEN(E500)=10,ISNUMBER(VALUE(E500))),0,1),1)+IFERROR(IF(AND(ISNUMBER(SEARCH("@",F500)),ISNUMBER(SEARCH(".",F500))),0,1),1)+IFERROR(IF(AND(LEN(J500)=6,ISNUMBER(VALUE(J500))),0,1),1)+IFERROR(IF(ISNUMBER(MATCH(TRIM(I500),Lists!$A$2:$A$20,0)),0,1),1)+IFERROR(IF(AND(LEN(K500)=10,VALUE(LEFT(K500,FIND("/",K500)-1))&gt;=1,VALUE(LEFT(K500,FIND("/",K500)-1))&lt;=31,VALUE(LEFT(MID(K500,FIND("/",K500)+1,10),FIND("/",MID(K500,FIND("/",K500)+1,10))-1))&gt;=1,VALUE(LEFT(MID(K500,FIND("/",K500)+1,10),FIND("/",MID(K500,FIND("/",K500)+1,10))-1))&lt;=12,VALUE(LEFT(K500,FIND("/",K500)-1))&lt;=DAY(EOMONTH(DATE(VALUE(MID(MID(K500,FIND("/",K500)+1,10),FIND("/",MID(K500,FIND("/",K500)+1,10))+1,4)),VALUE(LEFT(MID(K500,FIND("/",K500)+1,10),FIND("/",MID(K500,FIND("/",K500)+1,10))-1)),1),0))),0,1),1)+IFERROR(IF(M500&gt;=0,0,1),1)+IFERROR(IF(ISNUMBER(MATCH(N500,Lists!$B$2:$B$7,0)),0,1),1))=0,"OK","ERROR"))</f>
        <v>OK</v>
      </c>
      <c r="Q500" s="3" t="str">
        <f aca="false">IF(D500="","",TRIM(IF(IFERROR(IF(AND(TRIM(D500)=D500,LEN(D500)&gt;0),0,1),1)=1,"Name; ","")&amp;IF(IFERROR(IF(AND(LEN(E500)=10,ISNUMBER(VALUE(E500))),0,1),1)=1,"Phone; ","")&amp;IF(IFERROR(IF(AND(ISNUMBER(SEARCH("@",F500)),ISNUMBER(SEARCH(".",F500))),0,1),1)=1,"Email; ","")&amp;IF(IFERROR(IF(AND(LEN(J500)=6,ISNUMBER(VALUE(J500))),0,1),1)=1,"Pincode; ","")&amp;IF(IFERROR(IF(ISNUMBER(MATCH(TRIM(I500),Lists!$A$2:$A$20,0)),0,1),1)=1,"State; ","")&amp;IF(IFERROR(IF(AND(LEN(K500)=10,VALUE(LEFT(K500,FIND("/",K500)-1))&gt;=1,VALUE(LEFT(K500,FIND("/",K500)-1))&lt;=31,VALUE(LEFT(MID(K500,FIND("/",K500)+1,10),FIND("/",MID(K500,FIND("/",K500)+1,10))-1))&gt;=1,VALUE(LEFT(MID(K500,FIND("/",K500)+1,10),FIND("/",MID(K500,FIND("/",K500)+1,10))-1))&lt;=12,VALUE(LEFT(K500,FIND("/",K500)-1))&lt;=DAY(EOMONTH(DATE(VALUE(MID(MID(K500,FIND("/",K500)+1,10),FIND("/",MID(K500,FIND("/",K500)+1,10))+1,4)),VALUE(LEFT(MID(K500,FIND("/",K500)+1,10),FIND("/",MID(K500,FIND("/",K500)+1,10))-1)),1),0))),0,1),1)=1,"Date; ","")&amp;IF(IFERROR(IF(M500&gt;=0,0,1),1)=1,"Amount; ","")&amp;IF(IFERROR(IF(ISNUMBER(MATCH(N500,Lists!$B$2:$B$7,0)),0,1),1)=1,"Payment; ","")))</f>
        <v/>
      </c>
      <c r="R500" s="3" t="str">
        <f aca="false">IF(D500="","",IF(COUNTIFS($D$2:$D$701,D500,$E$2:$E$701,E500)&gt;1,"DUPLICATE","Unique"))</f>
        <v>Unique</v>
      </c>
    </row>
    <row r="501" customFormat="false" ht="15" hidden="false" customHeight="false" outlineLevel="0" collapsed="false">
      <c r="A501" s="3" t="n">
        <v>500</v>
      </c>
      <c r="B501" s="3" t="n">
        <v>10</v>
      </c>
      <c r="C501" s="3" t="s">
        <v>3545</v>
      </c>
      <c r="D501" s="3" t="s">
        <v>3546</v>
      </c>
      <c r="E501" s="3" t="s">
        <v>3547</v>
      </c>
      <c r="F501" s="3" t="s">
        <v>3548</v>
      </c>
      <c r="G501" s="3" t="s">
        <v>3549</v>
      </c>
      <c r="H501" s="3" t="s">
        <v>464</v>
      </c>
      <c r="I501" s="3" t="s">
        <v>61</v>
      </c>
      <c r="J501" s="3" t="s">
        <v>3550</v>
      </c>
      <c r="K501" s="3" t="s">
        <v>3551</v>
      </c>
      <c r="L501" s="3" t="s">
        <v>64</v>
      </c>
      <c r="M501" s="3" t="n">
        <v>5775.06</v>
      </c>
      <c r="N501" s="3" t="s">
        <v>55</v>
      </c>
      <c r="O501" s="3" t="n">
        <f aca="false">IFERROR(LEN(C501&amp;D501&amp;E501&amp;F501&amp;G501&amp;H501&amp;I501&amp;J501&amp;K501&amp;L501&amp;M501&amp;N501)/5,0)</f>
        <v>26.4</v>
      </c>
      <c r="P501" s="3" t="str">
        <f aca="false">IF(OR(D501="",C501=""),"",IF((IFERROR(IF(AND(TRIM(D501)=D501,LEN(D501)&gt;0),0,1),1)+IFERROR(IF(AND(LEN(E501)=10,ISNUMBER(VALUE(E501))),0,1),1)+IFERROR(IF(AND(ISNUMBER(SEARCH("@",F501)),ISNUMBER(SEARCH(".",F501))),0,1),1)+IFERROR(IF(AND(LEN(J501)=6,ISNUMBER(VALUE(J501))),0,1),1)+IFERROR(IF(ISNUMBER(MATCH(TRIM(I501),Lists!$A$2:$A$20,0)),0,1),1)+IFERROR(IF(AND(LEN(K501)=10,VALUE(LEFT(K501,FIND("/",K501)-1))&gt;=1,VALUE(LEFT(K501,FIND("/",K501)-1))&lt;=31,VALUE(LEFT(MID(K501,FIND("/",K501)+1,10),FIND("/",MID(K501,FIND("/",K501)+1,10))-1))&gt;=1,VALUE(LEFT(MID(K501,FIND("/",K501)+1,10),FIND("/",MID(K501,FIND("/",K501)+1,10))-1))&lt;=12,VALUE(LEFT(K501,FIND("/",K501)-1))&lt;=DAY(EOMONTH(DATE(VALUE(MID(MID(K501,FIND("/",K501)+1,10),FIND("/",MID(K501,FIND("/",K501)+1,10))+1,4)),VALUE(LEFT(MID(K501,FIND("/",K501)+1,10),FIND("/",MID(K501,FIND("/",K501)+1,10))-1)),1),0))),0,1),1)+IFERROR(IF(M501&gt;=0,0,1),1)+IFERROR(IF(ISNUMBER(MATCH(N501,Lists!$B$2:$B$7,0)),0,1),1))=0,"OK","ERROR"))</f>
        <v>OK</v>
      </c>
      <c r="Q501" s="3" t="str">
        <f aca="false">IF(D501="","",TRIM(IF(IFERROR(IF(AND(TRIM(D501)=D501,LEN(D501)&gt;0),0,1),1)=1,"Name; ","")&amp;IF(IFERROR(IF(AND(LEN(E501)=10,ISNUMBER(VALUE(E501))),0,1),1)=1,"Phone; ","")&amp;IF(IFERROR(IF(AND(ISNUMBER(SEARCH("@",F501)),ISNUMBER(SEARCH(".",F501))),0,1),1)=1,"Email; ","")&amp;IF(IFERROR(IF(AND(LEN(J501)=6,ISNUMBER(VALUE(J501))),0,1),1)=1,"Pincode; ","")&amp;IF(IFERROR(IF(ISNUMBER(MATCH(TRIM(I501),Lists!$A$2:$A$20,0)),0,1),1)=1,"State; ","")&amp;IF(IFERROR(IF(AND(LEN(K501)=10,VALUE(LEFT(K501,FIND("/",K501)-1))&gt;=1,VALUE(LEFT(K501,FIND("/",K501)-1))&lt;=31,VALUE(LEFT(MID(K501,FIND("/",K501)+1,10),FIND("/",MID(K501,FIND("/",K501)+1,10))-1))&gt;=1,VALUE(LEFT(MID(K501,FIND("/",K501)+1,10),FIND("/",MID(K501,FIND("/",K501)+1,10))-1))&lt;=12,VALUE(LEFT(K501,FIND("/",K501)-1))&lt;=DAY(EOMONTH(DATE(VALUE(MID(MID(K501,FIND("/",K501)+1,10),FIND("/",MID(K501,FIND("/",K501)+1,10))+1,4)),VALUE(LEFT(MID(K501,FIND("/",K501)+1,10),FIND("/",MID(K501,FIND("/",K501)+1,10))-1)),1),0))),0,1),1)=1,"Date; ","")&amp;IF(IFERROR(IF(M501&gt;=0,0,1),1)=1,"Amount; ","")&amp;IF(IFERROR(IF(ISNUMBER(MATCH(N501,Lists!$B$2:$B$7,0)),0,1),1)=1,"Payment; ","")))</f>
        <v/>
      </c>
      <c r="R501" s="3" t="str">
        <f aca="false">IF(D501="","",IF(COUNTIFS($D$2:$D$701,D501,$E$2:$E$701,E501)&gt;1,"DUPLICATE","Unique"))</f>
        <v>Unique</v>
      </c>
    </row>
    <row r="502" customFormat="false" ht="15" hidden="false" customHeight="false" outlineLevel="0" collapsed="false">
      <c r="A502" s="3" t="n">
        <v>501</v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3" t="n">
        <f aca="false">IFERROR(LEN(C502&amp;D502&amp;E502&amp;F502&amp;G502&amp;H502&amp;I502&amp;J502&amp;K502&amp;L502&amp;M502&amp;N502)/5,0)</f>
        <v>0</v>
      </c>
      <c r="P502" s="3" t="str">
        <f aca="false">IF(OR(D502="",C502=""),"",IF((IFERROR(IF(AND(TRIM(D502)=D502,LEN(D502)&gt;0),0,1),1)+IFERROR(IF(AND(LEN(E502)=10,ISNUMBER(VALUE(E502))),0,1),1)+IFERROR(IF(AND(ISNUMBER(SEARCH("@",F502)),ISNUMBER(SEARCH(".",F502))),0,1),1)+IFERROR(IF(AND(LEN(J502)=6,ISNUMBER(VALUE(J502))),0,1),1)+IFERROR(IF(ISNUMBER(MATCH(TRIM(I502),Lists!$A$2:$A$20,0)),0,1),1)+IFERROR(IF(AND(LEN(K502)=10,VALUE(LEFT(K502,FIND("/",K502)-1))&gt;=1,VALUE(LEFT(K502,FIND("/",K502)-1))&lt;=31,VALUE(LEFT(MID(K502,FIND("/",K502)+1,10),FIND("/",MID(K502,FIND("/",K502)+1,10))-1))&gt;=1,VALUE(LEFT(MID(K502,FIND("/",K502)+1,10),FIND("/",MID(K502,FIND("/",K502)+1,10))-1))&lt;=12,VALUE(LEFT(K502,FIND("/",K502)-1))&lt;=DAY(EOMONTH(DATE(VALUE(MID(MID(K502,FIND("/",K502)+1,10),FIND("/",MID(K502,FIND("/",K502)+1,10))+1,4)),VALUE(LEFT(MID(K502,FIND("/",K502)+1,10),FIND("/",MID(K502,FIND("/",K502)+1,10))-1)),1),0))),0,1),1)+IFERROR(IF(M502&gt;=0,0,1),1)+IFERROR(IF(ISNUMBER(MATCH(N502,Lists!$B$2:$B$7,0)),0,1),1))=0,"OK","ERROR"))</f>
        <v/>
      </c>
      <c r="Q502" s="3" t="str">
        <f aca="false">IF(D502="","",TRIM(IF(IFERROR(IF(AND(TRIM(D502)=D502,LEN(D502)&gt;0),0,1),1)=1,"Name; ","")&amp;IF(IFERROR(IF(AND(LEN(E502)=10,ISNUMBER(VALUE(E502))),0,1),1)=1,"Phone; ","")&amp;IF(IFERROR(IF(AND(ISNUMBER(SEARCH("@",F502)),ISNUMBER(SEARCH(".",F502))),0,1),1)=1,"Email; ","")&amp;IF(IFERROR(IF(AND(LEN(J502)=6,ISNUMBER(VALUE(J502))),0,1),1)=1,"Pincode; ","")&amp;IF(IFERROR(IF(ISNUMBER(MATCH(TRIM(I502),Lists!$A$2:$A$20,0)),0,1),1)=1,"State; ","")&amp;IF(IFERROR(IF(AND(LEN(K502)=10,VALUE(LEFT(K502,FIND("/",K502)-1))&gt;=1,VALUE(LEFT(K502,FIND("/",K502)-1))&lt;=31,VALUE(LEFT(MID(K502,FIND("/",K502)+1,10),FIND("/",MID(K502,FIND("/",K502)+1,10))-1))&gt;=1,VALUE(LEFT(MID(K502,FIND("/",K502)+1,10),FIND("/",MID(K502,FIND("/",K502)+1,10))-1))&lt;=12,VALUE(LEFT(K502,FIND("/",K502)-1))&lt;=DAY(EOMONTH(DATE(VALUE(MID(MID(K502,FIND("/",K502)+1,10),FIND("/",MID(K502,FIND("/",K502)+1,10))+1,4)),VALUE(LEFT(MID(K502,FIND("/",K502)+1,10),FIND("/",MID(K502,FIND("/",K502)+1,10))-1)),1),0))),0,1),1)=1,"Date; ","")&amp;IF(IFERROR(IF(M502&gt;=0,0,1),1)=1,"Amount; ","")&amp;IF(IFERROR(IF(ISNUMBER(MATCH(N502,Lists!$B$2:$B$7,0)),0,1),1)=1,"Payment; ","")))</f>
        <v/>
      </c>
      <c r="R502" s="3" t="str">
        <f aca="false">IF(D502="","",IF(COUNTIFS($D$2:$D$701,D502,$E$2:$E$701,E502)&gt;1,"DUPLICATE","Unique"))</f>
        <v/>
      </c>
    </row>
    <row r="503" customFormat="false" ht="15" hidden="false" customHeight="false" outlineLevel="0" collapsed="false">
      <c r="A503" s="3" t="n">
        <v>502</v>
      </c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3" t="n">
        <f aca="false">IFERROR(LEN(C503&amp;D503&amp;E503&amp;F503&amp;G503&amp;H503&amp;I503&amp;J503&amp;K503&amp;L503&amp;M503&amp;N503)/5,0)</f>
        <v>0</v>
      </c>
      <c r="P503" s="3" t="str">
        <f aca="false">IF(OR(D503="",C503=""),"",IF((IFERROR(IF(AND(TRIM(D503)=D503,LEN(D503)&gt;0),0,1),1)+IFERROR(IF(AND(LEN(E503)=10,ISNUMBER(VALUE(E503))),0,1),1)+IFERROR(IF(AND(ISNUMBER(SEARCH("@",F503)),ISNUMBER(SEARCH(".",F503))),0,1),1)+IFERROR(IF(AND(LEN(J503)=6,ISNUMBER(VALUE(J503))),0,1),1)+IFERROR(IF(ISNUMBER(MATCH(TRIM(I503),Lists!$A$2:$A$20,0)),0,1),1)+IFERROR(IF(AND(LEN(K503)=10,VALUE(LEFT(K503,FIND("/",K503)-1))&gt;=1,VALUE(LEFT(K503,FIND("/",K503)-1))&lt;=31,VALUE(LEFT(MID(K503,FIND("/",K503)+1,10),FIND("/",MID(K503,FIND("/",K503)+1,10))-1))&gt;=1,VALUE(LEFT(MID(K503,FIND("/",K503)+1,10),FIND("/",MID(K503,FIND("/",K503)+1,10))-1))&lt;=12,VALUE(LEFT(K503,FIND("/",K503)-1))&lt;=DAY(EOMONTH(DATE(VALUE(MID(MID(K503,FIND("/",K503)+1,10),FIND("/",MID(K503,FIND("/",K503)+1,10))+1,4)),VALUE(LEFT(MID(K503,FIND("/",K503)+1,10),FIND("/",MID(K503,FIND("/",K503)+1,10))-1)),1),0))),0,1),1)+IFERROR(IF(M503&gt;=0,0,1),1)+IFERROR(IF(ISNUMBER(MATCH(N503,Lists!$B$2:$B$7,0)),0,1),1))=0,"OK","ERROR"))</f>
        <v/>
      </c>
      <c r="Q503" s="3" t="str">
        <f aca="false">IF(D503="","",TRIM(IF(IFERROR(IF(AND(TRIM(D503)=D503,LEN(D503)&gt;0),0,1),1)=1,"Name; ","")&amp;IF(IFERROR(IF(AND(LEN(E503)=10,ISNUMBER(VALUE(E503))),0,1),1)=1,"Phone; ","")&amp;IF(IFERROR(IF(AND(ISNUMBER(SEARCH("@",F503)),ISNUMBER(SEARCH(".",F503))),0,1),1)=1,"Email; ","")&amp;IF(IFERROR(IF(AND(LEN(J503)=6,ISNUMBER(VALUE(J503))),0,1),1)=1,"Pincode; ","")&amp;IF(IFERROR(IF(ISNUMBER(MATCH(TRIM(I503),Lists!$A$2:$A$20,0)),0,1),1)=1,"State; ","")&amp;IF(IFERROR(IF(AND(LEN(K503)=10,VALUE(LEFT(K503,FIND("/",K503)-1))&gt;=1,VALUE(LEFT(K503,FIND("/",K503)-1))&lt;=31,VALUE(LEFT(MID(K503,FIND("/",K503)+1,10),FIND("/",MID(K503,FIND("/",K503)+1,10))-1))&gt;=1,VALUE(LEFT(MID(K503,FIND("/",K503)+1,10),FIND("/",MID(K503,FIND("/",K503)+1,10))-1))&lt;=12,VALUE(LEFT(K503,FIND("/",K503)-1))&lt;=DAY(EOMONTH(DATE(VALUE(MID(MID(K503,FIND("/",K503)+1,10),FIND("/",MID(K503,FIND("/",K503)+1,10))+1,4)),VALUE(LEFT(MID(K503,FIND("/",K503)+1,10),FIND("/",MID(K503,FIND("/",K503)+1,10))-1)),1),0))),0,1),1)=1,"Date; ","")&amp;IF(IFERROR(IF(M503&gt;=0,0,1),1)=1,"Amount; ","")&amp;IF(IFERROR(IF(ISNUMBER(MATCH(N503,Lists!$B$2:$B$7,0)),0,1),1)=1,"Payment; ","")))</f>
        <v/>
      </c>
      <c r="R503" s="3" t="str">
        <f aca="false">IF(D503="","",IF(COUNTIFS($D$2:$D$701,D503,$E$2:$E$701,E503)&gt;1,"DUPLICATE","Unique"))</f>
        <v/>
      </c>
    </row>
    <row r="504" customFormat="false" ht="15" hidden="false" customHeight="false" outlineLevel="0" collapsed="false">
      <c r="A504" s="3" t="n">
        <v>503</v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3" t="n">
        <f aca="false">IFERROR(LEN(C504&amp;D504&amp;E504&amp;F504&amp;G504&amp;H504&amp;I504&amp;J504&amp;K504&amp;L504&amp;M504&amp;N504)/5,0)</f>
        <v>0</v>
      </c>
      <c r="P504" s="3" t="str">
        <f aca="false">IF(OR(D504="",C504=""),"",IF((IFERROR(IF(AND(TRIM(D504)=D504,LEN(D504)&gt;0),0,1),1)+IFERROR(IF(AND(LEN(E504)=10,ISNUMBER(VALUE(E504))),0,1),1)+IFERROR(IF(AND(ISNUMBER(SEARCH("@",F504)),ISNUMBER(SEARCH(".",F504))),0,1),1)+IFERROR(IF(AND(LEN(J504)=6,ISNUMBER(VALUE(J504))),0,1),1)+IFERROR(IF(ISNUMBER(MATCH(TRIM(I504),Lists!$A$2:$A$20,0)),0,1),1)+IFERROR(IF(AND(LEN(K504)=10,VALUE(LEFT(K504,FIND("/",K504)-1))&gt;=1,VALUE(LEFT(K504,FIND("/",K504)-1))&lt;=31,VALUE(LEFT(MID(K504,FIND("/",K504)+1,10),FIND("/",MID(K504,FIND("/",K504)+1,10))-1))&gt;=1,VALUE(LEFT(MID(K504,FIND("/",K504)+1,10),FIND("/",MID(K504,FIND("/",K504)+1,10))-1))&lt;=12,VALUE(LEFT(K504,FIND("/",K504)-1))&lt;=DAY(EOMONTH(DATE(VALUE(MID(MID(K504,FIND("/",K504)+1,10),FIND("/",MID(K504,FIND("/",K504)+1,10))+1,4)),VALUE(LEFT(MID(K504,FIND("/",K504)+1,10),FIND("/",MID(K504,FIND("/",K504)+1,10))-1)),1),0))),0,1),1)+IFERROR(IF(M504&gt;=0,0,1),1)+IFERROR(IF(ISNUMBER(MATCH(N504,Lists!$B$2:$B$7,0)),0,1),1))=0,"OK","ERROR"))</f>
        <v/>
      </c>
      <c r="Q504" s="3" t="str">
        <f aca="false">IF(D504="","",TRIM(IF(IFERROR(IF(AND(TRIM(D504)=D504,LEN(D504)&gt;0),0,1),1)=1,"Name; ","")&amp;IF(IFERROR(IF(AND(LEN(E504)=10,ISNUMBER(VALUE(E504))),0,1),1)=1,"Phone; ","")&amp;IF(IFERROR(IF(AND(ISNUMBER(SEARCH("@",F504)),ISNUMBER(SEARCH(".",F504))),0,1),1)=1,"Email; ","")&amp;IF(IFERROR(IF(AND(LEN(J504)=6,ISNUMBER(VALUE(J504))),0,1),1)=1,"Pincode; ","")&amp;IF(IFERROR(IF(ISNUMBER(MATCH(TRIM(I504),Lists!$A$2:$A$20,0)),0,1),1)=1,"State; ","")&amp;IF(IFERROR(IF(AND(LEN(K504)=10,VALUE(LEFT(K504,FIND("/",K504)-1))&gt;=1,VALUE(LEFT(K504,FIND("/",K504)-1))&lt;=31,VALUE(LEFT(MID(K504,FIND("/",K504)+1,10),FIND("/",MID(K504,FIND("/",K504)+1,10))-1))&gt;=1,VALUE(LEFT(MID(K504,FIND("/",K504)+1,10),FIND("/",MID(K504,FIND("/",K504)+1,10))-1))&lt;=12,VALUE(LEFT(K504,FIND("/",K504)-1))&lt;=DAY(EOMONTH(DATE(VALUE(MID(MID(K504,FIND("/",K504)+1,10),FIND("/",MID(K504,FIND("/",K504)+1,10))+1,4)),VALUE(LEFT(MID(K504,FIND("/",K504)+1,10),FIND("/",MID(K504,FIND("/",K504)+1,10))-1)),1),0))),0,1),1)=1,"Date; ","")&amp;IF(IFERROR(IF(M504&gt;=0,0,1),1)=1,"Amount; ","")&amp;IF(IFERROR(IF(ISNUMBER(MATCH(N504,Lists!$B$2:$B$7,0)),0,1),1)=1,"Payment; ","")))</f>
        <v/>
      </c>
      <c r="R504" s="3" t="str">
        <f aca="false">IF(D504="","",IF(COUNTIFS($D$2:$D$701,D504,$E$2:$E$701,E504)&gt;1,"DUPLICATE","Unique"))</f>
        <v/>
      </c>
    </row>
    <row r="505" customFormat="false" ht="15" hidden="false" customHeight="false" outlineLevel="0" collapsed="false">
      <c r="A505" s="3" t="n">
        <v>504</v>
      </c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3" t="n">
        <f aca="false">IFERROR(LEN(C505&amp;D505&amp;E505&amp;F505&amp;G505&amp;H505&amp;I505&amp;J505&amp;K505&amp;L505&amp;M505&amp;N505)/5,0)</f>
        <v>0</v>
      </c>
      <c r="P505" s="3" t="str">
        <f aca="false">IF(OR(D505="",C505=""),"",IF((IFERROR(IF(AND(TRIM(D505)=D505,LEN(D505)&gt;0),0,1),1)+IFERROR(IF(AND(LEN(E505)=10,ISNUMBER(VALUE(E505))),0,1),1)+IFERROR(IF(AND(ISNUMBER(SEARCH("@",F505)),ISNUMBER(SEARCH(".",F505))),0,1),1)+IFERROR(IF(AND(LEN(J505)=6,ISNUMBER(VALUE(J505))),0,1),1)+IFERROR(IF(ISNUMBER(MATCH(TRIM(I505),Lists!$A$2:$A$20,0)),0,1),1)+IFERROR(IF(AND(LEN(K505)=10,VALUE(LEFT(K505,FIND("/",K505)-1))&gt;=1,VALUE(LEFT(K505,FIND("/",K505)-1))&lt;=31,VALUE(LEFT(MID(K505,FIND("/",K505)+1,10),FIND("/",MID(K505,FIND("/",K505)+1,10))-1))&gt;=1,VALUE(LEFT(MID(K505,FIND("/",K505)+1,10),FIND("/",MID(K505,FIND("/",K505)+1,10))-1))&lt;=12,VALUE(LEFT(K505,FIND("/",K505)-1))&lt;=DAY(EOMONTH(DATE(VALUE(MID(MID(K505,FIND("/",K505)+1,10),FIND("/",MID(K505,FIND("/",K505)+1,10))+1,4)),VALUE(LEFT(MID(K505,FIND("/",K505)+1,10),FIND("/",MID(K505,FIND("/",K505)+1,10))-1)),1),0))),0,1),1)+IFERROR(IF(M505&gt;=0,0,1),1)+IFERROR(IF(ISNUMBER(MATCH(N505,Lists!$B$2:$B$7,0)),0,1),1))=0,"OK","ERROR"))</f>
        <v/>
      </c>
      <c r="Q505" s="3" t="str">
        <f aca="false">IF(D505="","",TRIM(IF(IFERROR(IF(AND(TRIM(D505)=D505,LEN(D505)&gt;0),0,1),1)=1,"Name; ","")&amp;IF(IFERROR(IF(AND(LEN(E505)=10,ISNUMBER(VALUE(E505))),0,1),1)=1,"Phone; ","")&amp;IF(IFERROR(IF(AND(ISNUMBER(SEARCH("@",F505)),ISNUMBER(SEARCH(".",F505))),0,1),1)=1,"Email; ","")&amp;IF(IFERROR(IF(AND(LEN(J505)=6,ISNUMBER(VALUE(J505))),0,1),1)=1,"Pincode; ","")&amp;IF(IFERROR(IF(ISNUMBER(MATCH(TRIM(I505),Lists!$A$2:$A$20,0)),0,1),1)=1,"State; ","")&amp;IF(IFERROR(IF(AND(LEN(K505)=10,VALUE(LEFT(K505,FIND("/",K505)-1))&gt;=1,VALUE(LEFT(K505,FIND("/",K505)-1))&lt;=31,VALUE(LEFT(MID(K505,FIND("/",K505)+1,10),FIND("/",MID(K505,FIND("/",K505)+1,10))-1))&gt;=1,VALUE(LEFT(MID(K505,FIND("/",K505)+1,10),FIND("/",MID(K505,FIND("/",K505)+1,10))-1))&lt;=12,VALUE(LEFT(K505,FIND("/",K505)-1))&lt;=DAY(EOMONTH(DATE(VALUE(MID(MID(K505,FIND("/",K505)+1,10),FIND("/",MID(K505,FIND("/",K505)+1,10))+1,4)),VALUE(LEFT(MID(K505,FIND("/",K505)+1,10),FIND("/",MID(K505,FIND("/",K505)+1,10))-1)),1),0))),0,1),1)=1,"Date; ","")&amp;IF(IFERROR(IF(M505&gt;=0,0,1),1)=1,"Amount; ","")&amp;IF(IFERROR(IF(ISNUMBER(MATCH(N505,Lists!$B$2:$B$7,0)),0,1),1)=1,"Payment; ","")))</f>
        <v/>
      </c>
      <c r="R505" s="3" t="str">
        <f aca="false">IF(D505="","",IF(COUNTIFS($D$2:$D$701,D505,$E$2:$E$701,E505)&gt;1,"DUPLICATE","Unique"))</f>
        <v/>
      </c>
    </row>
    <row r="506" customFormat="false" ht="15" hidden="false" customHeight="false" outlineLevel="0" collapsed="false">
      <c r="A506" s="3" t="n">
        <v>505</v>
      </c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3" t="n">
        <f aca="false">IFERROR(LEN(C506&amp;D506&amp;E506&amp;F506&amp;G506&amp;H506&amp;I506&amp;J506&amp;K506&amp;L506&amp;M506&amp;N506)/5,0)</f>
        <v>0</v>
      </c>
      <c r="P506" s="3" t="str">
        <f aca="false">IF(OR(D506="",C506=""),"",IF((IFERROR(IF(AND(TRIM(D506)=D506,LEN(D506)&gt;0),0,1),1)+IFERROR(IF(AND(LEN(E506)=10,ISNUMBER(VALUE(E506))),0,1),1)+IFERROR(IF(AND(ISNUMBER(SEARCH("@",F506)),ISNUMBER(SEARCH(".",F506))),0,1),1)+IFERROR(IF(AND(LEN(J506)=6,ISNUMBER(VALUE(J506))),0,1),1)+IFERROR(IF(ISNUMBER(MATCH(TRIM(I506),Lists!$A$2:$A$20,0)),0,1),1)+IFERROR(IF(AND(LEN(K506)=10,VALUE(LEFT(K506,FIND("/",K506)-1))&gt;=1,VALUE(LEFT(K506,FIND("/",K506)-1))&lt;=31,VALUE(LEFT(MID(K506,FIND("/",K506)+1,10),FIND("/",MID(K506,FIND("/",K506)+1,10))-1))&gt;=1,VALUE(LEFT(MID(K506,FIND("/",K506)+1,10),FIND("/",MID(K506,FIND("/",K506)+1,10))-1))&lt;=12,VALUE(LEFT(K506,FIND("/",K506)-1))&lt;=DAY(EOMONTH(DATE(VALUE(MID(MID(K506,FIND("/",K506)+1,10),FIND("/",MID(K506,FIND("/",K506)+1,10))+1,4)),VALUE(LEFT(MID(K506,FIND("/",K506)+1,10),FIND("/",MID(K506,FIND("/",K506)+1,10))-1)),1),0))),0,1),1)+IFERROR(IF(M506&gt;=0,0,1),1)+IFERROR(IF(ISNUMBER(MATCH(N506,Lists!$B$2:$B$7,0)),0,1),1))=0,"OK","ERROR"))</f>
        <v/>
      </c>
      <c r="Q506" s="3" t="str">
        <f aca="false">IF(D506="","",TRIM(IF(IFERROR(IF(AND(TRIM(D506)=D506,LEN(D506)&gt;0),0,1),1)=1,"Name; ","")&amp;IF(IFERROR(IF(AND(LEN(E506)=10,ISNUMBER(VALUE(E506))),0,1),1)=1,"Phone; ","")&amp;IF(IFERROR(IF(AND(ISNUMBER(SEARCH("@",F506)),ISNUMBER(SEARCH(".",F506))),0,1),1)=1,"Email; ","")&amp;IF(IFERROR(IF(AND(LEN(J506)=6,ISNUMBER(VALUE(J506))),0,1),1)=1,"Pincode; ","")&amp;IF(IFERROR(IF(ISNUMBER(MATCH(TRIM(I506),Lists!$A$2:$A$20,0)),0,1),1)=1,"State; ","")&amp;IF(IFERROR(IF(AND(LEN(K506)=10,VALUE(LEFT(K506,FIND("/",K506)-1))&gt;=1,VALUE(LEFT(K506,FIND("/",K506)-1))&lt;=31,VALUE(LEFT(MID(K506,FIND("/",K506)+1,10),FIND("/",MID(K506,FIND("/",K506)+1,10))-1))&gt;=1,VALUE(LEFT(MID(K506,FIND("/",K506)+1,10),FIND("/",MID(K506,FIND("/",K506)+1,10))-1))&lt;=12,VALUE(LEFT(K506,FIND("/",K506)-1))&lt;=DAY(EOMONTH(DATE(VALUE(MID(MID(K506,FIND("/",K506)+1,10),FIND("/",MID(K506,FIND("/",K506)+1,10))+1,4)),VALUE(LEFT(MID(K506,FIND("/",K506)+1,10),FIND("/",MID(K506,FIND("/",K506)+1,10))-1)),1),0))),0,1),1)=1,"Date; ","")&amp;IF(IFERROR(IF(M506&gt;=0,0,1),1)=1,"Amount; ","")&amp;IF(IFERROR(IF(ISNUMBER(MATCH(N506,Lists!$B$2:$B$7,0)),0,1),1)=1,"Payment; ","")))</f>
        <v/>
      </c>
      <c r="R506" s="3" t="str">
        <f aca="false">IF(D506="","",IF(COUNTIFS($D$2:$D$701,D506,$E$2:$E$701,E506)&gt;1,"DUPLICATE","Unique"))</f>
        <v/>
      </c>
    </row>
    <row r="507" customFormat="false" ht="15" hidden="false" customHeight="false" outlineLevel="0" collapsed="false">
      <c r="A507" s="3" t="n">
        <v>506</v>
      </c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3" t="n">
        <f aca="false">IFERROR(LEN(C507&amp;D507&amp;E507&amp;F507&amp;G507&amp;H507&amp;I507&amp;J507&amp;K507&amp;L507&amp;M507&amp;N507)/5,0)</f>
        <v>0</v>
      </c>
      <c r="P507" s="3" t="str">
        <f aca="false">IF(OR(D507="",C507=""),"",IF((IFERROR(IF(AND(TRIM(D507)=D507,LEN(D507)&gt;0),0,1),1)+IFERROR(IF(AND(LEN(E507)=10,ISNUMBER(VALUE(E507))),0,1),1)+IFERROR(IF(AND(ISNUMBER(SEARCH("@",F507)),ISNUMBER(SEARCH(".",F507))),0,1),1)+IFERROR(IF(AND(LEN(J507)=6,ISNUMBER(VALUE(J507))),0,1),1)+IFERROR(IF(ISNUMBER(MATCH(TRIM(I507),Lists!$A$2:$A$20,0)),0,1),1)+IFERROR(IF(AND(LEN(K507)=10,VALUE(LEFT(K507,FIND("/",K507)-1))&gt;=1,VALUE(LEFT(K507,FIND("/",K507)-1))&lt;=31,VALUE(LEFT(MID(K507,FIND("/",K507)+1,10),FIND("/",MID(K507,FIND("/",K507)+1,10))-1))&gt;=1,VALUE(LEFT(MID(K507,FIND("/",K507)+1,10),FIND("/",MID(K507,FIND("/",K507)+1,10))-1))&lt;=12,VALUE(LEFT(K507,FIND("/",K507)-1))&lt;=DAY(EOMONTH(DATE(VALUE(MID(MID(K507,FIND("/",K507)+1,10),FIND("/",MID(K507,FIND("/",K507)+1,10))+1,4)),VALUE(LEFT(MID(K507,FIND("/",K507)+1,10),FIND("/",MID(K507,FIND("/",K507)+1,10))-1)),1),0))),0,1),1)+IFERROR(IF(M507&gt;=0,0,1),1)+IFERROR(IF(ISNUMBER(MATCH(N507,Lists!$B$2:$B$7,0)),0,1),1))=0,"OK","ERROR"))</f>
        <v/>
      </c>
      <c r="Q507" s="3" t="str">
        <f aca="false">IF(D507="","",TRIM(IF(IFERROR(IF(AND(TRIM(D507)=D507,LEN(D507)&gt;0),0,1),1)=1,"Name; ","")&amp;IF(IFERROR(IF(AND(LEN(E507)=10,ISNUMBER(VALUE(E507))),0,1),1)=1,"Phone; ","")&amp;IF(IFERROR(IF(AND(ISNUMBER(SEARCH("@",F507)),ISNUMBER(SEARCH(".",F507))),0,1),1)=1,"Email; ","")&amp;IF(IFERROR(IF(AND(LEN(J507)=6,ISNUMBER(VALUE(J507))),0,1),1)=1,"Pincode; ","")&amp;IF(IFERROR(IF(ISNUMBER(MATCH(TRIM(I507),Lists!$A$2:$A$20,0)),0,1),1)=1,"State; ","")&amp;IF(IFERROR(IF(AND(LEN(K507)=10,VALUE(LEFT(K507,FIND("/",K507)-1))&gt;=1,VALUE(LEFT(K507,FIND("/",K507)-1))&lt;=31,VALUE(LEFT(MID(K507,FIND("/",K507)+1,10),FIND("/",MID(K507,FIND("/",K507)+1,10))-1))&gt;=1,VALUE(LEFT(MID(K507,FIND("/",K507)+1,10),FIND("/",MID(K507,FIND("/",K507)+1,10))-1))&lt;=12,VALUE(LEFT(K507,FIND("/",K507)-1))&lt;=DAY(EOMONTH(DATE(VALUE(MID(MID(K507,FIND("/",K507)+1,10),FIND("/",MID(K507,FIND("/",K507)+1,10))+1,4)),VALUE(LEFT(MID(K507,FIND("/",K507)+1,10),FIND("/",MID(K507,FIND("/",K507)+1,10))-1)),1),0))),0,1),1)=1,"Date; ","")&amp;IF(IFERROR(IF(M507&gt;=0,0,1),1)=1,"Amount; ","")&amp;IF(IFERROR(IF(ISNUMBER(MATCH(N507,Lists!$B$2:$B$7,0)),0,1),1)=1,"Payment; ","")))</f>
        <v/>
      </c>
      <c r="R507" s="3" t="str">
        <f aca="false">IF(D507="","",IF(COUNTIFS($D$2:$D$701,D507,$E$2:$E$701,E507)&gt;1,"DUPLICATE","Unique"))</f>
        <v/>
      </c>
    </row>
    <row r="508" customFormat="false" ht="15" hidden="false" customHeight="false" outlineLevel="0" collapsed="false">
      <c r="A508" s="3" t="n">
        <v>507</v>
      </c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3" t="n">
        <f aca="false">IFERROR(LEN(C508&amp;D508&amp;E508&amp;F508&amp;G508&amp;H508&amp;I508&amp;J508&amp;K508&amp;L508&amp;M508&amp;N508)/5,0)</f>
        <v>0</v>
      </c>
      <c r="P508" s="3" t="str">
        <f aca="false">IF(OR(D508="",C508=""),"",IF((IFERROR(IF(AND(TRIM(D508)=D508,LEN(D508)&gt;0),0,1),1)+IFERROR(IF(AND(LEN(E508)=10,ISNUMBER(VALUE(E508))),0,1),1)+IFERROR(IF(AND(ISNUMBER(SEARCH("@",F508)),ISNUMBER(SEARCH(".",F508))),0,1),1)+IFERROR(IF(AND(LEN(J508)=6,ISNUMBER(VALUE(J508))),0,1),1)+IFERROR(IF(ISNUMBER(MATCH(TRIM(I508),Lists!$A$2:$A$20,0)),0,1),1)+IFERROR(IF(AND(LEN(K508)=10,VALUE(LEFT(K508,FIND("/",K508)-1))&gt;=1,VALUE(LEFT(K508,FIND("/",K508)-1))&lt;=31,VALUE(LEFT(MID(K508,FIND("/",K508)+1,10),FIND("/",MID(K508,FIND("/",K508)+1,10))-1))&gt;=1,VALUE(LEFT(MID(K508,FIND("/",K508)+1,10),FIND("/",MID(K508,FIND("/",K508)+1,10))-1))&lt;=12,VALUE(LEFT(K508,FIND("/",K508)-1))&lt;=DAY(EOMONTH(DATE(VALUE(MID(MID(K508,FIND("/",K508)+1,10),FIND("/",MID(K508,FIND("/",K508)+1,10))+1,4)),VALUE(LEFT(MID(K508,FIND("/",K508)+1,10),FIND("/",MID(K508,FIND("/",K508)+1,10))-1)),1),0))),0,1),1)+IFERROR(IF(M508&gt;=0,0,1),1)+IFERROR(IF(ISNUMBER(MATCH(N508,Lists!$B$2:$B$7,0)),0,1),1))=0,"OK","ERROR"))</f>
        <v/>
      </c>
      <c r="Q508" s="3" t="str">
        <f aca="false">IF(D508="","",TRIM(IF(IFERROR(IF(AND(TRIM(D508)=D508,LEN(D508)&gt;0),0,1),1)=1,"Name; ","")&amp;IF(IFERROR(IF(AND(LEN(E508)=10,ISNUMBER(VALUE(E508))),0,1),1)=1,"Phone; ","")&amp;IF(IFERROR(IF(AND(ISNUMBER(SEARCH("@",F508)),ISNUMBER(SEARCH(".",F508))),0,1),1)=1,"Email; ","")&amp;IF(IFERROR(IF(AND(LEN(J508)=6,ISNUMBER(VALUE(J508))),0,1),1)=1,"Pincode; ","")&amp;IF(IFERROR(IF(ISNUMBER(MATCH(TRIM(I508),Lists!$A$2:$A$20,0)),0,1),1)=1,"State; ","")&amp;IF(IFERROR(IF(AND(LEN(K508)=10,VALUE(LEFT(K508,FIND("/",K508)-1))&gt;=1,VALUE(LEFT(K508,FIND("/",K508)-1))&lt;=31,VALUE(LEFT(MID(K508,FIND("/",K508)+1,10),FIND("/",MID(K508,FIND("/",K508)+1,10))-1))&gt;=1,VALUE(LEFT(MID(K508,FIND("/",K508)+1,10),FIND("/",MID(K508,FIND("/",K508)+1,10))-1))&lt;=12,VALUE(LEFT(K508,FIND("/",K508)-1))&lt;=DAY(EOMONTH(DATE(VALUE(MID(MID(K508,FIND("/",K508)+1,10),FIND("/",MID(K508,FIND("/",K508)+1,10))+1,4)),VALUE(LEFT(MID(K508,FIND("/",K508)+1,10),FIND("/",MID(K508,FIND("/",K508)+1,10))-1)),1),0))),0,1),1)=1,"Date; ","")&amp;IF(IFERROR(IF(M508&gt;=0,0,1),1)=1,"Amount; ","")&amp;IF(IFERROR(IF(ISNUMBER(MATCH(N508,Lists!$B$2:$B$7,0)),0,1),1)=1,"Payment; ","")))</f>
        <v/>
      </c>
      <c r="R508" s="3" t="str">
        <f aca="false">IF(D508="","",IF(COUNTIFS($D$2:$D$701,D508,$E$2:$E$701,E508)&gt;1,"DUPLICATE","Unique"))</f>
        <v/>
      </c>
    </row>
    <row r="509" customFormat="false" ht="15" hidden="false" customHeight="false" outlineLevel="0" collapsed="false">
      <c r="A509" s="3" t="n">
        <v>508</v>
      </c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3" t="n">
        <f aca="false">IFERROR(LEN(C509&amp;D509&amp;E509&amp;F509&amp;G509&amp;H509&amp;I509&amp;J509&amp;K509&amp;L509&amp;M509&amp;N509)/5,0)</f>
        <v>0</v>
      </c>
      <c r="P509" s="3" t="str">
        <f aca="false">IF(OR(D509="",C509=""),"",IF((IFERROR(IF(AND(TRIM(D509)=D509,LEN(D509)&gt;0),0,1),1)+IFERROR(IF(AND(LEN(E509)=10,ISNUMBER(VALUE(E509))),0,1),1)+IFERROR(IF(AND(ISNUMBER(SEARCH("@",F509)),ISNUMBER(SEARCH(".",F509))),0,1),1)+IFERROR(IF(AND(LEN(J509)=6,ISNUMBER(VALUE(J509))),0,1),1)+IFERROR(IF(ISNUMBER(MATCH(TRIM(I509),Lists!$A$2:$A$20,0)),0,1),1)+IFERROR(IF(AND(LEN(K509)=10,VALUE(LEFT(K509,FIND("/",K509)-1))&gt;=1,VALUE(LEFT(K509,FIND("/",K509)-1))&lt;=31,VALUE(LEFT(MID(K509,FIND("/",K509)+1,10),FIND("/",MID(K509,FIND("/",K509)+1,10))-1))&gt;=1,VALUE(LEFT(MID(K509,FIND("/",K509)+1,10),FIND("/",MID(K509,FIND("/",K509)+1,10))-1))&lt;=12,VALUE(LEFT(K509,FIND("/",K509)-1))&lt;=DAY(EOMONTH(DATE(VALUE(MID(MID(K509,FIND("/",K509)+1,10),FIND("/",MID(K509,FIND("/",K509)+1,10))+1,4)),VALUE(LEFT(MID(K509,FIND("/",K509)+1,10),FIND("/",MID(K509,FIND("/",K509)+1,10))-1)),1),0))),0,1),1)+IFERROR(IF(M509&gt;=0,0,1),1)+IFERROR(IF(ISNUMBER(MATCH(N509,Lists!$B$2:$B$7,0)),0,1),1))=0,"OK","ERROR"))</f>
        <v/>
      </c>
      <c r="Q509" s="3" t="str">
        <f aca="false">IF(D509="","",TRIM(IF(IFERROR(IF(AND(TRIM(D509)=D509,LEN(D509)&gt;0),0,1),1)=1,"Name; ","")&amp;IF(IFERROR(IF(AND(LEN(E509)=10,ISNUMBER(VALUE(E509))),0,1),1)=1,"Phone; ","")&amp;IF(IFERROR(IF(AND(ISNUMBER(SEARCH("@",F509)),ISNUMBER(SEARCH(".",F509))),0,1),1)=1,"Email; ","")&amp;IF(IFERROR(IF(AND(LEN(J509)=6,ISNUMBER(VALUE(J509))),0,1),1)=1,"Pincode; ","")&amp;IF(IFERROR(IF(ISNUMBER(MATCH(TRIM(I509),Lists!$A$2:$A$20,0)),0,1),1)=1,"State; ","")&amp;IF(IFERROR(IF(AND(LEN(K509)=10,VALUE(LEFT(K509,FIND("/",K509)-1))&gt;=1,VALUE(LEFT(K509,FIND("/",K509)-1))&lt;=31,VALUE(LEFT(MID(K509,FIND("/",K509)+1,10),FIND("/",MID(K509,FIND("/",K509)+1,10))-1))&gt;=1,VALUE(LEFT(MID(K509,FIND("/",K509)+1,10),FIND("/",MID(K509,FIND("/",K509)+1,10))-1))&lt;=12,VALUE(LEFT(K509,FIND("/",K509)-1))&lt;=DAY(EOMONTH(DATE(VALUE(MID(MID(K509,FIND("/",K509)+1,10),FIND("/",MID(K509,FIND("/",K509)+1,10))+1,4)),VALUE(LEFT(MID(K509,FIND("/",K509)+1,10),FIND("/",MID(K509,FIND("/",K509)+1,10))-1)),1),0))),0,1),1)=1,"Date; ","")&amp;IF(IFERROR(IF(M509&gt;=0,0,1),1)=1,"Amount; ","")&amp;IF(IFERROR(IF(ISNUMBER(MATCH(N509,Lists!$B$2:$B$7,0)),0,1),1)=1,"Payment; ","")))</f>
        <v/>
      </c>
      <c r="R509" s="3" t="str">
        <f aca="false">IF(D509="","",IF(COUNTIFS($D$2:$D$701,D509,$E$2:$E$701,E509)&gt;1,"DUPLICATE","Unique"))</f>
        <v/>
      </c>
    </row>
    <row r="510" customFormat="false" ht="15" hidden="false" customHeight="false" outlineLevel="0" collapsed="false">
      <c r="A510" s="3" t="n">
        <v>509</v>
      </c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3" t="n">
        <f aca="false">IFERROR(LEN(C510&amp;D510&amp;E510&amp;F510&amp;G510&amp;H510&amp;I510&amp;J510&amp;K510&amp;L510&amp;M510&amp;N510)/5,0)</f>
        <v>0</v>
      </c>
      <c r="P510" s="3" t="str">
        <f aca="false">IF(OR(D510="",C510=""),"",IF((IFERROR(IF(AND(TRIM(D510)=D510,LEN(D510)&gt;0),0,1),1)+IFERROR(IF(AND(LEN(E510)=10,ISNUMBER(VALUE(E510))),0,1),1)+IFERROR(IF(AND(ISNUMBER(SEARCH("@",F510)),ISNUMBER(SEARCH(".",F510))),0,1),1)+IFERROR(IF(AND(LEN(J510)=6,ISNUMBER(VALUE(J510))),0,1),1)+IFERROR(IF(ISNUMBER(MATCH(TRIM(I510),Lists!$A$2:$A$20,0)),0,1),1)+IFERROR(IF(AND(LEN(K510)=10,VALUE(LEFT(K510,FIND("/",K510)-1))&gt;=1,VALUE(LEFT(K510,FIND("/",K510)-1))&lt;=31,VALUE(LEFT(MID(K510,FIND("/",K510)+1,10),FIND("/",MID(K510,FIND("/",K510)+1,10))-1))&gt;=1,VALUE(LEFT(MID(K510,FIND("/",K510)+1,10),FIND("/",MID(K510,FIND("/",K510)+1,10))-1))&lt;=12,VALUE(LEFT(K510,FIND("/",K510)-1))&lt;=DAY(EOMONTH(DATE(VALUE(MID(MID(K510,FIND("/",K510)+1,10),FIND("/",MID(K510,FIND("/",K510)+1,10))+1,4)),VALUE(LEFT(MID(K510,FIND("/",K510)+1,10),FIND("/",MID(K510,FIND("/",K510)+1,10))-1)),1),0))),0,1),1)+IFERROR(IF(M510&gt;=0,0,1),1)+IFERROR(IF(ISNUMBER(MATCH(N510,Lists!$B$2:$B$7,0)),0,1),1))=0,"OK","ERROR"))</f>
        <v/>
      </c>
      <c r="Q510" s="3" t="str">
        <f aca="false">IF(D510="","",TRIM(IF(IFERROR(IF(AND(TRIM(D510)=D510,LEN(D510)&gt;0),0,1),1)=1,"Name; ","")&amp;IF(IFERROR(IF(AND(LEN(E510)=10,ISNUMBER(VALUE(E510))),0,1),1)=1,"Phone; ","")&amp;IF(IFERROR(IF(AND(ISNUMBER(SEARCH("@",F510)),ISNUMBER(SEARCH(".",F510))),0,1),1)=1,"Email; ","")&amp;IF(IFERROR(IF(AND(LEN(J510)=6,ISNUMBER(VALUE(J510))),0,1),1)=1,"Pincode; ","")&amp;IF(IFERROR(IF(ISNUMBER(MATCH(TRIM(I510),Lists!$A$2:$A$20,0)),0,1),1)=1,"State; ","")&amp;IF(IFERROR(IF(AND(LEN(K510)=10,VALUE(LEFT(K510,FIND("/",K510)-1))&gt;=1,VALUE(LEFT(K510,FIND("/",K510)-1))&lt;=31,VALUE(LEFT(MID(K510,FIND("/",K510)+1,10),FIND("/",MID(K510,FIND("/",K510)+1,10))-1))&gt;=1,VALUE(LEFT(MID(K510,FIND("/",K510)+1,10),FIND("/",MID(K510,FIND("/",K510)+1,10))-1))&lt;=12,VALUE(LEFT(K510,FIND("/",K510)-1))&lt;=DAY(EOMONTH(DATE(VALUE(MID(MID(K510,FIND("/",K510)+1,10),FIND("/",MID(K510,FIND("/",K510)+1,10))+1,4)),VALUE(LEFT(MID(K510,FIND("/",K510)+1,10),FIND("/",MID(K510,FIND("/",K510)+1,10))-1)),1),0))),0,1),1)=1,"Date; ","")&amp;IF(IFERROR(IF(M510&gt;=0,0,1),1)=1,"Amount; ","")&amp;IF(IFERROR(IF(ISNUMBER(MATCH(N510,Lists!$B$2:$B$7,0)),0,1),1)=1,"Payment; ","")))</f>
        <v/>
      </c>
      <c r="R510" s="3" t="str">
        <f aca="false">IF(D510="","",IF(COUNTIFS($D$2:$D$701,D510,$E$2:$E$701,E510)&gt;1,"DUPLICATE","Unique"))</f>
        <v/>
      </c>
    </row>
    <row r="511" customFormat="false" ht="15" hidden="false" customHeight="false" outlineLevel="0" collapsed="false">
      <c r="A511" s="3" t="n">
        <v>510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3" t="n">
        <f aca="false">IFERROR(LEN(C511&amp;D511&amp;E511&amp;F511&amp;G511&amp;H511&amp;I511&amp;J511&amp;K511&amp;L511&amp;M511&amp;N511)/5,0)</f>
        <v>0</v>
      </c>
      <c r="P511" s="3" t="str">
        <f aca="false">IF(OR(D511="",C511=""),"",IF((IFERROR(IF(AND(TRIM(D511)=D511,LEN(D511)&gt;0),0,1),1)+IFERROR(IF(AND(LEN(E511)=10,ISNUMBER(VALUE(E511))),0,1),1)+IFERROR(IF(AND(ISNUMBER(SEARCH("@",F511)),ISNUMBER(SEARCH(".",F511))),0,1),1)+IFERROR(IF(AND(LEN(J511)=6,ISNUMBER(VALUE(J511))),0,1),1)+IFERROR(IF(ISNUMBER(MATCH(TRIM(I511),Lists!$A$2:$A$20,0)),0,1),1)+IFERROR(IF(AND(LEN(K511)=10,VALUE(LEFT(K511,FIND("/",K511)-1))&gt;=1,VALUE(LEFT(K511,FIND("/",K511)-1))&lt;=31,VALUE(LEFT(MID(K511,FIND("/",K511)+1,10),FIND("/",MID(K511,FIND("/",K511)+1,10))-1))&gt;=1,VALUE(LEFT(MID(K511,FIND("/",K511)+1,10),FIND("/",MID(K511,FIND("/",K511)+1,10))-1))&lt;=12,VALUE(LEFT(K511,FIND("/",K511)-1))&lt;=DAY(EOMONTH(DATE(VALUE(MID(MID(K511,FIND("/",K511)+1,10),FIND("/",MID(K511,FIND("/",K511)+1,10))+1,4)),VALUE(LEFT(MID(K511,FIND("/",K511)+1,10),FIND("/",MID(K511,FIND("/",K511)+1,10))-1)),1),0))),0,1),1)+IFERROR(IF(M511&gt;=0,0,1),1)+IFERROR(IF(ISNUMBER(MATCH(N511,Lists!$B$2:$B$7,0)),0,1),1))=0,"OK","ERROR"))</f>
        <v/>
      </c>
      <c r="Q511" s="3" t="str">
        <f aca="false">IF(D511="","",TRIM(IF(IFERROR(IF(AND(TRIM(D511)=D511,LEN(D511)&gt;0),0,1),1)=1,"Name; ","")&amp;IF(IFERROR(IF(AND(LEN(E511)=10,ISNUMBER(VALUE(E511))),0,1),1)=1,"Phone; ","")&amp;IF(IFERROR(IF(AND(ISNUMBER(SEARCH("@",F511)),ISNUMBER(SEARCH(".",F511))),0,1),1)=1,"Email; ","")&amp;IF(IFERROR(IF(AND(LEN(J511)=6,ISNUMBER(VALUE(J511))),0,1),1)=1,"Pincode; ","")&amp;IF(IFERROR(IF(ISNUMBER(MATCH(TRIM(I511),Lists!$A$2:$A$20,0)),0,1),1)=1,"State; ","")&amp;IF(IFERROR(IF(AND(LEN(K511)=10,VALUE(LEFT(K511,FIND("/",K511)-1))&gt;=1,VALUE(LEFT(K511,FIND("/",K511)-1))&lt;=31,VALUE(LEFT(MID(K511,FIND("/",K511)+1,10),FIND("/",MID(K511,FIND("/",K511)+1,10))-1))&gt;=1,VALUE(LEFT(MID(K511,FIND("/",K511)+1,10),FIND("/",MID(K511,FIND("/",K511)+1,10))-1))&lt;=12,VALUE(LEFT(K511,FIND("/",K511)-1))&lt;=DAY(EOMONTH(DATE(VALUE(MID(MID(K511,FIND("/",K511)+1,10),FIND("/",MID(K511,FIND("/",K511)+1,10))+1,4)),VALUE(LEFT(MID(K511,FIND("/",K511)+1,10),FIND("/",MID(K511,FIND("/",K511)+1,10))-1)),1),0))),0,1),1)=1,"Date; ","")&amp;IF(IFERROR(IF(M511&gt;=0,0,1),1)=1,"Amount; ","")&amp;IF(IFERROR(IF(ISNUMBER(MATCH(N511,Lists!$B$2:$B$7,0)),0,1),1)=1,"Payment; ","")))</f>
        <v/>
      </c>
      <c r="R511" s="3" t="str">
        <f aca="false">IF(D511="","",IF(COUNTIFS($D$2:$D$701,D511,$E$2:$E$701,E511)&gt;1,"DUPLICATE","Unique"))</f>
        <v/>
      </c>
    </row>
    <row r="512" customFormat="false" ht="15" hidden="false" customHeight="false" outlineLevel="0" collapsed="false">
      <c r="A512" s="3" t="n">
        <v>511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3" t="n">
        <f aca="false">IFERROR(LEN(C512&amp;D512&amp;E512&amp;F512&amp;G512&amp;H512&amp;I512&amp;J512&amp;K512&amp;L512&amp;M512&amp;N512)/5,0)</f>
        <v>0</v>
      </c>
      <c r="P512" s="3" t="str">
        <f aca="false">IF(OR(D512="",C512=""),"",IF((IFERROR(IF(AND(TRIM(D512)=D512,LEN(D512)&gt;0),0,1),1)+IFERROR(IF(AND(LEN(E512)=10,ISNUMBER(VALUE(E512))),0,1),1)+IFERROR(IF(AND(ISNUMBER(SEARCH("@",F512)),ISNUMBER(SEARCH(".",F512))),0,1),1)+IFERROR(IF(AND(LEN(J512)=6,ISNUMBER(VALUE(J512))),0,1),1)+IFERROR(IF(ISNUMBER(MATCH(TRIM(I512),Lists!$A$2:$A$20,0)),0,1),1)+IFERROR(IF(AND(LEN(K512)=10,VALUE(LEFT(K512,FIND("/",K512)-1))&gt;=1,VALUE(LEFT(K512,FIND("/",K512)-1))&lt;=31,VALUE(LEFT(MID(K512,FIND("/",K512)+1,10),FIND("/",MID(K512,FIND("/",K512)+1,10))-1))&gt;=1,VALUE(LEFT(MID(K512,FIND("/",K512)+1,10),FIND("/",MID(K512,FIND("/",K512)+1,10))-1))&lt;=12,VALUE(LEFT(K512,FIND("/",K512)-1))&lt;=DAY(EOMONTH(DATE(VALUE(MID(MID(K512,FIND("/",K512)+1,10),FIND("/",MID(K512,FIND("/",K512)+1,10))+1,4)),VALUE(LEFT(MID(K512,FIND("/",K512)+1,10),FIND("/",MID(K512,FIND("/",K512)+1,10))-1)),1),0))),0,1),1)+IFERROR(IF(M512&gt;=0,0,1),1)+IFERROR(IF(ISNUMBER(MATCH(N512,Lists!$B$2:$B$7,0)),0,1),1))=0,"OK","ERROR"))</f>
        <v/>
      </c>
      <c r="Q512" s="3" t="str">
        <f aca="false">IF(D512="","",TRIM(IF(IFERROR(IF(AND(TRIM(D512)=D512,LEN(D512)&gt;0),0,1),1)=1,"Name; ","")&amp;IF(IFERROR(IF(AND(LEN(E512)=10,ISNUMBER(VALUE(E512))),0,1),1)=1,"Phone; ","")&amp;IF(IFERROR(IF(AND(ISNUMBER(SEARCH("@",F512)),ISNUMBER(SEARCH(".",F512))),0,1),1)=1,"Email; ","")&amp;IF(IFERROR(IF(AND(LEN(J512)=6,ISNUMBER(VALUE(J512))),0,1),1)=1,"Pincode; ","")&amp;IF(IFERROR(IF(ISNUMBER(MATCH(TRIM(I512),Lists!$A$2:$A$20,0)),0,1),1)=1,"State; ","")&amp;IF(IFERROR(IF(AND(LEN(K512)=10,VALUE(LEFT(K512,FIND("/",K512)-1))&gt;=1,VALUE(LEFT(K512,FIND("/",K512)-1))&lt;=31,VALUE(LEFT(MID(K512,FIND("/",K512)+1,10),FIND("/",MID(K512,FIND("/",K512)+1,10))-1))&gt;=1,VALUE(LEFT(MID(K512,FIND("/",K512)+1,10),FIND("/",MID(K512,FIND("/",K512)+1,10))-1))&lt;=12,VALUE(LEFT(K512,FIND("/",K512)-1))&lt;=DAY(EOMONTH(DATE(VALUE(MID(MID(K512,FIND("/",K512)+1,10),FIND("/",MID(K512,FIND("/",K512)+1,10))+1,4)),VALUE(LEFT(MID(K512,FIND("/",K512)+1,10),FIND("/",MID(K512,FIND("/",K512)+1,10))-1)),1),0))),0,1),1)=1,"Date; ","")&amp;IF(IFERROR(IF(M512&gt;=0,0,1),1)=1,"Amount; ","")&amp;IF(IFERROR(IF(ISNUMBER(MATCH(N512,Lists!$B$2:$B$7,0)),0,1),1)=1,"Payment; ","")))</f>
        <v/>
      </c>
      <c r="R512" s="3" t="str">
        <f aca="false">IF(D512="","",IF(COUNTIFS($D$2:$D$701,D512,$E$2:$E$701,E512)&gt;1,"DUPLICATE","Unique"))</f>
        <v/>
      </c>
    </row>
    <row r="513" customFormat="false" ht="15" hidden="false" customHeight="false" outlineLevel="0" collapsed="false">
      <c r="A513" s="3" t="n">
        <v>512</v>
      </c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3" t="n">
        <f aca="false">IFERROR(LEN(C513&amp;D513&amp;E513&amp;F513&amp;G513&amp;H513&amp;I513&amp;J513&amp;K513&amp;L513&amp;M513&amp;N513)/5,0)</f>
        <v>0</v>
      </c>
      <c r="P513" s="3" t="str">
        <f aca="false">IF(OR(D513="",C513=""),"",IF((IFERROR(IF(AND(TRIM(D513)=D513,LEN(D513)&gt;0),0,1),1)+IFERROR(IF(AND(LEN(E513)=10,ISNUMBER(VALUE(E513))),0,1),1)+IFERROR(IF(AND(ISNUMBER(SEARCH("@",F513)),ISNUMBER(SEARCH(".",F513))),0,1),1)+IFERROR(IF(AND(LEN(J513)=6,ISNUMBER(VALUE(J513))),0,1),1)+IFERROR(IF(ISNUMBER(MATCH(TRIM(I513),Lists!$A$2:$A$20,0)),0,1),1)+IFERROR(IF(AND(LEN(K513)=10,VALUE(LEFT(K513,FIND("/",K513)-1))&gt;=1,VALUE(LEFT(K513,FIND("/",K513)-1))&lt;=31,VALUE(LEFT(MID(K513,FIND("/",K513)+1,10),FIND("/",MID(K513,FIND("/",K513)+1,10))-1))&gt;=1,VALUE(LEFT(MID(K513,FIND("/",K513)+1,10),FIND("/",MID(K513,FIND("/",K513)+1,10))-1))&lt;=12,VALUE(LEFT(K513,FIND("/",K513)-1))&lt;=DAY(EOMONTH(DATE(VALUE(MID(MID(K513,FIND("/",K513)+1,10),FIND("/",MID(K513,FIND("/",K513)+1,10))+1,4)),VALUE(LEFT(MID(K513,FIND("/",K513)+1,10),FIND("/",MID(K513,FIND("/",K513)+1,10))-1)),1),0))),0,1),1)+IFERROR(IF(M513&gt;=0,0,1),1)+IFERROR(IF(ISNUMBER(MATCH(N513,Lists!$B$2:$B$7,0)),0,1),1))=0,"OK","ERROR"))</f>
        <v/>
      </c>
      <c r="Q513" s="3" t="str">
        <f aca="false">IF(D513="","",TRIM(IF(IFERROR(IF(AND(TRIM(D513)=D513,LEN(D513)&gt;0),0,1),1)=1,"Name; ","")&amp;IF(IFERROR(IF(AND(LEN(E513)=10,ISNUMBER(VALUE(E513))),0,1),1)=1,"Phone; ","")&amp;IF(IFERROR(IF(AND(ISNUMBER(SEARCH("@",F513)),ISNUMBER(SEARCH(".",F513))),0,1),1)=1,"Email; ","")&amp;IF(IFERROR(IF(AND(LEN(J513)=6,ISNUMBER(VALUE(J513))),0,1),1)=1,"Pincode; ","")&amp;IF(IFERROR(IF(ISNUMBER(MATCH(TRIM(I513),Lists!$A$2:$A$20,0)),0,1),1)=1,"State; ","")&amp;IF(IFERROR(IF(AND(LEN(K513)=10,VALUE(LEFT(K513,FIND("/",K513)-1))&gt;=1,VALUE(LEFT(K513,FIND("/",K513)-1))&lt;=31,VALUE(LEFT(MID(K513,FIND("/",K513)+1,10),FIND("/",MID(K513,FIND("/",K513)+1,10))-1))&gt;=1,VALUE(LEFT(MID(K513,FIND("/",K513)+1,10),FIND("/",MID(K513,FIND("/",K513)+1,10))-1))&lt;=12,VALUE(LEFT(K513,FIND("/",K513)-1))&lt;=DAY(EOMONTH(DATE(VALUE(MID(MID(K513,FIND("/",K513)+1,10),FIND("/",MID(K513,FIND("/",K513)+1,10))+1,4)),VALUE(LEFT(MID(K513,FIND("/",K513)+1,10),FIND("/",MID(K513,FIND("/",K513)+1,10))-1)),1),0))),0,1),1)=1,"Date; ","")&amp;IF(IFERROR(IF(M513&gt;=0,0,1),1)=1,"Amount; ","")&amp;IF(IFERROR(IF(ISNUMBER(MATCH(N513,Lists!$B$2:$B$7,0)),0,1),1)=1,"Payment; ","")))</f>
        <v/>
      </c>
      <c r="R513" s="3" t="str">
        <f aca="false">IF(D513="","",IF(COUNTIFS($D$2:$D$701,D513,$E$2:$E$701,E513)&gt;1,"DUPLICATE","Unique"))</f>
        <v/>
      </c>
    </row>
    <row r="514" customFormat="false" ht="15" hidden="false" customHeight="false" outlineLevel="0" collapsed="false">
      <c r="A514" s="3" t="n">
        <v>513</v>
      </c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3" t="n">
        <f aca="false">IFERROR(LEN(C514&amp;D514&amp;E514&amp;F514&amp;G514&amp;H514&amp;I514&amp;J514&amp;K514&amp;L514&amp;M514&amp;N514)/5,0)</f>
        <v>0</v>
      </c>
      <c r="P514" s="3" t="str">
        <f aca="false">IF(OR(D514="",C514=""),"",IF((IFERROR(IF(AND(TRIM(D514)=D514,LEN(D514)&gt;0),0,1),1)+IFERROR(IF(AND(LEN(E514)=10,ISNUMBER(VALUE(E514))),0,1),1)+IFERROR(IF(AND(ISNUMBER(SEARCH("@",F514)),ISNUMBER(SEARCH(".",F514))),0,1),1)+IFERROR(IF(AND(LEN(J514)=6,ISNUMBER(VALUE(J514))),0,1),1)+IFERROR(IF(ISNUMBER(MATCH(TRIM(I514),Lists!$A$2:$A$20,0)),0,1),1)+IFERROR(IF(AND(LEN(K514)=10,VALUE(LEFT(K514,FIND("/",K514)-1))&gt;=1,VALUE(LEFT(K514,FIND("/",K514)-1))&lt;=31,VALUE(LEFT(MID(K514,FIND("/",K514)+1,10),FIND("/",MID(K514,FIND("/",K514)+1,10))-1))&gt;=1,VALUE(LEFT(MID(K514,FIND("/",K514)+1,10),FIND("/",MID(K514,FIND("/",K514)+1,10))-1))&lt;=12,VALUE(LEFT(K514,FIND("/",K514)-1))&lt;=DAY(EOMONTH(DATE(VALUE(MID(MID(K514,FIND("/",K514)+1,10),FIND("/",MID(K514,FIND("/",K514)+1,10))+1,4)),VALUE(LEFT(MID(K514,FIND("/",K514)+1,10),FIND("/",MID(K514,FIND("/",K514)+1,10))-1)),1),0))),0,1),1)+IFERROR(IF(M514&gt;=0,0,1),1)+IFERROR(IF(ISNUMBER(MATCH(N514,Lists!$B$2:$B$7,0)),0,1),1))=0,"OK","ERROR"))</f>
        <v/>
      </c>
      <c r="Q514" s="3" t="str">
        <f aca="false">IF(D514="","",TRIM(IF(IFERROR(IF(AND(TRIM(D514)=D514,LEN(D514)&gt;0),0,1),1)=1,"Name; ","")&amp;IF(IFERROR(IF(AND(LEN(E514)=10,ISNUMBER(VALUE(E514))),0,1),1)=1,"Phone; ","")&amp;IF(IFERROR(IF(AND(ISNUMBER(SEARCH("@",F514)),ISNUMBER(SEARCH(".",F514))),0,1),1)=1,"Email; ","")&amp;IF(IFERROR(IF(AND(LEN(J514)=6,ISNUMBER(VALUE(J514))),0,1),1)=1,"Pincode; ","")&amp;IF(IFERROR(IF(ISNUMBER(MATCH(TRIM(I514),Lists!$A$2:$A$20,0)),0,1),1)=1,"State; ","")&amp;IF(IFERROR(IF(AND(LEN(K514)=10,VALUE(LEFT(K514,FIND("/",K514)-1))&gt;=1,VALUE(LEFT(K514,FIND("/",K514)-1))&lt;=31,VALUE(LEFT(MID(K514,FIND("/",K514)+1,10),FIND("/",MID(K514,FIND("/",K514)+1,10))-1))&gt;=1,VALUE(LEFT(MID(K514,FIND("/",K514)+1,10),FIND("/",MID(K514,FIND("/",K514)+1,10))-1))&lt;=12,VALUE(LEFT(K514,FIND("/",K514)-1))&lt;=DAY(EOMONTH(DATE(VALUE(MID(MID(K514,FIND("/",K514)+1,10),FIND("/",MID(K514,FIND("/",K514)+1,10))+1,4)),VALUE(LEFT(MID(K514,FIND("/",K514)+1,10),FIND("/",MID(K514,FIND("/",K514)+1,10))-1)),1),0))),0,1),1)=1,"Date; ","")&amp;IF(IFERROR(IF(M514&gt;=0,0,1),1)=1,"Amount; ","")&amp;IF(IFERROR(IF(ISNUMBER(MATCH(N514,Lists!$B$2:$B$7,0)),0,1),1)=1,"Payment; ","")))</f>
        <v/>
      </c>
      <c r="R514" s="3" t="str">
        <f aca="false">IF(D514="","",IF(COUNTIFS($D$2:$D$701,D514,$E$2:$E$701,E514)&gt;1,"DUPLICATE","Unique"))</f>
        <v/>
      </c>
    </row>
    <row r="515" customFormat="false" ht="15" hidden="false" customHeight="false" outlineLevel="0" collapsed="false">
      <c r="A515" s="3" t="n">
        <v>514</v>
      </c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3" t="n">
        <f aca="false">IFERROR(LEN(C515&amp;D515&amp;E515&amp;F515&amp;G515&amp;H515&amp;I515&amp;J515&amp;K515&amp;L515&amp;M515&amp;N515)/5,0)</f>
        <v>0</v>
      </c>
      <c r="P515" s="3" t="str">
        <f aca="false">IF(OR(D515="",C515=""),"",IF((IFERROR(IF(AND(TRIM(D515)=D515,LEN(D515)&gt;0),0,1),1)+IFERROR(IF(AND(LEN(E515)=10,ISNUMBER(VALUE(E515))),0,1),1)+IFERROR(IF(AND(ISNUMBER(SEARCH("@",F515)),ISNUMBER(SEARCH(".",F515))),0,1),1)+IFERROR(IF(AND(LEN(J515)=6,ISNUMBER(VALUE(J515))),0,1),1)+IFERROR(IF(ISNUMBER(MATCH(TRIM(I515),Lists!$A$2:$A$20,0)),0,1),1)+IFERROR(IF(AND(LEN(K515)=10,VALUE(LEFT(K515,FIND("/",K515)-1))&gt;=1,VALUE(LEFT(K515,FIND("/",K515)-1))&lt;=31,VALUE(LEFT(MID(K515,FIND("/",K515)+1,10),FIND("/",MID(K515,FIND("/",K515)+1,10))-1))&gt;=1,VALUE(LEFT(MID(K515,FIND("/",K515)+1,10),FIND("/",MID(K515,FIND("/",K515)+1,10))-1))&lt;=12,VALUE(LEFT(K515,FIND("/",K515)-1))&lt;=DAY(EOMONTH(DATE(VALUE(MID(MID(K515,FIND("/",K515)+1,10),FIND("/",MID(K515,FIND("/",K515)+1,10))+1,4)),VALUE(LEFT(MID(K515,FIND("/",K515)+1,10),FIND("/",MID(K515,FIND("/",K515)+1,10))-1)),1),0))),0,1),1)+IFERROR(IF(M515&gt;=0,0,1),1)+IFERROR(IF(ISNUMBER(MATCH(N515,Lists!$B$2:$B$7,0)),0,1),1))=0,"OK","ERROR"))</f>
        <v/>
      </c>
      <c r="Q515" s="3" t="str">
        <f aca="false">IF(D515="","",TRIM(IF(IFERROR(IF(AND(TRIM(D515)=D515,LEN(D515)&gt;0),0,1),1)=1,"Name; ","")&amp;IF(IFERROR(IF(AND(LEN(E515)=10,ISNUMBER(VALUE(E515))),0,1),1)=1,"Phone; ","")&amp;IF(IFERROR(IF(AND(ISNUMBER(SEARCH("@",F515)),ISNUMBER(SEARCH(".",F515))),0,1),1)=1,"Email; ","")&amp;IF(IFERROR(IF(AND(LEN(J515)=6,ISNUMBER(VALUE(J515))),0,1),1)=1,"Pincode; ","")&amp;IF(IFERROR(IF(ISNUMBER(MATCH(TRIM(I515),Lists!$A$2:$A$20,0)),0,1),1)=1,"State; ","")&amp;IF(IFERROR(IF(AND(LEN(K515)=10,VALUE(LEFT(K515,FIND("/",K515)-1))&gt;=1,VALUE(LEFT(K515,FIND("/",K515)-1))&lt;=31,VALUE(LEFT(MID(K515,FIND("/",K515)+1,10),FIND("/",MID(K515,FIND("/",K515)+1,10))-1))&gt;=1,VALUE(LEFT(MID(K515,FIND("/",K515)+1,10),FIND("/",MID(K515,FIND("/",K515)+1,10))-1))&lt;=12,VALUE(LEFT(K515,FIND("/",K515)-1))&lt;=DAY(EOMONTH(DATE(VALUE(MID(MID(K515,FIND("/",K515)+1,10),FIND("/",MID(K515,FIND("/",K515)+1,10))+1,4)),VALUE(LEFT(MID(K515,FIND("/",K515)+1,10),FIND("/",MID(K515,FIND("/",K515)+1,10))-1)),1),0))),0,1),1)=1,"Date; ","")&amp;IF(IFERROR(IF(M515&gt;=0,0,1),1)=1,"Amount; ","")&amp;IF(IFERROR(IF(ISNUMBER(MATCH(N515,Lists!$B$2:$B$7,0)),0,1),1)=1,"Payment; ","")))</f>
        <v/>
      </c>
      <c r="R515" s="3" t="str">
        <f aca="false">IF(D515="","",IF(COUNTIFS($D$2:$D$701,D515,$E$2:$E$701,E515)&gt;1,"DUPLICATE","Unique"))</f>
        <v/>
      </c>
    </row>
    <row r="516" customFormat="false" ht="15" hidden="false" customHeight="false" outlineLevel="0" collapsed="false">
      <c r="A516" s="3" t="n">
        <v>515</v>
      </c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3" t="n">
        <f aca="false">IFERROR(LEN(C516&amp;D516&amp;E516&amp;F516&amp;G516&amp;H516&amp;I516&amp;J516&amp;K516&amp;L516&amp;M516&amp;N516)/5,0)</f>
        <v>0</v>
      </c>
      <c r="P516" s="3" t="str">
        <f aca="false">IF(OR(D516="",C516=""),"",IF((IFERROR(IF(AND(TRIM(D516)=D516,LEN(D516)&gt;0),0,1),1)+IFERROR(IF(AND(LEN(E516)=10,ISNUMBER(VALUE(E516))),0,1),1)+IFERROR(IF(AND(ISNUMBER(SEARCH("@",F516)),ISNUMBER(SEARCH(".",F516))),0,1),1)+IFERROR(IF(AND(LEN(J516)=6,ISNUMBER(VALUE(J516))),0,1),1)+IFERROR(IF(ISNUMBER(MATCH(TRIM(I516),Lists!$A$2:$A$20,0)),0,1),1)+IFERROR(IF(AND(LEN(K516)=10,VALUE(LEFT(K516,FIND("/",K516)-1))&gt;=1,VALUE(LEFT(K516,FIND("/",K516)-1))&lt;=31,VALUE(LEFT(MID(K516,FIND("/",K516)+1,10),FIND("/",MID(K516,FIND("/",K516)+1,10))-1))&gt;=1,VALUE(LEFT(MID(K516,FIND("/",K516)+1,10),FIND("/",MID(K516,FIND("/",K516)+1,10))-1))&lt;=12,VALUE(LEFT(K516,FIND("/",K516)-1))&lt;=DAY(EOMONTH(DATE(VALUE(MID(MID(K516,FIND("/",K516)+1,10),FIND("/",MID(K516,FIND("/",K516)+1,10))+1,4)),VALUE(LEFT(MID(K516,FIND("/",K516)+1,10),FIND("/",MID(K516,FIND("/",K516)+1,10))-1)),1),0))),0,1),1)+IFERROR(IF(M516&gt;=0,0,1),1)+IFERROR(IF(ISNUMBER(MATCH(N516,Lists!$B$2:$B$7,0)),0,1),1))=0,"OK","ERROR"))</f>
        <v/>
      </c>
      <c r="Q516" s="3" t="str">
        <f aca="false">IF(D516="","",TRIM(IF(IFERROR(IF(AND(TRIM(D516)=D516,LEN(D516)&gt;0),0,1),1)=1,"Name; ","")&amp;IF(IFERROR(IF(AND(LEN(E516)=10,ISNUMBER(VALUE(E516))),0,1),1)=1,"Phone; ","")&amp;IF(IFERROR(IF(AND(ISNUMBER(SEARCH("@",F516)),ISNUMBER(SEARCH(".",F516))),0,1),1)=1,"Email; ","")&amp;IF(IFERROR(IF(AND(LEN(J516)=6,ISNUMBER(VALUE(J516))),0,1),1)=1,"Pincode; ","")&amp;IF(IFERROR(IF(ISNUMBER(MATCH(TRIM(I516),Lists!$A$2:$A$20,0)),0,1),1)=1,"State; ","")&amp;IF(IFERROR(IF(AND(LEN(K516)=10,VALUE(LEFT(K516,FIND("/",K516)-1))&gt;=1,VALUE(LEFT(K516,FIND("/",K516)-1))&lt;=31,VALUE(LEFT(MID(K516,FIND("/",K516)+1,10),FIND("/",MID(K516,FIND("/",K516)+1,10))-1))&gt;=1,VALUE(LEFT(MID(K516,FIND("/",K516)+1,10),FIND("/",MID(K516,FIND("/",K516)+1,10))-1))&lt;=12,VALUE(LEFT(K516,FIND("/",K516)-1))&lt;=DAY(EOMONTH(DATE(VALUE(MID(MID(K516,FIND("/",K516)+1,10),FIND("/",MID(K516,FIND("/",K516)+1,10))+1,4)),VALUE(LEFT(MID(K516,FIND("/",K516)+1,10),FIND("/",MID(K516,FIND("/",K516)+1,10))-1)),1),0))),0,1),1)=1,"Date; ","")&amp;IF(IFERROR(IF(M516&gt;=0,0,1),1)=1,"Amount; ","")&amp;IF(IFERROR(IF(ISNUMBER(MATCH(N516,Lists!$B$2:$B$7,0)),0,1),1)=1,"Payment; ","")))</f>
        <v/>
      </c>
      <c r="R516" s="3" t="str">
        <f aca="false">IF(D516="","",IF(COUNTIFS($D$2:$D$701,D516,$E$2:$E$701,E516)&gt;1,"DUPLICATE","Unique"))</f>
        <v/>
      </c>
    </row>
    <row r="517" customFormat="false" ht="15" hidden="false" customHeight="false" outlineLevel="0" collapsed="false">
      <c r="A517" s="3" t="n">
        <v>516</v>
      </c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3" t="n">
        <f aca="false">IFERROR(LEN(C517&amp;D517&amp;E517&amp;F517&amp;G517&amp;H517&amp;I517&amp;J517&amp;K517&amp;L517&amp;M517&amp;N517)/5,0)</f>
        <v>0</v>
      </c>
      <c r="P517" s="3" t="str">
        <f aca="false">IF(OR(D517="",C517=""),"",IF((IFERROR(IF(AND(TRIM(D517)=D517,LEN(D517)&gt;0),0,1),1)+IFERROR(IF(AND(LEN(E517)=10,ISNUMBER(VALUE(E517))),0,1),1)+IFERROR(IF(AND(ISNUMBER(SEARCH("@",F517)),ISNUMBER(SEARCH(".",F517))),0,1),1)+IFERROR(IF(AND(LEN(J517)=6,ISNUMBER(VALUE(J517))),0,1),1)+IFERROR(IF(ISNUMBER(MATCH(TRIM(I517),Lists!$A$2:$A$20,0)),0,1),1)+IFERROR(IF(AND(LEN(K517)=10,VALUE(LEFT(K517,FIND("/",K517)-1))&gt;=1,VALUE(LEFT(K517,FIND("/",K517)-1))&lt;=31,VALUE(LEFT(MID(K517,FIND("/",K517)+1,10),FIND("/",MID(K517,FIND("/",K517)+1,10))-1))&gt;=1,VALUE(LEFT(MID(K517,FIND("/",K517)+1,10),FIND("/",MID(K517,FIND("/",K517)+1,10))-1))&lt;=12,VALUE(LEFT(K517,FIND("/",K517)-1))&lt;=DAY(EOMONTH(DATE(VALUE(MID(MID(K517,FIND("/",K517)+1,10),FIND("/",MID(K517,FIND("/",K517)+1,10))+1,4)),VALUE(LEFT(MID(K517,FIND("/",K517)+1,10),FIND("/",MID(K517,FIND("/",K517)+1,10))-1)),1),0))),0,1),1)+IFERROR(IF(M517&gt;=0,0,1),1)+IFERROR(IF(ISNUMBER(MATCH(N517,Lists!$B$2:$B$7,0)),0,1),1))=0,"OK","ERROR"))</f>
        <v/>
      </c>
      <c r="Q517" s="3" t="str">
        <f aca="false">IF(D517="","",TRIM(IF(IFERROR(IF(AND(TRIM(D517)=D517,LEN(D517)&gt;0),0,1),1)=1,"Name; ","")&amp;IF(IFERROR(IF(AND(LEN(E517)=10,ISNUMBER(VALUE(E517))),0,1),1)=1,"Phone; ","")&amp;IF(IFERROR(IF(AND(ISNUMBER(SEARCH("@",F517)),ISNUMBER(SEARCH(".",F517))),0,1),1)=1,"Email; ","")&amp;IF(IFERROR(IF(AND(LEN(J517)=6,ISNUMBER(VALUE(J517))),0,1),1)=1,"Pincode; ","")&amp;IF(IFERROR(IF(ISNUMBER(MATCH(TRIM(I517),Lists!$A$2:$A$20,0)),0,1),1)=1,"State; ","")&amp;IF(IFERROR(IF(AND(LEN(K517)=10,VALUE(LEFT(K517,FIND("/",K517)-1))&gt;=1,VALUE(LEFT(K517,FIND("/",K517)-1))&lt;=31,VALUE(LEFT(MID(K517,FIND("/",K517)+1,10),FIND("/",MID(K517,FIND("/",K517)+1,10))-1))&gt;=1,VALUE(LEFT(MID(K517,FIND("/",K517)+1,10),FIND("/",MID(K517,FIND("/",K517)+1,10))-1))&lt;=12,VALUE(LEFT(K517,FIND("/",K517)-1))&lt;=DAY(EOMONTH(DATE(VALUE(MID(MID(K517,FIND("/",K517)+1,10),FIND("/",MID(K517,FIND("/",K517)+1,10))+1,4)),VALUE(LEFT(MID(K517,FIND("/",K517)+1,10),FIND("/",MID(K517,FIND("/",K517)+1,10))-1)),1),0))),0,1),1)=1,"Date; ","")&amp;IF(IFERROR(IF(M517&gt;=0,0,1),1)=1,"Amount; ","")&amp;IF(IFERROR(IF(ISNUMBER(MATCH(N517,Lists!$B$2:$B$7,0)),0,1),1)=1,"Payment; ","")))</f>
        <v/>
      </c>
      <c r="R517" s="3" t="str">
        <f aca="false">IF(D517="","",IF(COUNTIFS($D$2:$D$701,D517,$E$2:$E$701,E517)&gt;1,"DUPLICATE","Unique"))</f>
        <v/>
      </c>
    </row>
    <row r="518" customFormat="false" ht="15" hidden="false" customHeight="false" outlineLevel="0" collapsed="false">
      <c r="A518" s="3" t="n">
        <v>517</v>
      </c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3" t="n">
        <f aca="false">IFERROR(LEN(C518&amp;D518&amp;E518&amp;F518&amp;G518&amp;H518&amp;I518&amp;J518&amp;K518&amp;L518&amp;M518&amp;N518)/5,0)</f>
        <v>0</v>
      </c>
      <c r="P518" s="3" t="str">
        <f aca="false">IF(OR(D518="",C518=""),"",IF((IFERROR(IF(AND(TRIM(D518)=D518,LEN(D518)&gt;0),0,1),1)+IFERROR(IF(AND(LEN(E518)=10,ISNUMBER(VALUE(E518))),0,1),1)+IFERROR(IF(AND(ISNUMBER(SEARCH("@",F518)),ISNUMBER(SEARCH(".",F518))),0,1),1)+IFERROR(IF(AND(LEN(J518)=6,ISNUMBER(VALUE(J518))),0,1),1)+IFERROR(IF(ISNUMBER(MATCH(TRIM(I518),Lists!$A$2:$A$20,0)),0,1),1)+IFERROR(IF(AND(LEN(K518)=10,VALUE(LEFT(K518,FIND("/",K518)-1))&gt;=1,VALUE(LEFT(K518,FIND("/",K518)-1))&lt;=31,VALUE(LEFT(MID(K518,FIND("/",K518)+1,10),FIND("/",MID(K518,FIND("/",K518)+1,10))-1))&gt;=1,VALUE(LEFT(MID(K518,FIND("/",K518)+1,10),FIND("/",MID(K518,FIND("/",K518)+1,10))-1))&lt;=12,VALUE(LEFT(K518,FIND("/",K518)-1))&lt;=DAY(EOMONTH(DATE(VALUE(MID(MID(K518,FIND("/",K518)+1,10),FIND("/",MID(K518,FIND("/",K518)+1,10))+1,4)),VALUE(LEFT(MID(K518,FIND("/",K518)+1,10),FIND("/",MID(K518,FIND("/",K518)+1,10))-1)),1),0))),0,1),1)+IFERROR(IF(M518&gt;=0,0,1),1)+IFERROR(IF(ISNUMBER(MATCH(N518,Lists!$B$2:$B$7,0)),0,1),1))=0,"OK","ERROR"))</f>
        <v/>
      </c>
      <c r="Q518" s="3" t="str">
        <f aca="false">IF(D518="","",TRIM(IF(IFERROR(IF(AND(TRIM(D518)=D518,LEN(D518)&gt;0),0,1),1)=1,"Name; ","")&amp;IF(IFERROR(IF(AND(LEN(E518)=10,ISNUMBER(VALUE(E518))),0,1),1)=1,"Phone; ","")&amp;IF(IFERROR(IF(AND(ISNUMBER(SEARCH("@",F518)),ISNUMBER(SEARCH(".",F518))),0,1),1)=1,"Email; ","")&amp;IF(IFERROR(IF(AND(LEN(J518)=6,ISNUMBER(VALUE(J518))),0,1),1)=1,"Pincode; ","")&amp;IF(IFERROR(IF(ISNUMBER(MATCH(TRIM(I518),Lists!$A$2:$A$20,0)),0,1),1)=1,"State; ","")&amp;IF(IFERROR(IF(AND(LEN(K518)=10,VALUE(LEFT(K518,FIND("/",K518)-1))&gt;=1,VALUE(LEFT(K518,FIND("/",K518)-1))&lt;=31,VALUE(LEFT(MID(K518,FIND("/",K518)+1,10),FIND("/",MID(K518,FIND("/",K518)+1,10))-1))&gt;=1,VALUE(LEFT(MID(K518,FIND("/",K518)+1,10),FIND("/",MID(K518,FIND("/",K518)+1,10))-1))&lt;=12,VALUE(LEFT(K518,FIND("/",K518)-1))&lt;=DAY(EOMONTH(DATE(VALUE(MID(MID(K518,FIND("/",K518)+1,10),FIND("/",MID(K518,FIND("/",K518)+1,10))+1,4)),VALUE(LEFT(MID(K518,FIND("/",K518)+1,10),FIND("/",MID(K518,FIND("/",K518)+1,10))-1)),1),0))),0,1),1)=1,"Date; ","")&amp;IF(IFERROR(IF(M518&gt;=0,0,1),1)=1,"Amount; ","")&amp;IF(IFERROR(IF(ISNUMBER(MATCH(N518,Lists!$B$2:$B$7,0)),0,1),1)=1,"Payment; ","")))</f>
        <v/>
      </c>
      <c r="R518" s="3" t="str">
        <f aca="false">IF(D518="","",IF(COUNTIFS($D$2:$D$701,D518,$E$2:$E$701,E518)&gt;1,"DUPLICATE","Unique"))</f>
        <v/>
      </c>
    </row>
    <row r="519" customFormat="false" ht="15" hidden="false" customHeight="false" outlineLevel="0" collapsed="false">
      <c r="A519" s="3" t="n">
        <v>518</v>
      </c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3" t="n">
        <f aca="false">IFERROR(LEN(C519&amp;D519&amp;E519&amp;F519&amp;G519&amp;H519&amp;I519&amp;J519&amp;K519&amp;L519&amp;M519&amp;N519)/5,0)</f>
        <v>0</v>
      </c>
      <c r="P519" s="3" t="str">
        <f aca="false">IF(OR(D519="",C519=""),"",IF((IFERROR(IF(AND(TRIM(D519)=D519,LEN(D519)&gt;0),0,1),1)+IFERROR(IF(AND(LEN(E519)=10,ISNUMBER(VALUE(E519))),0,1),1)+IFERROR(IF(AND(ISNUMBER(SEARCH("@",F519)),ISNUMBER(SEARCH(".",F519))),0,1),1)+IFERROR(IF(AND(LEN(J519)=6,ISNUMBER(VALUE(J519))),0,1),1)+IFERROR(IF(ISNUMBER(MATCH(TRIM(I519),Lists!$A$2:$A$20,0)),0,1),1)+IFERROR(IF(AND(LEN(K519)=10,VALUE(LEFT(K519,FIND("/",K519)-1))&gt;=1,VALUE(LEFT(K519,FIND("/",K519)-1))&lt;=31,VALUE(LEFT(MID(K519,FIND("/",K519)+1,10),FIND("/",MID(K519,FIND("/",K519)+1,10))-1))&gt;=1,VALUE(LEFT(MID(K519,FIND("/",K519)+1,10),FIND("/",MID(K519,FIND("/",K519)+1,10))-1))&lt;=12,VALUE(LEFT(K519,FIND("/",K519)-1))&lt;=DAY(EOMONTH(DATE(VALUE(MID(MID(K519,FIND("/",K519)+1,10),FIND("/",MID(K519,FIND("/",K519)+1,10))+1,4)),VALUE(LEFT(MID(K519,FIND("/",K519)+1,10),FIND("/",MID(K519,FIND("/",K519)+1,10))-1)),1),0))),0,1),1)+IFERROR(IF(M519&gt;=0,0,1),1)+IFERROR(IF(ISNUMBER(MATCH(N519,Lists!$B$2:$B$7,0)),0,1),1))=0,"OK","ERROR"))</f>
        <v/>
      </c>
      <c r="Q519" s="3" t="str">
        <f aca="false">IF(D519="","",TRIM(IF(IFERROR(IF(AND(TRIM(D519)=D519,LEN(D519)&gt;0),0,1),1)=1,"Name; ","")&amp;IF(IFERROR(IF(AND(LEN(E519)=10,ISNUMBER(VALUE(E519))),0,1),1)=1,"Phone; ","")&amp;IF(IFERROR(IF(AND(ISNUMBER(SEARCH("@",F519)),ISNUMBER(SEARCH(".",F519))),0,1),1)=1,"Email; ","")&amp;IF(IFERROR(IF(AND(LEN(J519)=6,ISNUMBER(VALUE(J519))),0,1),1)=1,"Pincode; ","")&amp;IF(IFERROR(IF(ISNUMBER(MATCH(TRIM(I519),Lists!$A$2:$A$20,0)),0,1),1)=1,"State; ","")&amp;IF(IFERROR(IF(AND(LEN(K519)=10,VALUE(LEFT(K519,FIND("/",K519)-1))&gt;=1,VALUE(LEFT(K519,FIND("/",K519)-1))&lt;=31,VALUE(LEFT(MID(K519,FIND("/",K519)+1,10),FIND("/",MID(K519,FIND("/",K519)+1,10))-1))&gt;=1,VALUE(LEFT(MID(K519,FIND("/",K519)+1,10),FIND("/",MID(K519,FIND("/",K519)+1,10))-1))&lt;=12,VALUE(LEFT(K519,FIND("/",K519)-1))&lt;=DAY(EOMONTH(DATE(VALUE(MID(MID(K519,FIND("/",K519)+1,10),FIND("/",MID(K519,FIND("/",K519)+1,10))+1,4)),VALUE(LEFT(MID(K519,FIND("/",K519)+1,10),FIND("/",MID(K519,FIND("/",K519)+1,10))-1)),1),0))),0,1),1)=1,"Date; ","")&amp;IF(IFERROR(IF(M519&gt;=0,0,1),1)=1,"Amount; ","")&amp;IF(IFERROR(IF(ISNUMBER(MATCH(N519,Lists!$B$2:$B$7,0)),0,1),1)=1,"Payment; ","")))</f>
        <v/>
      </c>
      <c r="R519" s="3" t="str">
        <f aca="false">IF(D519="","",IF(COUNTIFS($D$2:$D$701,D519,$E$2:$E$701,E519)&gt;1,"DUPLICATE","Unique"))</f>
        <v/>
      </c>
    </row>
    <row r="520" customFormat="false" ht="15" hidden="false" customHeight="false" outlineLevel="0" collapsed="false">
      <c r="A520" s="3" t="n">
        <v>519</v>
      </c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3" t="n">
        <f aca="false">IFERROR(LEN(C520&amp;D520&amp;E520&amp;F520&amp;G520&amp;H520&amp;I520&amp;J520&amp;K520&amp;L520&amp;M520&amp;N520)/5,0)</f>
        <v>0</v>
      </c>
      <c r="P520" s="3" t="str">
        <f aca="false">IF(OR(D520="",C520=""),"",IF((IFERROR(IF(AND(TRIM(D520)=D520,LEN(D520)&gt;0),0,1),1)+IFERROR(IF(AND(LEN(E520)=10,ISNUMBER(VALUE(E520))),0,1),1)+IFERROR(IF(AND(ISNUMBER(SEARCH("@",F520)),ISNUMBER(SEARCH(".",F520))),0,1),1)+IFERROR(IF(AND(LEN(J520)=6,ISNUMBER(VALUE(J520))),0,1),1)+IFERROR(IF(ISNUMBER(MATCH(TRIM(I520),Lists!$A$2:$A$20,0)),0,1),1)+IFERROR(IF(AND(LEN(K520)=10,VALUE(LEFT(K520,FIND("/",K520)-1))&gt;=1,VALUE(LEFT(K520,FIND("/",K520)-1))&lt;=31,VALUE(LEFT(MID(K520,FIND("/",K520)+1,10),FIND("/",MID(K520,FIND("/",K520)+1,10))-1))&gt;=1,VALUE(LEFT(MID(K520,FIND("/",K520)+1,10),FIND("/",MID(K520,FIND("/",K520)+1,10))-1))&lt;=12,VALUE(LEFT(K520,FIND("/",K520)-1))&lt;=DAY(EOMONTH(DATE(VALUE(MID(MID(K520,FIND("/",K520)+1,10),FIND("/",MID(K520,FIND("/",K520)+1,10))+1,4)),VALUE(LEFT(MID(K520,FIND("/",K520)+1,10),FIND("/",MID(K520,FIND("/",K520)+1,10))-1)),1),0))),0,1),1)+IFERROR(IF(M520&gt;=0,0,1),1)+IFERROR(IF(ISNUMBER(MATCH(N520,Lists!$B$2:$B$7,0)),0,1),1))=0,"OK","ERROR"))</f>
        <v/>
      </c>
      <c r="Q520" s="3" t="str">
        <f aca="false">IF(D520="","",TRIM(IF(IFERROR(IF(AND(TRIM(D520)=D520,LEN(D520)&gt;0),0,1),1)=1,"Name; ","")&amp;IF(IFERROR(IF(AND(LEN(E520)=10,ISNUMBER(VALUE(E520))),0,1),1)=1,"Phone; ","")&amp;IF(IFERROR(IF(AND(ISNUMBER(SEARCH("@",F520)),ISNUMBER(SEARCH(".",F520))),0,1),1)=1,"Email; ","")&amp;IF(IFERROR(IF(AND(LEN(J520)=6,ISNUMBER(VALUE(J520))),0,1),1)=1,"Pincode; ","")&amp;IF(IFERROR(IF(ISNUMBER(MATCH(TRIM(I520),Lists!$A$2:$A$20,0)),0,1),1)=1,"State; ","")&amp;IF(IFERROR(IF(AND(LEN(K520)=10,VALUE(LEFT(K520,FIND("/",K520)-1))&gt;=1,VALUE(LEFT(K520,FIND("/",K520)-1))&lt;=31,VALUE(LEFT(MID(K520,FIND("/",K520)+1,10),FIND("/",MID(K520,FIND("/",K520)+1,10))-1))&gt;=1,VALUE(LEFT(MID(K520,FIND("/",K520)+1,10),FIND("/",MID(K520,FIND("/",K520)+1,10))-1))&lt;=12,VALUE(LEFT(K520,FIND("/",K520)-1))&lt;=DAY(EOMONTH(DATE(VALUE(MID(MID(K520,FIND("/",K520)+1,10),FIND("/",MID(K520,FIND("/",K520)+1,10))+1,4)),VALUE(LEFT(MID(K520,FIND("/",K520)+1,10),FIND("/",MID(K520,FIND("/",K520)+1,10))-1)),1),0))),0,1),1)=1,"Date; ","")&amp;IF(IFERROR(IF(M520&gt;=0,0,1),1)=1,"Amount; ","")&amp;IF(IFERROR(IF(ISNUMBER(MATCH(N520,Lists!$B$2:$B$7,0)),0,1),1)=1,"Payment; ","")))</f>
        <v/>
      </c>
      <c r="R520" s="3" t="str">
        <f aca="false">IF(D520="","",IF(COUNTIFS($D$2:$D$701,D520,$E$2:$E$701,E520)&gt;1,"DUPLICATE","Unique"))</f>
        <v/>
      </c>
    </row>
    <row r="521" customFormat="false" ht="15" hidden="false" customHeight="false" outlineLevel="0" collapsed="false">
      <c r="A521" s="3" t="n">
        <v>520</v>
      </c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3" t="n">
        <f aca="false">IFERROR(LEN(C521&amp;D521&amp;E521&amp;F521&amp;G521&amp;H521&amp;I521&amp;J521&amp;K521&amp;L521&amp;M521&amp;N521)/5,0)</f>
        <v>0</v>
      </c>
      <c r="P521" s="3" t="str">
        <f aca="false">IF(OR(D521="",C521=""),"",IF((IFERROR(IF(AND(TRIM(D521)=D521,LEN(D521)&gt;0),0,1),1)+IFERROR(IF(AND(LEN(E521)=10,ISNUMBER(VALUE(E521))),0,1),1)+IFERROR(IF(AND(ISNUMBER(SEARCH("@",F521)),ISNUMBER(SEARCH(".",F521))),0,1),1)+IFERROR(IF(AND(LEN(J521)=6,ISNUMBER(VALUE(J521))),0,1),1)+IFERROR(IF(ISNUMBER(MATCH(TRIM(I521),Lists!$A$2:$A$20,0)),0,1),1)+IFERROR(IF(AND(LEN(K521)=10,VALUE(LEFT(K521,FIND("/",K521)-1))&gt;=1,VALUE(LEFT(K521,FIND("/",K521)-1))&lt;=31,VALUE(LEFT(MID(K521,FIND("/",K521)+1,10),FIND("/",MID(K521,FIND("/",K521)+1,10))-1))&gt;=1,VALUE(LEFT(MID(K521,FIND("/",K521)+1,10),FIND("/",MID(K521,FIND("/",K521)+1,10))-1))&lt;=12,VALUE(LEFT(K521,FIND("/",K521)-1))&lt;=DAY(EOMONTH(DATE(VALUE(MID(MID(K521,FIND("/",K521)+1,10),FIND("/",MID(K521,FIND("/",K521)+1,10))+1,4)),VALUE(LEFT(MID(K521,FIND("/",K521)+1,10),FIND("/",MID(K521,FIND("/",K521)+1,10))-1)),1),0))),0,1),1)+IFERROR(IF(M521&gt;=0,0,1),1)+IFERROR(IF(ISNUMBER(MATCH(N521,Lists!$B$2:$B$7,0)),0,1),1))=0,"OK","ERROR"))</f>
        <v/>
      </c>
      <c r="Q521" s="3" t="str">
        <f aca="false">IF(D521="","",TRIM(IF(IFERROR(IF(AND(TRIM(D521)=D521,LEN(D521)&gt;0),0,1),1)=1,"Name; ","")&amp;IF(IFERROR(IF(AND(LEN(E521)=10,ISNUMBER(VALUE(E521))),0,1),1)=1,"Phone; ","")&amp;IF(IFERROR(IF(AND(ISNUMBER(SEARCH("@",F521)),ISNUMBER(SEARCH(".",F521))),0,1),1)=1,"Email; ","")&amp;IF(IFERROR(IF(AND(LEN(J521)=6,ISNUMBER(VALUE(J521))),0,1),1)=1,"Pincode; ","")&amp;IF(IFERROR(IF(ISNUMBER(MATCH(TRIM(I521),Lists!$A$2:$A$20,0)),0,1),1)=1,"State; ","")&amp;IF(IFERROR(IF(AND(LEN(K521)=10,VALUE(LEFT(K521,FIND("/",K521)-1))&gt;=1,VALUE(LEFT(K521,FIND("/",K521)-1))&lt;=31,VALUE(LEFT(MID(K521,FIND("/",K521)+1,10),FIND("/",MID(K521,FIND("/",K521)+1,10))-1))&gt;=1,VALUE(LEFT(MID(K521,FIND("/",K521)+1,10),FIND("/",MID(K521,FIND("/",K521)+1,10))-1))&lt;=12,VALUE(LEFT(K521,FIND("/",K521)-1))&lt;=DAY(EOMONTH(DATE(VALUE(MID(MID(K521,FIND("/",K521)+1,10),FIND("/",MID(K521,FIND("/",K521)+1,10))+1,4)),VALUE(LEFT(MID(K521,FIND("/",K521)+1,10),FIND("/",MID(K521,FIND("/",K521)+1,10))-1)),1),0))),0,1),1)=1,"Date; ","")&amp;IF(IFERROR(IF(M521&gt;=0,0,1),1)=1,"Amount; ","")&amp;IF(IFERROR(IF(ISNUMBER(MATCH(N521,Lists!$B$2:$B$7,0)),0,1),1)=1,"Payment; ","")))</f>
        <v/>
      </c>
      <c r="R521" s="3" t="str">
        <f aca="false">IF(D521="","",IF(COUNTIFS($D$2:$D$701,D521,$E$2:$E$701,E521)&gt;1,"DUPLICATE","Unique"))</f>
        <v/>
      </c>
    </row>
    <row r="522" customFormat="false" ht="15" hidden="false" customHeight="false" outlineLevel="0" collapsed="false">
      <c r="A522" s="3" t="n">
        <v>521</v>
      </c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3" t="n">
        <f aca="false">IFERROR(LEN(C522&amp;D522&amp;E522&amp;F522&amp;G522&amp;H522&amp;I522&amp;J522&amp;K522&amp;L522&amp;M522&amp;N522)/5,0)</f>
        <v>0</v>
      </c>
      <c r="P522" s="3" t="str">
        <f aca="false">IF(OR(D522="",C522=""),"",IF((IFERROR(IF(AND(TRIM(D522)=D522,LEN(D522)&gt;0),0,1),1)+IFERROR(IF(AND(LEN(E522)=10,ISNUMBER(VALUE(E522))),0,1),1)+IFERROR(IF(AND(ISNUMBER(SEARCH("@",F522)),ISNUMBER(SEARCH(".",F522))),0,1),1)+IFERROR(IF(AND(LEN(J522)=6,ISNUMBER(VALUE(J522))),0,1),1)+IFERROR(IF(ISNUMBER(MATCH(TRIM(I522),Lists!$A$2:$A$20,0)),0,1),1)+IFERROR(IF(AND(LEN(K522)=10,VALUE(LEFT(K522,FIND("/",K522)-1))&gt;=1,VALUE(LEFT(K522,FIND("/",K522)-1))&lt;=31,VALUE(LEFT(MID(K522,FIND("/",K522)+1,10),FIND("/",MID(K522,FIND("/",K522)+1,10))-1))&gt;=1,VALUE(LEFT(MID(K522,FIND("/",K522)+1,10),FIND("/",MID(K522,FIND("/",K522)+1,10))-1))&lt;=12,VALUE(LEFT(K522,FIND("/",K522)-1))&lt;=DAY(EOMONTH(DATE(VALUE(MID(MID(K522,FIND("/",K522)+1,10),FIND("/",MID(K522,FIND("/",K522)+1,10))+1,4)),VALUE(LEFT(MID(K522,FIND("/",K522)+1,10),FIND("/",MID(K522,FIND("/",K522)+1,10))-1)),1),0))),0,1),1)+IFERROR(IF(M522&gt;=0,0,1),1)+IFERROR(IF(ISNUMBER(MATCH(N522,Lists!$B$2:$B$7,0)),0,1),1))=0,"OK","ERROR"))</f>
        <v/>
      </c>
      <c r="Q522" s="3" t="str">
        <f aca="false">IF(D522="","",TRIM(IF(IFERROR(IF(AND(TRIM(D522)=D522,LEN(D522)&gt;0),0,1),1)=1,"Name; ","")&amp;IF(IFERROR(IF(AND(LEN(E522)=10,ISNUMBER(VALUE(E522))),0,1),1)=1,"Phone; ","")&amp;IF(IFERROR(IF(AND(ISNUMBER(SEARCH("@",F522)),ISNUMBER(SEARCH(".",F522))),0,1),1)=1,"Email; ","")&amp;IF(IFERROR(IF(AND(LEN(J522)=6,ISNUMBER(VALUE(J522))),0,1),1)=1,"Pincode; ","")&amp;IF(IFERROR(IF(ISNUMBER(MATCH(TRIM(I522),Lists!$A$2:$A$20,0)),0,1),1)=1,"State; ","")&amp;IF(IFERROR(IF(AND(LEN(K522)=10,VALUE(LEFT(K522,FIND("/",K522)-1))&gt;=1,VALUE(LEFT(K522,FIND("/",K522)-1))&lt;=31,VALUE(LEFT(MID(K522,FIND("/",K522)+1,10),FIND("/",MID(K522,FIND("/",K522)+1,10))-1))&gt;=1,VALUE(LEFT(MID(K522,FIND("/",K522)+1,10),FIND("/",MID(K522,FIND("/",K522)+1,10))-1))&lt;=12,VALUE(LEFT(K522,FIND("/",K522)-1))&lt;=DAY(EOMONTH(DATE(VALUE(MID(MID(K522,FIND("/",K522)+1,10),FIND("/",MID(K522,FIND("/",K522)+1,10))+1,4)),VALUE(LEFT(MID(K522,FIND("/",K522)+1,10),FIND("/",MID(K522,FIND("/",K522)+1,10))-1)),1),0))),0,1),1)=1,"Date; ","")&amp;IF(IFERROR(IF(M522&gt;=0,0,1),1)=1,"Amount; ","")&amp;IF(IFERROR(IF(ISNUMBER(MATCH(N522,Lists!$B$2:$B$7,0)),0,1),1)=1,"Payment; ","")))</f>
        <v/>
      </c>
      <c r="R522" s="3" t="str">
        <f aca="false">IF(D522="","",IF(COUNTIFS($D$2:$D$701,D522,$E$2:$E$701,E522)&gt;1,"DUPLICATE","Unique"))</f>
        <v/>
      </c>
    </row>
    <row r="523" customFormat="false" ht="15" hidden="false" customHeight="false" outlineLevel="0" collapsed="false">
      <c r="A523" s="3" t="n">
        <v>522</v>
      </c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3" t="n">
        <f aca="false">IFERROR(LEN(C523&amp;D523&amp;E523&amp;F523&amp;G523&amp;H523&amp;I523&amp;J523&amp;K523&amp;L523&amp;M523&amp;N523)/5,0)</f>
        <v>0</v>
      </c>
      <c r="P523" s="3" t="str">
        <f aca="false">IF(OR(D523="",C523=""),"",IF((IFERROR(IF(AND(TRIM(D523)=D523,LEN(D523)&gt;0),0,1),1)+IFERROR(IF(AND(LEN(E523)=10,ISNUMBER(VALUE(E523))),0,1),1)+IFERROR(IF(AND(ISNUMBER(SEARCH("@",F523)),ISNUMBER(SEARCH(".",F523))),0,1),1)+IFERROR(IF(AND(LEN(J523)=6,ISNUMBER(VALUE(J523))),0,1),1)+IFERROR(IF(ISNUMBER(MATCH(TRIM(I523),Lists!$A$2:$A$20,0)),0,1),1)+IFERROR(IF(AND(LEN(K523)=10,VALUE(LEFT(K523,FIND("/",K523)-1))&gt;=1,VALUE(LEFT(K523,FIND("/",K523)-1))&lt;=31,VALUE(LEFT(MID(K523,FIND("/",K523)+1,10),FIND("/",MID(K523,FIND("/",K523)+1,10))-1))&gt;=1,VALUE(LEFT(MID(K523,FIND("/",K523)+1,10),FIND("/",MID(K523,FIND("/",K523)+1,10))-1))&lt;=12,VALUE(LEFT(K523,FIND("/",K523)-1))&lt;=DAY(EOMONTH(DATE(VALUE(MID(MID(K523,FIND("/",K523)+1,10),FIND("/",MID(K523,FIND("/",K523)+1,10))+1,4)),VALUE(LEFT(MID(K523,FIND("/",K523)+1,10),FIND("/",MID(K523,FIND("/",K523)+1,10))-1)),1),0))),0,1),1)+IFERROR(IF(M523&gt;=0,0,1),1)+IFERROR(IF(ISNUMBER(MATCH(N523,Lists!$B$2:$B$7,0)),0,1),1))=0,"OK","ERROR"))</f>
        <v/>
      </c>
      <c r="Q523" s="3" t="str">
        <f aca="false">IF(D523="","",TRIM(IF(IFERROR(IF(AND(TRIM(D523)=D523,LEN(D523)&gt;0),0,1),1)=1,"Name; ","")&amp;IF(IFERROR(IF(AND(LEN(E523)=10,ISNUMBER(VALUE(E523))),0,1),1)=1,"Phone; ","")&amp;IF(IFERROR(IF(AND(ISNUMBER(SEARCH("@",F523)),ISNUMBER(SEARCH(".",F523))),0,1),1)=1,"Email; ","")&amp;IF(IFERROR(IF(AND(LEN(J523)=6,ISNUMBER(VALUE(J523))),0,1),1)=1,"Pincode; ","")&amp;IF(IFERROR(IF(ISNUMBER(MATCH(TRIM(I523),Lists!$A$2:$A$20,0)),0,1),1)=1,"State; ","")&amp;IF(IFERROR(IF(AND(LEN(K523)=10,VALUE(LEFT(K523,FIND("/",K523)-1))&gt;=1,VALUE(LEFT(K523,FIND("/",K523)-1))&lt;=31,VALUE(LEFT(MID(K523,FIND("/",K523)+1,10),FIND("/",MID(K523,FIND("/",K523)+1,10))-1))&gt;=1,VALUE(LEFT(MID(K523,FIND("/",K523)+1,10),FIND("/",MID(K523,FIND("/",K523)+1,10))-1))&lt;=12,VALUE(LEFT(K523,FIND("/",K523)-1))&lt;=DAY(EOMONTH(DATE(VALUE(MID(MID(K523,FIND("/",K523)+1,10),FIND("/",MID(K523,FIND("/",K523)+1,10))+1,4)),VALUE(LEFT(MID(K523,FIND("/",K523)+1,10),FIND("/",MID(K523,FIND("/",K523)+1,10))-1)),1),0))),0,1),1)=1,"Date; ","")&amp;IF(IFERROR(IF(M523&gt;=0,0,1),1)=1,"Amount; ","")&amp;IF(IFERROR(IF(ISNUMBER(MATCH(N523,Lists!$B$2:$B$7,0)),0,1),1)=1,"Payment; ","")))</f>
        <v/>
      </c>
      <c r="R523" s="3" t="str">
        <f aca="false">IF(D523="","",IF(COUNTIFS($D$2:$D$701,D523,$E$2:$E$701,E523)&gt;1,"DUPLICATE","Unique"))</f>
        <v/>
      </c>
    </row>
    <row r="524" customFormat="false" ht="15" hidden="false" customHeight="false" outlineLevel="0" collapsed="false">
      <c r="A524" s="3" t="n">
        <v>523</v>
      </c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3" t="n">
        <f aca="false">IFERROR(LEN(C524&amp;D524&amp;E524&amp;F524&amp;G524&amp;H524&amp;I524&amp;J524&amp;K524&amp;L524&amp;M524&amp;N524)/5,0)</f>
        <v>0</v>
      </c>
      <c r="P524" s="3" t="str">
        <f aca="false">IF(OR(D524="",C524=""),"",IF((IFERROR(IF(AND(TRIM(D524)=D524,LEN(D524)&gt;0),0,1),1)+IFERROR(IF(AND(LEN(E524)=10,ISNUMBER(VALUE(E524))),0,1),1)+IFERROR(IF(AND(ISNUMBER(SEARCH("@",F524)),ISNUMBER(SEARCH(".",F524))),0,1),1)+IFERROR(IF(AND(LEN(J524)=6,ISNUMBER(VALUE(J524))),0,1),1)+IFERROR(IF(ISNUMBER(MATCH(TRIM(I524),Lists!$A$2:$A$20,0)),0,1),1)+IFERROR(IF(AND(LEN(K524)=10,VALUE(LEFT(K524,FIND("/",K524)-1))&gt;=1,VALUE(LEFT(K524,FIND("/",K524)-1))&lt;=31,VALUE(LEFT(MID(K524,FIND("/",K524)+1,10),FIND("/",MID(K524,FIND("/",K524)+1,10))-1))&gt;=1,VALUE(LEFT(MID(K524,FIND("/",K524)+1,10),FIND("/",MID(K524,FIND("/",K524)+1,10))-1))&lt;=12,VALUE(LEFT(K524,FIND("/",K524)-1))&lt;=DAY(EOMONTH(DATE(VALUE(MID(MID(K524,FIND("/",K524)+1,10),FIND("/",MID(K524,FIND("/",K524)+1,10))+1,4)),VALUE(LEFT(MID(K524,FIND("/",K524)+1,10),FIND("/",MID(K524,FIND("/",K524)+1,10))-1)),1),0))),0,1),1)+IFERROR(IF(M524&gt;=0,0,1),1)+IFERROR(IF(ISNUMBER(MATCH(N524,Lists!$B$2:$B$7,0)),0,1),1))=0,"OK","ERROR"))</f>
        <v/>
      </c>
      <c r="Q524" s="3" t="str">
        <f aca="false">IF(D524="","",TRIM(IF(IFERROR(IF(AND(TRIM(D524)=D524,LEN(D524)&gt;0),0,1),1)=1,"Name; ","")&amp;IF(IFERROR(IF(AND(LEN(E524)=10,ISNUMBER(VALUE(E524))),0,1),1)=1,"Phone; ","")&amp;IF(IFERROR(IF(AND(ISNUMBER(SEARCH("@",F524)),ISNUMBER(SEARCH(".",F524))),0,1),1)=1,"Email; ","")&amp;IF(IFERROR(IF(AND(LEN(J524)=6,ISNUMBER(VALUE(J524))),0,1),1)=1,"Pincode; ","")&amp;IF(IFERROR(IF(ISNUMBER(MATCH(TRIM(I524),Lists!$A$2:$A$20,0)),0,1),1)=1,"State; ","")&amp;IF(IFERROR(IF(AND(LEN(K524)=10,VALUE(LEFT(K524,FIND("/",K524)-1))&gt;=1,VALUE(LEFT(K524,FIND("/",K524)-1))&lt;=31,VALUE(LEFT(MID(K524,FIND("/",K524)+1,10),FIND("/",MID(K524,FIND("/",K524)+1,10))-1))&gt;=1,VALUE(LEFT(MID(K524,FIND("/",K524)+1,10),FIND("/",MID(K524,FIND("/",K524)+1,10))-1))&lt;=12,VALUE(LEFT(K524,FIND("/",K524)-1))&lt;=DAY(EOMONTH(DATE(VALUE(MID(MID(K524,FIND("/",K524)+1,10),FIND("/",MID(K524,FIND("/",K524)+1,10))+1,4)),VALUE(LEFT(MID(K524,FIND("/",K524)+1,10),FIND("/",MID(K524,FIND("/",K524)+1,10))-1)),1),0))),0,1),1)=1,"Date; ","")&amp;IF(IFERROR(IF(M524&gt;=0,0,1),1)=1,"Amount; ","")&amp;IF(IFERROR(IF(ISNUMBER(MATCH(N524,Lists!$B$2:$B$7,0)),0,1),1)=1,"Payment; ","")))</f>
        <v/>
      </c>
      <c r="R524" s="3" t="str">
        <f aca="false">IF(D524="","",IF(COUNTIFS($D$2:$D$701,D524,$E$2:$E$701,E524)&gt;1,"DUPLICATE","Unique"))</f>
        <v/>
      </c>
    </row>
    <row r="525" customFormat="false" ht="15" hidden="false" customHeight="false" outlineLevel="0" collapsed="false">
      <c r="A525" s="3" t="n">
        <v>524</v>
      </c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3" t="n">
        <f aca="false">IFERROR(LEN(C525&amp;D525&amp;E525&amp;F525&amp;G525&amp;H525&amp;I525&amp;J525&amp;K525&amp;L525&amp;M525&amp;N525)/5,0)</f>
        <v>0</v>
      </c>
      <c r="P525" s="3" t="str">
        <f aca="false">IF(OR(D525="",C525=""),"",IF((IFERROR(IF(AND(TRIM(D525)=D525,LEN(D525)&gt;0),0,1),1)+IFERROR(IF(AND(LEN(E525)=10,ISNUMBER(VALUE(E525))),0,1),1)+IFERROR(IF(AND(ISNUMBER(SEARCH("@",F525)),ISNUMBER(SEARCH(".",F525))),0,1),1)+IFERROR(IF(AND(LEN(J525)=6,ISNUMBER(VALUE(J525))),0,1),1)+IFERROR(IF(ISNUMBER(MATCH(TRIM(I525),Lists!$A$2:$A$20,0)),0,1),1)+IFERROR(IF(AND(LEN(K525)=10,VALUE(LEFT(K525,FIND("/",K525)-1))&gt;=1,VALUE(LEFT(K525,FIND("/",K525)-1))&lt;=31,VALUE(LEFT(MID(K525,FIND("/",K525)+1,10),FIND("/",MID(K525,FIND("/",K525)+1,10))-1))&gt;=1,VALUE(LEFT(MID(K525,FIND("/",K525)+1,10),FIND("/",MID(K525,FIND("/",K525)+1,10))-1))&lt;=12,VALUE(LEFT(K525,FIND("/",K525)-1))&lt;=DAY(EOMONTH(DATE(VALUE(MID(MID(K525,FIND("/",K525)+1,10),FIND("/",MID(K525,FIND("/",K525)+1,10))+1,4)),VALUE(LEFT(MID(K525,FIND("/",K525)+1,10),FIND("/",MID(K525,FIND("/",K525)+1,10))-1)),1),0))),0,1),1)+IFERROR(IF(M525&gt;=0,0,1),1)+IFERROR(IF(ISNUMBER(MATCH(N525,Lists!$B$2:$B$7,0)),0,1),1))=0,"OK","ERROR"))</f>
        <v/>
      </c>
      <c r="Q525" s="3" t="str">
        <f aca="false">IF(D525="","",TRIM(IF(IFERROR(IF(AND(TRIM(D525)=D525,LEN(D525)&gt;0),0,1),1)=1,"Name; ","")&amp;IF(IFERROR(IF(AND(LEN(E525)=10,ISNUMBER(VALUE(E525))),0,1),1)=1,"Phone; ","")&amp;IF(IFERROR(IF(AND(ISNUMBER(SEARCH("@",F525)),ISNUMBER(SEARCH(".",F525))),0,1),1)=1,"Email; ","")&amp;IF(IFERROR(IF(AND(LEN(J525)=6,ISNUMBER(VALUE(J525))),0,1),1)=1,"Pincode; ","")&amp;IF(IFERROR(IF(ISNUMBER(MATCH(TRIM(I525),Lists!$A$2:$A$20,0)),0,1),1)=1,"State; ","")&amp;IF(IFERROR(IF(AND(LEN(K525)=10,VALUE(LEFT(K525,FIND("/",K525)-1))&gt;=1,VALUE(LEFT(K525,FIND("/",K525)-1))&lt;=31,VALUE(LEFT(MID(K525,FIND("/",K525)+1,10),FIND("/",MID(K525,FIND("/",K525)+1,10))-1))&gt;=1,VALUE(LEFT(MID(K525,FIND("/",K525)+1,10),FIND("/",MID(K525,FIND("/",K525)+1,10))-1))&lt;=12,VALUE(LEFT(K525,FIND("/",K525)-1))&lt;=DAY(EOMONTH(DATE(VALUE(MID(MID(K525,FIND("/",K525)+1,10),FIND("/",MID(K525,FIND("/",K525)+1,10))+1,4)),VALUE(LEFT(MID(K525,FIND("/",K525)+1,10),FIND("/",MID(K525,FIND("/",K525)+1,10))-1)),1),0))),0,1),1)=1,"Date; ","")&amp;IF(IFERROR(IF(M525&gt;=0,0,1),1)=1,"Amount; ","")&amp;IF(IFERROR(IF(ISNUMBER(MATCH(N525,Lists!$B$2:$B$7,0)),0,1),1)=1,"Payment; ","")))</f>
        <v/>
      </c>
      <c r="R525" s="3" t="str">
        <f aca="false">IF(D525="","",IF(COUNTIFS($D$2:$D$701,D525,$E$2:$E$701,E525)&gt;1,"DUPLICATE","Unique"))</f>
        <v/>
      </c>
    </row>
    <row r="526" customFormat="false" ht="15" hidden="false" customHeight="false" outlineLevel="0" collapsed="false">
      <c r="A526" s="3" t="n">
        <v>525</v>
      </c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3" t="n">
        <f aca="false">IFERROR(LEN(C526&amp;D526&amp;E526&amp;F526&amp;G526&amp;H526&amp;I526&amp;J526&amp;K526&amp;L526&amp;M526&amp;N526)/5,0)</f>
        <v>0</v>
      </c>
      <c r="P526" s="3" t="str">
        <f aca="false">IF(OR(D526="",C526=""),"",IF((IFERROR(IF(AND(TRIM(D526)=D526,LEN(D526)&gt;0),0,1),1)+IFERROR(IF(AND(LEN(E526)=10,ISNUMBER(VALUE(E526))),0,1),1)+IFERROR(IF(AND(ISNUMBER(SEARCH("@",F526)),ISNUMBER(SEARCH(".",F526))),0,1),1)+IFERROR(IF(AND(LEN(J526)=6,ISNUMBER(VALUE(J526))),0,1),1)+IFERROR(IF(ISNUMBER(MATCH(TRIM(I526),Lists!$A$2:$A$20,0)),0,1),1)+IFERROR(IF(AND(LEN(K526)=10,VALUE(LEFT(K526,FIND("/",K526)-1))&gt;=1,VALUE(LEFT(K526,FIND("/",K526)-1))&lt;=31,VALUE(LEFT(MID(K526,FIND("/",K526)+1,10),FIND("/",MID(K526,FIND("/",K526)+1,10))-1))&gt;=1,VALUE(LEFT(MID(K526,FIND("/",K526)+1,10),FIND("/",MID(K526,FIND("/",K526)+1,10))-1))&lt;=12,VALUE(LEFT(K526,FIND("/",K526)-1))&lt;=DAY(EOMONTH(DATE(VALUE(MID(MID(K526,FIND("/",K526)+1,10),FIND("/",MID(K526,FIND("/",K526)+1,10))+1,4)),VALUE(LEFT(MID(K526,FIND("/",K526)+1,10),FIND("/",MID(K526,FIND("/",K526)+1,10))-1)),1),0))),0,1),1)+IFERROR(IF(M526&gt;=0,0,1),1)+IFERROR(IF(ISNUMBER(MATCH(N526,Lists!$B$2:$B$7,0)),0,1),1))=0,"OK","ERROR"))</f>
        <v/>
      </c>
      <c r="Q526" s="3" t="str">
        <f aca="false">IF(D526="","",TRIM(IF(IFERROR(IF(AND(TRIM(D526)=D526,LEN(D526)&gt;0),0,1),1)=1,"Name; ","")&amp;IF(IFERROR(IF(AND(LEN(E526)=10,ISNUMBER(VALUE(E526))),0,1),1)=1,"Phone; ","")&amp;IF(IFERROR(IF(AND(ISNUMBER(SEARCH("@",F526)),ISNUMBER(SEARCH(".",F526))),0,1),1)=1,"Email; ","")&amp;IF(IFERROR(IF(AND(LEN(J526)=6,ISNUMBER(VALUE(J526))),0,1),1)=1,"Pincode; ","")&amp;IF(IFERROR(IF(ISNUMBER(MATCH(TRIM(I526),Lists!$A$2:$A$20,0)),0,1),1)=1,"State; ","")&amp;IF(IFERROR(IF(AND(LEN(K526)=10,VALUE(LEFT(K526,FIND("/",K526)-1))&gt;=1,VALUE(LEFT(K526,FIND("/",K526)-1))&lt;=31,VALUE(LEFT(MID(K526,FIND("/",K526)+1,10),FIND("/",MID(K526,FIND("/",K526)+1,10))-1))&gt;=1,VALUE(LEFT(MID(K526,FIND("/",K526)+1,10),FIND("/",MID(K526,FIND("/",K526)+1,10))-1))&lt;=12,VALUE(LEFT(K526,FIND("/",K526)-1))&lt;=DAY(EOMONTH(DATE(VALUE(MID(MID(K526,FIND("/",K526)+1,10),FIND("/",MID(K526,FIND("/",K526)+1,10))+1,4)),VALUE(LEFT(MID(K526,FIND("/",K526)+1,10),FIND("/",MID(K526,FIND("/",K526)+1,10))-1)),1),0))),0,1),1)=1,"Date; ","")&amp;IF(IFERROR(IF(M526&gt;=0,0,1),1)=1,"Amount; ","")&amp;IF(IFERROR(IF(ISNUMBER(MATCH(N526,Lists!$B$2:$B$7,0)),0,1),1)=1,"Payment; ","")))</f>
        <v/>
      </c>
      <c r="R526" s="3" t="str">
        <f aca="false">IF(D526="","",IF(COUNTIFS($D$2:$D$701,D526,$E$2:$E$701,E526)&gt;1,"DUPLICATE","Unique"))</f>
        <v/>
      </c>
    </row>
    <row r="527" customFormat="false" ht="15" hidden="false" customHeight="false" outlineLevel="0" collapsed="false">
      <c r="A527" s="3" t="n">
        <v>526</v>
      </c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3" t="n">
        <f aca="false">IFERROR(LEN(C527&amp;D527&amp;E527&amp;F527&amp;G527&amp;H527&amp;I527&amp;J527&amp;K527&amp;L527&amp;M527&amp;N527)/5,0)</f>
        <v>0</v>
      </c>
      <c r="P527" s="3" t="str">
        <f aca="false">IF(OR(D527="",C527=""),"",IF((IFERROR(IF(AND(TRIM(D527)=D527,LEN(D527)&gt;0),0,1),1)+IFERROR(IF(AND(LEN(E527)=10,ISNUMBER(VALUE(E527))),0,1),1)+IFERROR(IF(AND(ISNUMBER(SEARCH("@",F527)),ISNUMBER(SEARCH(".",F527))),0,1),1)+IFERROR(IF(AND(LEN(J527)=6,ISNUMBER(VALUE(J527))),0,1),1)+IFERROR(IF(ISNUMBER(MATCH(TRIM(I527),Lists!$A$2:$A$20,0)),0,1),1)+IFERROR(IF(AND(LEN(K527)=10,VALUE(LEFT(K527,FIND("/",K527)-1))&gt;=1,VALUE(LEFT(K527,FIND("/",K527)-1))&lt;=31,VALUE(LEFT(MID(K527,FIND("/",K527)+1,10),FIND("/",MID(K527,FIND("/",K527)+1,10))-1))&gt;=1,VALUE(LEFT(MID(K527,FIND("/",K527)+1,10),FIND("/",MID(K527,FIND("/",K527)+1,10))-1))&lt;=12,VALUE(LEFT(K527,FIND("/",K527)-1))&lt;=DAY(EOMONTH(DATE(VALUE(MID(MID(K527,FIND("/",K527)+1,10),FIND("/",MID(K527,FIND("/",K527)+1,10))+1,4)),VALUE(LEFT(MID(K527,FIND("/",K527)+1,10),FIND("/",MID(K527,FIND("/",K527)+1,10))-1)),1),0))),0,1),1)+IFERROR(IF(M527&gt;=0,0,1),1)+IFERROR(IF(ISNUMBER(MATCH(N527,Lists!$B$2:$B$7,0)),0,1),1))=0,"OK","ERROR"))</f>
        <v/>
      </c>
      <c r="Q527" s="3" t="str">
        <f aca="false">IF(D527="","",TRIM(IF(IFERROR(IF(AND(TRIM(D527)=D527,LEN(D527)&gt;0),0,1),1)=1,"Name; ","")&amp;IF(IFERROR(IF(AND(LEN(E527)=10,ISNUMBER(VALUE(E527))),0,1),1)=1,"Phone; ","")&amp;IF(IFERROR(IF(AND(ISNUMBER(SEARCH("@",F527)),ISNUMBER(SEARCH(".",F527))),0,1),1)=1,"Email; ","")&amp;IF(IFERROR(IF(AND(LEN(J527)=6,ISNUMBER(VALUE(J527))),0,1),1)=1,"Pincode; ","")&amp;IF(IFERROR(IF(ISNUMBER(MATCH(TRIM(I527),Lists!$A$2:$A$20,0)),0,1),1)=1,"State; ","")&amp;IF(IFERROR(IF(AND(LEN(K527)=10,VALUE(LEFT(K527,FIND("/",K527)-1))&gt;=1,VALUE(LEFT(K527,FIND("/",K527)-1))&lt;=31,VALUE(LEFT(MID(K527,FIND("/",K527)+1,10),FIND("/",MID(K527,FIND("/",K527)+1,10))-1))&gt;=1,VALUE(LEFT(MID(K527,FIND("/",K527)+1,10),FIND("/",MID(K527,FIND("/",K527)+1,10))-1))&lt;=12,VALUE(LEFT(K527,FIND("/",K527)-1))&lt;=DAY(EOMONTH(DATE(VALUE(MID(MID(K527,FIND("/",K527)+1,10),FIND("/",MID(K527,FIND("/",K527)+1,10))+1,4)),VALUE(LEFT(MID(K527,FIND("/",K527)+1,10),FIND("/",MID(K527,FIND("/",K527)+1,10))-1)),1),0))),0,1),1)=1,"Date; ","")&amp;IF(IFERROR(IF(M527&gt;=0,0,1),1)=1,"Amount; ","")&amp;IF(IFERROR(IF(ISNUMBER(MATCH(N527,Lists!$B$2:$B$7,0)),0,1),1)=1,"Payment; ","")))</f>
        <v/>
      </c>
      <c r="R527" s="3" t="str">
        <f aca="false">IF(D527="","",IF(COUNTIFS($D$2:$D$701,D527,$E$2:$E$701,E527)&gt;1,"DUPLICATE","Unique"))</f>
        <v/>
      </c>
    </row>
    <row r="528" customFormat="false" ht="15" hidden="false" customHeight="false" outlineLevel="0" collapsed="false">
      <c r="A528" s="3" t="n">
        <v>527</v>
      </c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3" t="n">
        <f aca="false">IFERROR(LEN(C528&amp;D528&amp;E528&amp;F528&amp;G528&amp;H528&amp;I528&amp;J528&amp;K528&amp;L528&amp;M528&amp;N528)/5,0)</f>
        <v>0</v>
      </c>
      <c r="P528" s="3" t="str">
        <f aca="false">IF(OR(D528="",C528=""),"",IF((IFERROR(IF(AND(TRIM(D528)=D528,LEN(D528)&gt;0),0,1),1)+IFERROR(IF(AND(LEN(E528)=10,ISNUMBER(VALUE(E528))),0,1),1)+IFERROR(IF(AND(ISNUMBER(SEARCH("@",F528)),ISNUMBER(SEARCH(".",F528))),0,1),1)+IFERROR(IF(AND(LEN(J528)=6,ISNUMBER(VALUE(J528))),0,1),1)+IFERROR(IF(ISNUMBER(MATCH(TRIM(I528),Lists!$A$2:$A$20,0)),0,1),1)+IFERROR(IF(AND(LEN(K528)=10,VALUE(LEFT(K528,FIND("/",K528)-1))&gt;=1,VALUE(LEFT(K528,FIND("/",K528)-1))&lt;=31,VALUE(LEFT(MID(K528,FIND("/",K528)+1,10),FIND("/",MID(K528,FIND("/",K528)+1,10))-1))&gt;=1,VALUE(LEFT(MID(K528,FIND("/",K528)+1,10),FIND("/",MID(K528,FIND("/",K528)+1,10))-1))&lt;=12,VALUE(LEFT(K528,FIND("/",K528)-1))&lt;=DAY(EOMONTH(DATE(VALUE(MID(MID(K528,FIND("/",K528)+1,10),FIND("/",MID(K528,FIND("/",K528)+1,10))+1,4)),VALUE(LEFT(MID(K528,FIND("/",K528)+1,10),FIND("/",MID(K528,FIND("/",K528)+1,10))-1)),1),0))),0,1),1)+IFERROR(IF(M528&gt;=0,0,1),1)+IFERROR(IF(ISNUMBER(MATCH(N528,Lists!$B$2:$B$7,0)),0,1),1))=0,"OK","ERROR"))</f>
        <v/>
      </c>
      <c r="Q528" s="3" t="str">
        <f aca="false">IF(D528="","",TRIM(IF(IFERROR(IF(AND(TRIM(D528)=D528,LEN(D528)&gt;0),0,1),1)=1,"Name; ","")&amp;IF(IFERROR(IF(AND(LEN(E528)=10,ISNUMBER(VALUE(E528))),0,1),1)=1,"Phone; ","")&amp;IF(IFERROR(IF(AND(ISNUMBER(SEARCH("@",F528)),ISNUMBER(SEARCH(".",F528))),0,1),1)=1,"Email; ","")&amp;IF(IFERROR(IF(AND(LEN(J528)=6,ISNUMBER(VALUE(J528))),0,1),1)=1,"Pincode; ","")&amp;IF(IFERROR(IF(ISNUMBER(MATCH(TRIM(I528),Lists!$A$2:$A$20,0)),0,1),1)=1,"State; ","")&amp;IF(IFERROR(IF(AND(LEN(K528)=10,VALUE(LEFT(K528,FIND("/",K528)-1))&gt;=1,VALUE(LEFT(K528,FIND("/",K528)-1))&lt;=31,VALUE(LEFT(MID(K528,FIND("/",K528)+1,10),FIND("/",MID(K528,FIND("/",K528)+1,10))-1))&gt;=1,VALUE(LEFT(MID(K528,FIND("/",K528)+1,10),FIND("/",MID(K528,FIND("/",K528)+1,10))-1))&lt;=12,VALUE(LEFT(K528,FIND("/",K528)-1))&lt;=DAY(EOMONTH(DATE(VALUE(MID(MID(K528,FIND("/",K528)+1,10),FIND("/",MID(K528,FIND("/",K528)+1,10))+1,4)),VALUE(LEFT(MID(K528,FIND("/",K528)+1,10),FIND("/",MID(K528,FIND("/",K528)+1,10))-1)),1),0))),0,1),1)=1,"Date; ","")&amp;IF(IFERROR(IF(M528&gt;=0,0,1),1)=1,"Amount; ","")&amp;IF(IFERROR(IF(ISNUMBER(MATCH(N528,Lists!$B$2:$B$7,0)),0,1),1)=1,"Payment; ","")))</f>
        <v/>
      </c>
      <c r="R528" s="3" t="str">
        <f aca="false">IF(D528="","",IF(COUNTIFS($D$2:$D$701,D528,$E$2:$E$701,E528)&gt;1,"DUPLICATE","Unique"))</f>
        <v/>
      </c>
    </row>
    <row r="529" customFormat="false" ht="15" hidden="false" customHeight="false" outlineLevel="0" collapsed="false">
      <c r="A529" s="3" t="n">
        <v>528</v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3" t="n">
        <f aca="false">IFERROR(LEN(C529&amp;D529&amp;E529&amp;F529&amp;G529&amp;H529&amp;I529&amp;J529&amp;K529&amp;L529&amp;M529&amp;N529)/5,0)</f>
        <v>0</v>
      </c>
      <c r="P529" s="3" t="str">
        <f aca="false">IF(OR(D529="",C529=""),"",IF((IFERROR(IF(AND(TRIM(D529)=D529,LEN(D529)&gt;0),0,1),1)+IFERROR(IF(AND(LEN(E529)=10,ISNUMBER(VALUE(E529))),0,1),1)+IFERROR(IF(AND(ISNUMBER(SEARCH("@",F529)),ISNUMBER(SEARCH(".",F529))),0,1),1)+IFERROR(IF(AND(LEN(J529)=6,ISNUMBER(VALUE(J529))),0,1),1)+IFERROR(IF(ISNUMBER(MATCH(TRIM(I529),Lists!$A$2:$A$20,0)),0,1),1)+IFERROR(IF(AND(LEN(K529)=10,VALUE(LEFT(K529,FIND("/",K529)-1))&gt;=1,VALUE(LEFT(K529,FIND("/",K529)-1))&lt;=31,VALUE(LEFT(MID(K529,FIND("/",K529)+1,10),FIND("/",MID(K529,FIND("/",K529)+1,10))-1))&gt;=1,VALUE(LEFT(MID(K529,FIND("/",K529)+1,10),FIND("/",MID(K529,FIND("/",K529)+1,10))-1))&lt;=12,VALUE(LEFT(K529,FIND("/",K529)-1))&lt;=DAY(EOMONTH(DATE(VALUE(MID(MID(K529,FIND("/",K529)+1,10),FIND("/",MID(K529,FIND("/",K529)+1,10))+1,4)),VALUE(LEFT(MID(K529,FIND("/",K529)+1,10),FIND("/",MID(K529,FIND("/",K529)+1,10))-1)),1),0))),0,1),1)+IFERROR(IF(M529&gt;=0,0,1),1)+IFERROR(IF(ISNUMBER(MATCH(N529,Lists!$B$2:$B$7,0)),0,1),1))=0,"OK","ERROR"))</f>
        <v/>
      </c>
      <c r="Q529" s="3" t="str">
        <f aca="false">IF(D529="","",TRIM(IF(IFERROR(IF(AND(TRIM(D529)=D529,LEN(D529)&gt;0),0,1),1)=1,"Name; ","")&amp;IF(IFERROR(IF(AND(LEN(E529)=10,ISNUMBER(VALUE(E529))),0,1),1)=1,"Phone; ","")&amp;IF(IFERROR(IF(AND(ISNUMBER(SEARCH("@",F529)),ISNUMBER(SEARCH(".",F529))),0,1),1)=1,"Email; ","")&amp;IF(IFERROR(IF(AND(LEN(J529)=6,ISNUMBER(VALUE(J529))),0,1),1)=1,"Pincode; ","")&amp;IF(IFERROR(IF(ISNUMBER(MATCH(TRIM(I529),Lists!$A$2:$A$20,0)),0,1),1)=1,"State; ","")&amp;IF(IFERROR(IF(AND(LEN(K529)=10,VALUE(LEFT(K529,FIND("/",K529)-1))&gt;=1,VALUE(LEFT(K529,FIND("/",K529)-1))&lt;=31,VALUE(LEFT(MID(K529,FIND("/",K529)+1,10),FIND("/",MID(K529,FIND("/",K529)+1,10))-1))&gt;=1,VALUE(LEFT(MID(K529,FIND("/",K529)+1,10),FIND("/",MID(K529,FIND("/",K529)+1,10))-1))&lt;=12,VALUE(LEFT(K529,FIND("/",K529)-1))&lt;=DAY(EOMONTH(DATE(VALUE(MID(MID(K529,FIND("/",K529)+1,10),FIND("/",MID(K529,FIND("/",K529)+1,10))+1,4)),VALUE(LEFT(MID(K529,FIND("/",K529)+1,10),FIND("/",MID(K529,FIND("/",K529)+1,10))-1)),1),0))),0,1),1)=1,"Date; ","")&amp;IF(IFERROR(IF(M529&gt;=0,0,1),1)=1,"Amount; ","")&amp;IF(IFERROR(IF(ISNUMBER(MATCH(N529,Lists!$B$2:$B$7,0)),0,1),1)=1,"Payment; ","")))</f>
        <v/>
      </c>
      <c r="R529" s="3" t="str">
        <f aca="false">IF(D529="","",IF(COUNTIFS($D$2:$D$701,D529,$E$2:$E$701,E529)&gt;1,"DUPLICATE","Unique"))</f>
        <v/>
      </c>
    </row>
    <row r="530" customFormat="false" ht="15" hidden="false" customHeight="false" outlineLevel="0" collapsed="false">
      <c r="A530" s="3" t="n">
        <v>529</v>
      </c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3" t="n">
        <f aca="false">IFERROR(LEN(C530&amp;D530&amp;E530&amp;F530&amp;G530&amp;H530&amp;I530&amp;J530&amp;K530&amp;L530&amp;M530&amp;N530)/5,0)</f>
        <v>0</v>
      </c>
      <c r="P530" s="3" t="str">
        <f aca="false">IF(OR(D530="",C530=""),"",IF((IFERROR(IF(AND(TRIM(D530)=D530,LEN(D530)&gt;0),0,1),1)+IFERROR(IF(AND(LEN(E530)=10,ISNUMBER(VALUE(E530))),0,1),1)+IFERROR(IF(AND(ISNUMBER(SEARCH("@",F530)),ISNUMBER(SEARCH(".",F530))),0,1),1)+IFERROR(IF(AND(LEN(J530)=6,ISNUMBER(VALUE(J530))),0,1),1)+IFERROR(IF(ISNUMBER(MATCH(TRIM(I530),Lists!$A$2:$A$20,0)),0,1),1)+IFERROR(IF(AND(LEN(K530)=10,VALUE(LEFT(K530,FIND("/",K530)-1))&gt;=1,VALUE(LEFT(K530,FIND("/",K530)-1))&lt;=31,VALUE(LEFT(MID(K530,FIND("/",K530)+1,10),FIND("/",MID(K530,FIND("/",K530)+1,10))-1))&gt;=1,VALUE(LEFT(MID(K530,FIND("/",K530)+1,10),FIND("/",MID(K530,FIND("/",K530)+1,10))-1))&lt;=12,VALUE(LEFT(K530,FIND("/",K530)-1))&lt;=DAY(EOMONTH(DATE(VALUE(MID(MID(K530,FIND("/",K530)+1,10),FIND("/",MID(K530,FIND("/",K530)+1,10))+1,4)),VALUE(LEFT(MID(K530,FIND("/",K530)+1,10),FIND("/",MID(K530,FIND("/",K530)+1,10))-1)),1),0))),0,1),1)+IFERROR(IF(M530&gt;=0,0,1),1)+IFERROR(IF(ISNUMBER(MATCH(N530,Lists!$B$2:$B$7,0)),0,1),1))=0,"OK","ERROR"))</f>
        <v/>
      </c>
      <c r="Q530" s="3" t="str">
        <f aca="false">IF(D530="","",TRIM(IF(IFERROR(IF(AND(TRIM(D530)=D530,LEN(D530)&gt;0),0,1),1)=1,"Name; ","")&amp;IF(IFERROR(IF(AND(LEN(E530)=10,ISNUMBER(VALUE(E530))),0,1),1)=1,"Phone; ","")&amp;IF(IFERROR(IF(AND(ISNUMBER(SEARCH("@",F530)),ISNUMBER(SEARCH(".",F530))),0,1),1)=1,"Email; ","")&amp;IF(IFERROR(IF(AND(LEN(J530)=6,ISNUMBER(VALUE(J530))),0,1),1)=1,"Pincode; ","")&amp;IF(IFERROR(IF(ISNUMBER(MATCH(TRIM(I530),Lists!$A$2:$A$20,0)),0,1),1)=1,"State; ","")&amp;IF(IFERROR(IF(AND(LEN(K530)=10,VALUE(LEFT(K530,FIND("/",K530)-1))&gt;=1,VALUE(LEFT(K530,FIND("/",K530)-1))&lt;=31,VALUE(LEFT(MID(K530,FIND("/",K530)+1,10),FIND("/",MID(K530,FIND("/",K530)+1,10))-1))&gt;=1,VALUE(LEFT(MID(K530,FIND("/",K530)+1,10),FIND("/",MID(K530,FIND("/",K530)+1,10))-1))&lt;=12,VALUE(LEFT(K530,FIND("/",K530)-1))&lt;=DAY(EOMONTH(DATE(VALUE(MID(MID(K530,FIND("/",K530)+1,10),FIND("/",MID(K530,FIND("/",K530)+1,10))+1,4)),VALUE(LEFT(MID(K530,FIND("/",K530)+1,10),FIND("/",MID(K530,FIND("/",K530)+1,10))-1)),1),0))),0,1),1)=1,"Date; ","")&amp;IF(IFERROR(IF(M530&gt;=0,0,1),1)=1,"Amount; ","")&amp;IF(IFERROR(IF(ISNUMBER(MATCH(N530,Lists!$B$2:$B$7,0)),0,1),1)=1,"Payment; ","")))</f>
        <v/>
      </c>
      <c r="R530" s="3" t="str">
        <f aca="false">IF(D530="","",IF(COUNTIFS($D$2:$D$701,D530,$E$2:$E$701,E530)&gt;1,"DUPLICATE","Unique"))</f>
        <v/>
      </c>
    </row>
    <row r="531" customFormat="false" ht="15" hidden="false" customHeight="false" outlineLevel="0" collapsed="false">
      <c r="A531" s="3" t="n">
        <v>530</v>
      </c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3" t="n">
        <f aca="false">IFERROR(LEN(C531&amp;D531&amp;E531&amp;F531&amp;G531&amp;H531&amp;I531&amp;J531&amp;K531&amp;L531&amp;M531&amp;N531)/5,0)</f>
        <v>0</v>
      </c>
      <c r="P531" s="3" t="str">
        <f aca="false">IF(OR(D531="",C531=""),"",IF((IFERROR(IF(AND(TRIM(D531)=D531,LEN(D531)&gt;0),0,1),1)+IFERROR(IF(AND(LEN(E531)=10,ISNUMBER(VALUE(E531))),0,1),1)+IFERROR(IF(AND(ISNUMBER(SEARCH("@",F531)),ISNUMBER(SEARCH(".",F531))),0,1),1)+IFERROR(IF(AND(LEN(J531)=6,ISNUMBER(VALUE(J531))),0,1),1)+IFERROR(IF(ISNUMBER(MATCH(TRIM(I531),Lists!$A$2:$A$20,0)),0,1),1)+IFERROR(IF(AND(LEN(K531)=10,VALUE(LEFT(K531,FIND("/",K531)-1))&gt;=1,VALUE(LEFT(K531,FIND("/",K531)-1))&lt;=31,VALUE(LEFT(MID(K531,FIND("/",K531)+1,10),FIND("/",MID(K531,FIND("/",K531)+1,10))-1))&gt;=1,VALUE(LEFT(MID(K531,FIND("/",K531)+1,10),FIND("/",MID(K531,FIND("/",K531)+1,10))-1))&lt;=12,VALUE(LEFT(K531,FIND("/",K531)-1))&lt;=DAY(EOMONTH(DATE(VALUE(MID(MID(K531,FIND("/",K531)+1,10),FIND("/",MID(K531,FIND("/",K531)+1,10))+1,4)),VALUE(LEFT(MID(K531,FIND("/",K531)+1,10),FIND("/",MID(K531,FIND("/",K531)+1,10))-1)),1),0))),0,1),1)+IFERROR(IF(M531&gt;=0,0,1),1)+IFERROR(IF(ISNUMBER(MATCH(N531,Lists!$B$2:$B$7,0)),0,1),1))=0,"OK","ERROR"))</f>
        <v/>
      </c>
      <c r="Q531" s="3" t="str">
        <f aca="false">IF(D531="","",TRIM(IF(IFERROR(IF(AND(TRIM(D531)=D531,LEN(D531)&gt;0),0,1),1)=1,"Name; ","")&amp;IF(IFERROR(IF(AND(LEN(E531)=10,ISNUMBER(VALUE(E531))),0,1),1)=1,"Phone; ","")&amp;IF(IFERROR(IF(AND(ISNUMBER(SEARCH("@",F531)),ISNUMBER(SEARCH(".",F531))),0,1),1)=1,"Email; ","")&amp;IF(IFERROR(IF(AND(LEN(J531)=6,ISNUMBER(VALUE(J531))),0,1),1)=1,"Pincode; ","")&amp;IF(IFERROR(IF(ISNUMBER(MATCH(TRIM(I531),Lists!$A$2:$A$20,0)),0,1),1)=1,"State; ","")&amp;IF(IFERROR(IF(AND(LEN(K531)=10,VALUE(LEFT(K531,FIND("/",K531)-1))&gt;=1,VALUE(LEFT(K531,FIND("/",K531)-1))&lt;=31,VALUE(LEFT(MID(K531,FIND("/",K531)+1,10),FIND("/",MID(K531,FIND("/",K531)+1,10))-1))&gt;=1,VALUE(LEFT(MID(K531,FIND("/",K531)+1,10),FIND("/",MID(K531,FIND("/",K531)+1,10))-1))&lt;=12,VALUE(LEFT(K531,FIND("/",K531)-1))&lt;=DAY(EOMONTH(DATE(VALUE(MID(MID(K531,FIND("/",K531)+1,10),FIND("/",MID(K531,FIND("/",K531)+1,10))+1,4)),VALUE(LEFT(MID(K531,FIND("/",K531)+1,10),FIND("/",MID(K531,FIND("/",K531)+1,10))-1)),1),0))),0,1),1)=1,"Date; ","")&amp;IF(IFERROR(IF(M531&gt;=0,0,1),1)=1,"Amount; ","")&amp;IF(IFERROR(IF(ISNUMBER(MATCH(N531,Lists!$B$2:$B$7,0)),0,1),1)=1,"Payment; ","")))</f>
        <v/>
      </c>
      <c r="R531" s="3" t="str">
        <f aca="false">IF(D531="","",IF(COUNTIFS($D$2:$D$701,D531,$E$2:$E$701,E531)&gt;1,"DUPLICATE","Unique"))</f>
        <v/>
      </c>
    </row>
    <row r="532" customFormat="false" ht="15" hidden="false" customHeight="false" outlineLevel="0" collapsed="false">
      <c r="A532" s="3" t="n">
        <v>531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3" t="n">
        <f aca="false">IFERROR(LEN(C532&amp;D532&amp;E532&amp;F532&amp;G532&amp;H532&amp;I532&amp;J532&amp;K532&amp;L532&amp;M532&amp;N532)/5,0)</f>
        <v>0</v>
      </c>
      <c r="P532" s="3" t="str">
        <f aca="false">IF(OR(D532="",C532=""),"",IF((IFERROR(IF(AND(TRIM(D532)=D532,LEN(D532)&gt;0),0,1),1)+IFERROR(IF(AND(LEN(E532)=10,ISNUMBER(VALUE(E532))),0,1),1)+IFERROR(IF(AND(ISNUMBER(SEARCH("@",F532)),ISNUMBER(SEARCH(".",F532))),0,1),1)+IFERROR(IF(AND(LEN(J532)=6,ISNUMBER(VALUE(J532))),0,1),1)+IFERROR(IF(ISNUMBER(MATCH(TRIM(I532),Lists!$A$2:$A$20,0)),0,1),1)+IFERROR(IF(AND(LEN(K532)=10,VALUE(LEFT(K532,FIND("/",K532)-1))&gt;=1,VALUE(LEFT(K532,FIND("/",K532)-1))&lt;=31,VALUE(LEFT(MID(K532,FIND("/",K532)+1,10),FIND("/",MID(K532,FIND("/",K532)+1,10))-1))&gt;=1,VALUE(LEFT(MID(K532,FIND("/",K532)+1,10),FIND("/",MID(K532,FIND("/",K532)+1,10))-1))&lt;=12,VALUE(LEFT(K532,FIND("/",K532)-1))&lt;=DAY(EOMONTH(DATE(VALUE(MID(MID(K532,FIND("/",K532)+1,10),FIND("/",MID(K532,FIND("/",K532)+1,10))+1,4)),VALUE(LEFT(MID(K532,FIND("/",K532)+1,10),FIND("/",MID(K532,FIND("/",K532)+1,10))-1)),1),0))),0,1),1)+IFERROR(IF(M532&gt;=0,0,1),1)+IFERROR(IF(ISNUMBER(MATCH(N532,Lists!$B$2:$B$7,0)),0,1),1))=0,"OK","ERROR"))</f>
        <v/>
      </c>
      <c r="Q532" s="3" t="str">
        <f aca="false">IF(D532="","",TRIM(IF(IFERROR(IF(AND(TRIM(D532)=D532,LEN(D532)&gt;0),0,1),1)=1,"Name; ","")&amp;IF(IFERROR(IF(AND(LEN(E532)=10,ISNUMBER(VALUE(E532))),0,1),1)=1,"Phone; ","")&amp;IF(IFERROR(IF(AND(ISNUMBER(SEARCH("@",F532)),ISNUMBER(SEARCH(".",F532))),0,1),1)=1,"Email; ","")&amp;IF(IFERROR(IF(AND(LEN(J532)=6,ISNUMBER(VALUE(J532))),0,1),1)=1,"Pincode; ","")&amp;IF(IFERROR(IF(ISNUMBER(MATCH(TRIM(I532),Lists!$A$2:$A$20,0)),0,1),1)=1,"State; ","")&amp;IF(IFERROR(IF(AND(LEN(K532)=10,VALUE(LEFT(K532,FIND("/",K532)-1))&gt;=1,VALUE(LEFT(K532,FIND("/",K532)-1))&lt;=31,VALUE(LEFT(MID(K532,FIND("/",K532)+1,10),FIND("/",MID(K532,FIND("/",K532)+1,10))-1))&gt;=1,VALUE(LEFT(MID(K532,FIND("/",K532)+1,10),FIND("/",MID(K532,FIND("/",K532)+1,10))-1))&lt;=12,VALUE(LEFT(K532,FIND("/",K532)-1))&lt;=DAY(EOMONTH(DATE(VALUE(MID(MID(K532,FIND("/",K532)+1,10),FIND("/",MID(K532,FIND("/",K532)+1,10))+1,4)),VALUE(LEFT(MID(K532,FIND("/",K532)+1,10),FIND("/",MID(K532,FIND("/",K532)+1,10))-1)),1),0))),0,1),1)=1,"Date; ","")&amp;IF(IFERROR(IF(M532&gt;=0,0,1),1)=1,"Amount; ","")&amp;IF(IFERROR(IF(ISNUMBER(MATCH(N532,Lists!$B$2:$B$7,0)),0,1),1)=1,"Payment; ","")))</f>
        <v/>
      </c>
      <c r="R532" s="3" t="str">
        <f aca="false">IF(D532="","",IF(COUNTIFS($D$2:$D$701,D532,$E$2:$E$701,E532)&gt;1,"DUPLICATE","Unique"))</f>
        <v/>
      </c>
    </row>
    <row r="533" customFormat="false" ht="15" hidden="false" customHeight="false" outlineLevel="0" collapsed="false">
      <c r="A533" s="3" t="n">
        <v>532</v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3" t="n">
        <f aca="false">IFERROR(LEN(C533&amp;D533&amp;E533&amp;F533&amp;G533&amp;H533&amp;I533&amp;J533&amp;K533&amp;L533&amp;M533&amp;N533)/5,0)</f>
        <v>0</v>
      </c>
      <c r="P533" s="3" t="str">
        <f aca="false">IF(OR(D533="",C533=""),"",IF((IFERROR(IF(AND(TRIM(D533)=D533,LEN(D533)&gt;0),0,1),1)+IFERROR(IF(AND(LEN(E533)=10,ISNUMBER(VALUE(E533))),0,1),1)+IFERROR(IF(AND(ISNUMBER(SEARCH("@",F533)),ISNUMBER(SEARCH(".",F533))),0,1),1)+IFERROR(IF(AND(LEN(J533)=6,ISNUMBER(VALUE(J533))),0,1),1)+IFERROR(IF(ISNUMBER(MATCH(TRIM(I533),Lists!$A$2:$A$20,0)),0,1),1)+IFERROR(IF(AND(LEN(K533)=10,VALUE(LEFT(K533,FIND("/",K533)-1))&gt;=1,VALUE(LEFT(K533,FIND("/",K533)-1))&lt;=31,VALUE(LEFT(MID(K533,FIND("/",K533)+1,10),FIND("/",MID(K533,FIND("/",K533)+1,10))-1))&gt;=1,VALUE(LEFT(MID(K533,FIND("/",K533)+1,10),FIND("/",MID(K533,FIND("/",K533)+1,10))-1))&lt;=12,VALUE(LEFT(K533,FIND("/",K533)-1))&lt;=DAY(EOMONTH(DATE(VALUE(MID(MID(K533,FIND("/",K533)+1,10),FIND("/",MID(K533,FIND("/",K533)+1,10))+1,4)),VALUE(LEFT(MID(K533,FIND("/",K533)+1,10),FIND("/",MID(K533,FIND("/",K533)+1,10))-1)),1),0))),0,1),1)+IFERROR(IF(M533&gt;=0,0,1),1)+IFERROR(IF(ISNUMBER(MATCH(N533,Lists!$B$2:$B$7,0)),0,1),1))=0,"OK","ERROR"))</f>
        <v/>
      </c>
      <c r="Q533" s="3" t="str">
        <f aca="false">IF(D533="","",TRIM(IF(IFERROR(IF(AND(TRIM(D533)=D533,LEN(D533)&gt;0),0,1),1)=1,"Name; ","")&amp;IF(IFERROR(IF(AND(LEN(E533)=10,ISNUMBER(VALUE(E533))),0,1),1)=1,"Phone; ","")&amp;IF(IFERROR(IF(AND(ISNUMBER(SEARCH("@",F533)),ISNUMBER(SEARCH(".",F533))),0,1),1)=1,"Email; ","")&amp;IF(IFERROR(IF(AND(LEN(J533)=6,ISNUMBER(VALUE(J533))),0,1),1)=1,"Pincode; ","")&amp;IF(IFERROR(IF(ISNUMBER(MATCH(TRIM(I533),Lists!$A$2:$A$20,0)),0,1),1)=1,"State; ","")&amp;IF(IFERROR(IF(AND(LEN(K533)=10,VALUE(LEFT(K533,FIND("/",K533)-1))&gt;=1,VALUE(LEFT(K533,FIND("/",K533)-1))&lt;=31,VALUE(LEFT(MID(K533,FIND("/",K533)+1,10),FIND("/",MID(K533,FIND("/",K533)+1,10))-1))&gt;=1,VALUE(LEFT(MID(K533,FIND("/",K533)+1,10),FIND("/",MID(K533,FIND("/",K533)+1,10))-1))&lt;=12,VALUE(LEFT(K533,FIND("/",K533)-1))&lt;=DAY(EOMONTH(DATE(VALUE(MID(MID(K533,FIND("/",K533)+1,10),FIND("/",MID(K533,FIND("/",K533)+1,10))+1,4)),VALUE(LEFT(MID(K533,FIND("/",K533)+1,10),FIND("/",MID(K533,FIND("/",K533)+1,10))-1)),1),0))),0,1),1)=1,"Date; ","")&amp;IF(IFERROR(IF(M533&gt;=0,0,1),1)=1,"Amount; ","")&amp;IF(IFERROR(IF(ISNUMBER(MATCH(N533,Lists!$B$2:$B$7,0)),0,1),1)=1,"Payment; ","")))</f>
        <v/>
      </c>
      <c r="R533" s="3" t="str">
        <f aca="false">IF(D533="","",IF(COUNTIFS($D$2:$D$701,D533,$E$2:$E$701,E533)&gt;1,"DUPLICATE","Unique"))</f>
        <v/>
      </c>
    </row>
    <row r="534" customFormat="false" ht="15" hidden="false" customHeight="false" outlineLevel="0" collapsed="false">
      <c r="A534" s="3" t="n">
        <v>533</v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3" t="n">
        <f aca="false">IFERROR(LEN(C534&amp;D534&amp;E534&amp;F534&amp;G534&amp;H534&amp;I534&amp;J534&amp;K534&amp;L534&amp;M534&amp;N534)/5,0)</f>
        <v>0</v>
      </c>
      <c r="P534" s="3" t="str">
        <f aca="false">IF(OR(D534="",C534=""),"",IF((IFERROR(IF(AND(TRIM(D534)=D534,LEN(D534)&gt;0),0,1),1)+IFERROR(IF(AND(LEN(E534)=10,ISNUMBER(VALUE(E534))),0,1),1)+IFERROR(IF(AND(ISNUMBER(SEARCH("@",F534)),ISNUMBER(SEARCH(".",F534))),0,1),1)+IFERROR(IF(AND(LEN(J534)=6,ISNUMBER(VALUE(J534))),0,1),1)+IFERROR(IF(ISNUMBER(MATCH(TRIM(I534),Lists!$A$2:$A$20,0)),0,1),1)+IFERROR(IF(AND(LEN(K534)=10,VALUE(LEFT(K534,FIND("/",K534)-1))&gt;=1,VALUE(LEFT(K534,FIND("/",K534)-1))&lt;=31,VALUE(LEFT(MID(K534,FIND("/",K534)+1,10),FIND("/",MID(K534,FIND("/",K534)+1,10))-1))&gt;=1,VALUE(LEFT(MID(K534,FIND("/",K534)+1,10),FIND("/",MID(K534,FIND("/",K534)+1,10))-1))&lt;=12,VALUE(LEFT(K534,FIND("/",K534)-1))&lt;=DAY(EOMONTH(DATE(VALUE(MID(MID(K534,FIND("/",K534)+1,10),FIND("/",MID(K534,FIND("/",K534)+1,10))+1,4)),VALUE(LEFT(MID(K534,FIND("/",K534)+1,10),FIND("/",MID(K534,FIND("/",K534)+1,10))-1)),1),0))),0,1),1)+IFERROR(IF(M534&gt;=0,0,1),1)+IFERROR(IF(ISNUMBER(MATCH(N534,Lists!$B$2:$B$7,0)),0,1),1))=0,"OK","ERROR"))</f>
        <v/>
      </c>
      <c r="Q534" s="3" t="str">
        <f aca="false">IF(D534="","",TRIM(IF(IFERROR(IF(AND(TRIM(D534)=D534,LEN(D534)&gt;0),0,1),1)=1,"Name; ","")&amp;IF(IFERROR(IF(AND(LEN(E534)=10,ISNUMBER(VALUE(E534))),0,1),1)=1,"Phone; ","")&amp;IF(IFERROR(IF(AND(ISNUMBER(SEARCH("@",F534)),ISNUMBER(SEARCH(".",F534))),0,1),1)=1,"Email; ","")&amp;IF(IFERROR(IF(AND(LEN(J534)=6,ISNUMBER(VALUE(J534))),0,1),1)=1,"Pincode; ","")&amp;IF(IFERROR(IF(ISNUMBER(MATCH(TRIM(I534),Lists!$A$2:$A$20,0)),0,1),1)=1,"State; ","")&amp;IF(IFERROR(IF(AND(LEN(K534)=10,VALUE(LEFT(K534,FIND("/",K534)-1))&gt;=1,VALUE(LEFT(K534,FIND("/",K534)-1))&lt;=31,VALUE(LEFT(MID(K534,FIND("/",K534)+1,10),FIND("/",MID(K534,FIND("/",K534)+1,10))-1))&gt;=1,VALUE(LEFT(MID(K534,FIND("/",K534)+1,10),FIND("/",MID(K534,FIND("/",K534)+1,10))-1))&lt;=12,VALUE(LEFT(K534,FIND("/",K534)-1))&lt;=DAY(EOMONTH(DATE(VALUE(MID(MID(K534,FIND("/",K534)+1,10),FIND("/",MID(K534,FIND("/",K534)+1,10))+1,4)),VALUE(LEFT(MID(K534,FIND("/",K534)+1,10),FIND("/",MID(K534,FIND("/",K534)+1,10))-1)),1),0))),0,1),1)=1,"Date; ","")&amp;IF(IFERROR(IF(M534&gt;=0,0,1),1)=1,"Amount; ","")&amp;IF(IFERROR(IF(ISNUMBER(MATCH(N534,Lists!$B$2:$B$7,0)),0,1),1)=1,"Payment; ","")))</f>
        <v/>
      </c>
      <c r="R534" s="3" t="str">
        <f aca="false">IF(D534="","",IF(COUNTIFS($D$2:$D$701,D534,$E$2:$E$701,E534)&gt;1,"DUPLICATE","Unique"))</f>
        <v/>
      </c>
    </row>
    <row r="535" customFormat="false" ht="15" hidden="false" customHeight="false" outlineLevel="0" collapsed="false">
      <c r="A535" s="3" t="n">
        <v>534</v>
      </c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3" t="n">
        <f aca="false">IFERROR(LEN(C535&amp;D535&amp;E535&amp;F535&amp;G535&amp;H535&amp;I535&amp;J535&amp;K535&amp;L535&amp;M535&amp;N535)/5,0)</f>
        <v>0</v>
      </c>
      <c r="P535" s="3" t="str">
        <f aca="false">IF(OR(D535="",C535=""),"",IF((IFERROR(IF(AND(TRIM(D535)=D535,LEN(D535)&gt;0),0,1),1)+IFERROR(IF(AND(LEN(E535)=10,ISNUMBER(VALUE(E535))),0,1),1)+IFERROR(IF(AND(ISNUMBER(SEARCH("@",F535)),ISNUMBER(SEARCH(".",F535))),0,1),1)+IFERROR(IF(AND(LEN(J535)=6,ISNUMBER(VALUE(J535))),0,1),1)+IFERROR(IF(ISNUMBER(MATCH(TRIM(I535),Lists!$A$2:$A$20,0)),0,1),1)+IFERROR(IF(AND(LEN(K535)=10,VALUE(LEFT(K535,FIND("/",K535)-1))&gt;=1,VALUE(LEFT(K535,FIND("/",K535)-1))&lt;=31,VALUE(LEFT(MID(K535,FIND("/",K535)+1,10),FIND("/",MID(K535,FIND("/",K535)+1,10))-1))&gt;=1,VALUE(LEFT(MID(K535,FIND("/",K535)+1,10),FIND("/",MID(K535,FIND("/",K535)+1,10))-1))&lt;=12,VALUE(LEFT(K535,FIND("/",K535)-1))&lt;=DAY(EOMONTH(DATE(VALUE(MID(MID(K535,FIND("/",K535)+1,10),FIND("/",MID(K535,FIND("/",K535)+1,10))+1,4)),VALUE(LEFT(MID(K535,FIND("/",K535)+1,10),FIND("/",MID(K535,FIND("/",K535)+1,10))-1)),1),0))),0,1),1)+IFERROR(IF(M535&gt;=0,0,1),1)+IFERROR(IF(ISNUMBER(MATCH(N535,Lists!$B$2:$B$7,0)),0,1),1))=0,"OK","ERROR"))</f>
        <v/>
      </c>
      <c r="Q535" s="3" t="str">
        <f aca="false">IF(D535="","",TRIM(IF(IFERROR(IF(AND(TRIM(D535)=D535,LEN(D535)&gt;0),0,1),1)=1,"Name; ","")&amp;IF(IFERROR(IF(AND(LEN(E535)=10,ISNUMBER(VALUE(E535))),0,1),1)=1,"Phone; ","")&amp;IF(IFERROR(IF(AND(ISNUMBER(SEARCH("@",F535)),ISNUMBER(SEARCH(".",F535))),0,1),1)=1,"Email; ","")&amp;IF(IFERROR(IF(AND(LEN(J535)=6,ISNUMBER(VALUE(J535))),0,1),1)=1,"Pincode; ","")&amp;IF(IFERROR(IF(ISNUMBER(MATCH(TRIM(I535),Lists!$A$2:$A$20,0)),0,1),1)=1,"State; ","")&amp;IF(IFERROR(IF(AND(LEN(K535)=10,VALUE(LEFT(K535,FIND("/",K535)-1))&gt;=1,VALUE(LEFT(K535,FIND("/",K535)-1))&lt;=31,VALUE(LEFT(MID(K535,FIND("/",K535)+1,10),FIND("/",MID(K535,FIND("/",K535)+1,10))-1))&gt;=1,VALUE(LEFT(MID(K535,FIND("/",K535)+1,10),FIND("/",MID(K535,FIND("/",K535)+1,10))-1))&lt;=12,VALUE(LEFT(K535,FIND("/",K535)-1))&lt;=DAY(EOMONTH(DATE(VALUE(MID(MID(K535,FIND("/",K535)+1,10),FIND("/",MID(K535,FIND("/",K535)+1,10))+1,4)),VALUE(LEFT(MID(K535,FIND("/",K535)+1,10),FIND("/",MID(K535,FIND("/",K535)+1,10))-1)),1),0))),0,1),1)=1,"Date; ","")&amp;IF(IFERROR(IF(M535&gt;=0,0,1),1)=1,"Amount; ","")&amp;IF(IFERROR(IF(ISNUMBER(MATCH(N535,Lists!$B$2:$B$7,0)),0,1),1)=1,"Payment; ","")))</f>
        <v/>
      </c>
      <c r="R535" s="3" t="str">
        <f aca="false">IF(D535="","",IF(COUNTIFS($D$2:$D$701,D535,$E$2:$E$701,E535)&gt;1,"DUPLICATE","Unique"))</f>
        <v/>
      </c>
    </row>
    <row r="536" customFormat="false" ht="15" hidden="false" customHeight="false" outlineLevel="0" collapsed="false">
      <c r="A536" s="3" t="n">
        <v>535</v>
      </c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3" t="n">
        <f aca="false">IFERROR(LEN(C536&amp;D536&amp;E536&amp;F536&amp;G536&amp;H536&amp;I536&amp;J536&amp;K536&amp;L536&amp;M536&amp;N536)/5,0)</f>
        <v>0</v>
      </c>
      <c r="P536" s="3" t="str">
        <f aca="false">IF(OR(D536="",C536=""),"",IF((IFERROR(IF(AND(TRIM(D536)=D536,LEN(D536)&gt;0),0,1),1)+IFERROR(IF(AND(LEN(E536)=10,ISNUMBER(VALUE(E536))),0,1),1)+IFERROR(IF(AND(ISNUMBER(SEARCH("@",F536)),ISNUMBER(SEARCH(".",F536))),0,1),1)+IFERROR(IF(AND(LEN(J536)=6,ISNUMBER(VALUE(J536))),0,1),1)+IFERROR(IF(ISNUMBER(MATCH(TRIM(I536),Lists!$A$2:$A$20,0)),0,1),1)+IFERROR(IF(AND(LEN(K536)=10,VALUE(LEFT(K536,FIND("/",K536)-1))&gt;=1,VALUE(LEFT(K536,FIND("/",K536)-1))&lt;=31,VALUE(LEFT(MID(K536,FIND("/",K536)+1,10),FIND("/",MID(K536,FIND("/",K536)+1,10))-1))&gt;=1,VALUE(LEFT(MID(K536,FIND("/",K536)+1,10),FIND("/",MID(K536,FIND("/",K536)+1,10))-1))&lt;=12,VALUE(LEFT(K536,FIND("/",K536)-1))&lt;=DAY(EOMONTH(DATE(VALUE(MID(MID(K536,FIND("/",K536)+1,10),FIND("/",MID(K536,FIND("/",K536)+1,10))+1,4)),VALUE(LEFT(MID(K536,FIND("/",K536)+1,10),FIND("/",MID(K536,FIND("/",K536)+1,10))-1)),1),0))),0,1),1)+IFERROR(IF(M536&gt;=0,0,1),1)+IFERROR(IF(ISNUMBER(MATCH(N536,Lists!$B$2:$B$7,0)),0,1),1))=0,"OK","ERROR"))</f>
        <v/>
      </c>
      <c r="Q536" s="3" t="str">
        <f aca="false">IF(D536="","",TRIM(IF(IFERROR(IF(AND(TRIM(D536)=D536,LEN(D536)&gt;0),0,1),1)=1,"Name; ","")&amp;IF(IFERROR(IF(AND(LEN(E536)=10,ISNUMBER(VALUE(E536))),0,1),1)=1,"Phone; ","")&amp;IF(IFERROR(IF(AND(ISNUMBER(SEARCH("@",F536)),ISNUMBER(SEARCH(".",F536))),0,1),1)=1,"Email; ","")&amp;IF(IFERROR(IF(AND(LEN(J536)=6,ISNUMBER(VALUE(J536))),0,1),1)=1,"Pincode; ","")&amp;IF(IFERROR(IF(ISNUMBER(MATCH(TRIM(I536),Lists!$A$2:$A$20,0)),0,1),1)=1,"State; ","")&amp;IF(IFERROR(IF(AND(LEN(K536)=10,VALUE(LEFT(K536,FIND("/",K536)-1))&gt;=1,VALUE(LEFT(K536,FIND("/",K536)-1))&lt;=31,VALUE(LEFT(MID(K536,FIND("/",K536)+1,10),FIND("/",MID(K536,FIND("/",K536)+1,10))-1))&gt;=1,VALUE(LEFT(MID(K536,FIND("/",K536)+1,10),FIND("/",MID(K536,FIND("/",K536)+1,10))-1))&lt;=12,VALUE(LEFT(K536,FIND("/",K536)-1))&lt;=DAY(EOMONTH(DATE(VALUE(MID(MID(K536,FIND("/",K536)+1,10),FIND("/",MID(K536,FIND("/",K536)+1,10))+1,4)),VALUE(LEFT(MID(K536,FIND("/",K536)+1,10),FIND("/",MID(K536,FIND("/",K536)+1,10))-1)),1),0))),0,1),1)=1,"Date; ","")&amp;IF(IFERROR(IF(M536&gt;=0,0,1),1)=1,"Amount; ","")&amp;IF(IFERROR(IF(ISNUMBER(MATCH(N536,Lists!$B$2:$B$7,0)),0,1),1)=1,"Payment; ","")))</f>
        <v/>
      </c>
      <c r="R536" s="3" t="str">
        <f aca="false">IF(D536="","",IF(COUNTIFS($D$2:$D$701,D536,$E$2:$E$701,E536)&gt;1,"DUPLICATE","Unique"))</f>
        <v/>
      </c>
    </row>
    <row r="537" customFormat="false" ht="15" hidden="false" customHeight="false" outlineLevel="0" collapsed="false">
      <c r="A537" s="3" t="n">
        <v>536</v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3" t="n">
        <f aca="false">IFERROR(LEN(C537&amp;D537&amp;E537&amp;F537&amp;G537&amp;H537&amp;I537&amp;J537&amp;K537&amp;L537&amp;M537&amp;N537)/5,0)</f>
        <v>0</v>
      </c>
      <c r="P537" s="3" t="str">
        <f aca="false">IF(OR(D537="",C537=""),"",IF((IFERROR(IF(AND(TRIM(D537)=D537,LEN(D537)&gt;0),0,1),1)+IFERROR(IF(AND(LEN(E537)=10,ISNUMBER(VALUE(E537))),0,1),1)+IFERROR(IF(AND(ISNUMBER(SEARCH("@",F537)),ISNUMBER(SEARCH(".",F537))),0,1),1)+IFERROR(IF(AND(LEN(J537)=6,ISNUMBER(VALUE(J537))),0,1),1)+IFERROR(IF(ISNUMBER(MATCH(TRIM(I537),Lists!$A$2:$A$20,0)),0,1),1)+IFERROR(IF(AND(LEN(K537)=10,VALUE(LEFT(K537,FIND("/",K537)-1))&gt;=1,VALUE(LEFT(K537,FIND("/",K537)-1))&lt;=31,VALUE(LEFT(MID(K537,FIND("/",K537)+1,10),FIND("/",MID(K537,FIND("/",K537)+1,10))-1))&gt;=1,VALUE(LEFT(MID(K537,FIND("/",K537)+1,10),FIND("/",MID(K537,FIND("/",K537)+1,10))-1))&lt;=12,VALUE(LEFT(K537,FIND("/",K537)-1))&lt;=DAY(EOMONTH(DATE(VALUE(MID(MID(K537,FIND("/",K537)+1,10),FIND("/",MID(K537,FIND("/",K537)+1,10))+1,4)),VALUE(LEFT(MID(K537,FIND("/",K537)+1,10),FIND("/",MID(K537,FIND("/",K537)+1,10))-1)),1),0))),0,1),1)+IFERROR(IF(M537&gt;=0,0,1),1)+IFERROR(IF(ISNUMBER(MATCH(N537,Lists!$B$2:$B$7,0)),0,1),1))=0,"OK","ERROR"))</f>
        <v/>
      </c>
      <c r="Q537" s="3" t="str">
        <f aca="false">IF(D537="","",TRIM(IF(IFERROR(IF(AND(TRIM(D537)=D537,LEN(D537)&gt;0),0,1),1)=1,"Name; ","")&amp;IF(IFERROR(IF(AND(LEN(E537)=10,ISNUMBER(VALUE(E537))),0,1),1)=1,"Phone; ","")&amp;IF(IFERROR(IF(AND(ISNUMBER(SEARCH("@",F537)),ISNUMBER(SEARCH(".",F537))),0,1),1)=1,"Email; ","")&amp;IF(IFERROR(IF(AND(LEN(J537)=6,ISNUMBER(VALUE(J537))),0,1),1)=1,"Pincode; ","")&amp;IF(IFERROR(IF(ISNUMBER(MATCH(TRIM(I537),Lists!$A$2:$A$20,0)),0,1),1)=1,"State; ","")&amp;IF(IFERROR(IF(AND(LEN(K537)=10,VALUE(LEFT(K537,FIND("/",K537)-1))&gt;=1,VALUE(LEFT(K537,FIND("/",K537)-1))&lt;=31,VALUE(LEFT(MID(K537,FIND("/",K537)+1,10),FIND("/",MID(K537,FIND("/",K537)+1,10))-1))&gt;=1,VALUE(LEFT(MID(K537,FIND("/",K537)+1,10),FIND("/",MID(K537,FIND("/",K537)+1,10))-1))&lt;=12,VALUE(LEFT(K537,FIND("/",K537)-1))&lt;=DAY(EOMONTH(DATE(VALUE(MID(MID(K537,FIND("/",K537)+1,10),FIND("/",MID(K537,FIND("/",K537)+1,10))+1,4)),VALUE(LEFT(MID(K537,FIND("/",K537)+1,10),FIND("/",MID(K537,FIND("/",K537)+1,10))-1)),1),0))),0,1),1)=1,"Date; ","")&amp;IF(IFERROR(IF(M537&gt;=0,0,1),1)=1,"Amount; ","")&amp;IF(IFERROR(IF(ISNUMBER(MATCH(N537,Lists!$B$2:$B$7,0)),0,1),1)=1,"Payment; ","")))</f>
        <v/>
      </c>
      <c r="R537" s="3" t="str">
        <f aca="false">IF(D537="","",IF(COUNTIFS($D$2:$D$701,D537,$E$2:$E$701,E537)&gt;1,"DUPLICATE","Unique"))</f>
        <v/>
      </c>
    </row>
    <row r="538" customFormat="false" ht="15" hidden="false" customHeight="false" outlineLevel="0" collapsed="false">
      <c r="A538" s="3" t="n">
        <v>537</v>
      </c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3" t="n">
        <f aca="false">IFERROR(LEN(C538&amp;D538&amp;E538&amp;F538&amp;G538&amp;H538&amp;I538&amp;J538&amp;K538&amp;L538&amp;M538&amp;N538)/5,0)</f>
        <v>0</v>
      </c>
      <c r="P538" s="3" t="str">
        <f aca="false">IF(OR(D538="",C538=""),"",IF((IFERROR(IF(AND(TRIM(D538)=D538,LEN(D538)&gt;0),0,1),1)+IFERROR(IF(AND(LEN(E538)=10,ISNUMBER(VALUE(E538))),0,1),1)+IFERROR(IF(AND(ISNUMBER(SEARCH("@",F538)),ISNUMBER(SEARCH(".",F538))),0,1),1)+IFERROR(IF(AND(LEN(J538)=6,ISNUMBER(VALUE(J538))),0,1),1)+IFERROR(IF(ISNUMBER(MATCH(TRIM(I538),Lists!$A$2:$A$20,0)),0,1),1)+IFERROR(IF(AND(LEN(K538)=10,VALUE(LEFT(K538,FIND("/",K538)-1))&gt;=1,VALUE(LEFT(K538,FIND("/",K538)-1))&lt;=31,VALUE(LEFT(MID(K538,FIND("/",K538)+1,10),FIND("/",MID(K538,FIND("/",K538)+1,10))-1))&gt;=1,VALUE(LEFT(MID(K538,FIND("/",K538)+1,10),FIND("/",MID(K538,FIND("/",K538)+1,10))-1))&lt;=12,VALUE(LEFT(K538,FIND("/",K538)-1))&lt;=DAY(EOMONTH(DATE(VALUE(MID(MID(K538,FIND("/",K538)+1,10),FIND("/",MID(K538,FIND("/",K538)+1,10))+1,4)),VALUE(LEFT(MID(K538,FIND("/",K538)+1,10),FIND("/",MID(K538,FIND("/",K538)+1,10))-1)),1),0))),0,1),1)+IFERROR(IF(M538&gt;=0,0,1),1)+IFERROR(IF(ISNUMBER(MATCH(N538,Lists!$B$2:$B$7,0)),0,1),1))=0,"OK","ERROR"))</f>
        <v/>
      </c>
      <c r="Q538" s="3" t="str">
        <f aca="false">IF(D538="","",TRIM(IF(IFERROR(IF(AND(TRIM(D538)=D538,LEN(D538)&gt;0),0,1),1)=1,"Name; ","")&amp;IF(IFERROR(IF(AND(LEN(E538)=10,ISNUMBER(VALUE(E538))),0,1),1)=1,"Phone; ","")&amp;IF(IFERROR(IF(AND(ISNUMBER(SEARCH("@",F538)),ISNUMBER(SEARCH(".",F538))),0,1),1)=1,"Email; ","")&amp;IF(IFERROR(IF(AND(LEN(J538)=6,ISNUMBER(VALUE(J538))),0,1),1)=1,"Pincode; ","")&amp;IF(IFERROR(IF(ISNUMBER(MATCH(TRIM(I538),Lists!$A$2:$A$20,0)),0,1),1)=1,"State; ","")&amp;IF(IFERROR(IF(AND(LEN(K538)=10,VALUE(LEFT(K538,FIND("/",K538)-1))&gt;=1,VALUE(LEFT(K538,FIND("/",K538)-1))&lt;=31,VALUE(LEFT(MID(K538,FIND("/",K538)+1,10),FIND("/",MID(K538,FIND("/",K538)+1,10))-1))&gt;=1,VALUE(LEFT(MID(K538,FIND("/",K538)+1,10),FIND("/",MID(K538,FIND("/",K538)+1,10))-1))&lt;=12,VALUE(LEFT(K538,FIND("/",K538)-1))&lt;=DAY(EOMONTH(DATE(VALUE(MID(MID(K538,FIND("/",K538)+1,10),FIND("/",MID(K538,FIND("/",K538)+1,10))+1,4)),VALUE(LEFT(MID(K538,FIND("/",K538)+1,10),FIND("/",MID(K538,FIND("/",K538)+1,10))-1)),1),0))),0,1),1)=1,"Date; ","")&amp;IF(IFERROR(IF(M538&gt;=0,0,1),1)=1,"Amount; ","")&amp;IF(IFERROR(IF(ISNUMBER(MATCH(N538,Lists!$B$2:$B$7,0)),0,1),1)=1,"Payment; ","")))</f>
        <v/>
      </c>
      <c r="R538" s="3" t="str">
        <f aca="false">IF(D538="","",IF(COUNTIFS($D$2:$D$701,D538,$E$2:$E$701,E538)&gt;1,"DUPLICATE","Unique"))</f>
        <v/>
      </c>
    </row>
    <row r="539" customFormat="false" ht="15" hidden="false" customHeight="false" outlineLevel="0" collapsed="false">
      <c r="A539" s="3" t="n">
        <v>538</v>
      </c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3" t="n">
        <f aca="false">IFERROR(LEN(C539&amp;D539&amp;E539&amp;F539&amp;G539&amp;H539&amp;I539&amp;J539&amp;K539&amp;L539&amp;M539&amp;N539)/5,0)</f>
        <v>0</v>
      </c>
      <c r="P539" s="3" t="str">
        <f aca="false">IF(OR(D539="",C539=""),"",IF((IFERROR(IF(AND(TRIM(D539)=D539,LEN(D539)&gt;0),0,1),1)+IFERROR(IF(AND(LEN(E539)=10,ISNUMBER(VALUE(E539))),0,1),1)+IFERROR(IF(AND(ISNUMBER(SEARCH("@",F539)),ISNUMBER(SEARCH(".",F539))),0,1),1)+IFERROR(IF(AND(LEN(J539)=6,ISNUMBER(VALUE(J539))),0,1),1)+IFERROR(IF(ISNUMBER(MATCH(TRIM(I539),Lists!$A$2:$A$20,0)),0,1),1)+IFERROR(IF(AND(LEN(K539)=10,VALUE(LEFT(K539,FIND("/",K539)-1))&gt;=1,VALUE(LEFT(K539,FIND("/",K539)-1))&lt;=31,VALUE(LEFT(MID(K539,FIND("/",K539)+1,10),FIND("/",MID(K539,FIND("/",K539)+1,10))-1))&gt;=1,VALUE(LEFT(MID(K539,FIND("/",K539)+1,10),FIND("/",MID(K539,FIND("/",K539)+1,10))-1))&lt;=12,VALUE(LEFT(K539,FIND("/",K539)-1))&lt;=DAY(EOMONTH(DATE(VALUE(MID(MID(K539,FIND("/",K539)+1,10),FIND("/",MID(K539,FIND("/",K539)+1,10))+1,4)),VALUE(LEFT(MID(K539,FIND("/",K539)+1,10),FIND("/",MID(K539,FIND("/",K539)+1,10))-1)),1),0))),0,1),1)+IFERROR(IF(M539&gt;=0,0,1),1)+IFERROR(IF(ISNUMBER(MATCH(N539,Lists!$B$2:$B$7,0)),0,1),1))=0,"OK","ERROR"))</f>
        <v/>
      </c>
      <c r="Q539" s="3" t="str">
        <f aca="false">IF(D539="","",TRIM(IF(IFERROR(IF(AND(TRIM(D539)=D539,LEN(D539)&gt;0),0,1),1)=1,"Name; ","")&amp;IF(IFERROR(IF(AND(LEN(E539)=10,ISNUMBER(VALUE(E539))),0,1),1)=1,"Phone; ","")&amp;IF(IFERROR(IF(AND(ISNUMBER(SEARCH("@",F539)),ISNUMBER(SEARCH(".",F539))),0,1),1)=1,"Email; ","")&amp;IF(IFERROR(IF(AND(LEN(J539)=6,ISNUMBER(VALUE(J539))),0,1),1)=1,"Pincode; ","")&amp;IF(IFERROR(IF(ISNUMBER(MATCH(TRIM(I539),Lists!$A$2:$A$20,0)),0,1),1)=1,"State; ","")&amp;IF(IFERROR(IF(AND(LEN(K539)=10,VALUE(LEFT(K539,FIND("/",K539)-1))&gt;=1,VALUE(LEFT(K539,FIND("/",K539)-1))&lt;=31,VALUE(LEFT(MID(K539,FIND("/",K539)+1,10),FIND("/",MID(K539,FIND("/",K539)+1,10))-1))&gt;=1,VALUE(LEFT(MID(K539,FIND("/",K539)+1,10),FIND("/",MID(K539,FIND("/",K539)+1,10))-1))&lt;=12,VALUE(LEFT(K539,FIND("/",K539)-1))&lt;=DAY(EOMONTH(DATE(VALUE(MID(MID(K539,FIND("/",K539)+1,10),FIND("/",MID(K539,FIND("/",K539)+1,10))+1,4)),VALUE(LEFT(MID(K539,FIND("/",K539)+1,10),FIND("/",MID(K539,FIND("/",K539)+1,10))-1)),1),0))),0,1),1)=1,"Date; ","")&amp;IF(IFERROR(IF(M539&gt;=0,0,1),1)=1,"Amount; ","")&amp;IF(IFERROR(IF(ISNUMBER(MATCH(N539,Lists!$B$2:$B$7,0)),0,1),1)=1,"Payment; ","")))</f>
        <v/>
      </c>
      <c r="R539" s="3" t="str">
        <f aca="false">IF(D539="","",IF(COUNTIFS($D$2:$D$701,D539,$E$2:$E$701,E539)&gt;1,"DUPLICATE","Unique"))</f>
        <v/>
      </c>
    </row>
    <row r="540" customFormat="false" ht="15" hidden="false" customHeight="false" outlineLevel="0" collapsed="false">
      <c r="A540" s="3" t="n">
        <v>539</v>
      </c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3" t="n">
        <f aca="false">IFERROR(LEN(C540&amp;D540&amp;E540&amp;F540&amp;G540&amp;H540&amp;I540&amp;J540&amp;K540&amp;L540&amp;M540&amp;N540)/5,0)</f>
        <v>0</v>
      </c>
      <c r="P540" s="3" t="str">
        <f aca="false">IF(OR(D540="",C540=""),"",IF((IFERROR(IF(AND(TRIM(D540)=D540,LEN(D540)&gt;0),0,1),1)+IFERROR(IF(AND(LEN(E540)=10,ISNUMBER(VALUE(E540))),0,1),1)+IFERROR(IF(AND(ISNUMBER(SEARCH("@",F540)),ISNUMBER(SEARCH(".",F540))),0,1),1)+IFERROR(IF(AND(LEN(J540)=6,ISNUMBER(VALUE(J540))),0,1),1)+IFERROR(IF(ISNUMBER(MATCH(TRIM(I540),Lists!$A$2:$A$20,0)),0,1),1)+IFERROR(IF(AND(LEN(K540)=10,VALUE(LEFT(K540,FIND("/",K540)-1))&gt;=1,VALUE(LEFT(K540,FIND("/",K540)-1))&lt;=31,VALUE(LEFT(MID(K540,FIND("/",K540)+1,10),FIND("/",MID(K540,FIND("/",K540)+1,10))-1))&gt;=1,VALUE(LEFT(MID(K540,FIND("/",K540)+1,10),FIND("/",MID(K540,FIND("/",K540)+1,10))-1))&lt;=12,VALUE(LEFT(K540,FIND("/",K540)-1))&lt;=DAY(EOMONTH(DATE(VALUE(MID(MID(K540,FIND("/",K540)+1,10),FIND("/",MID(K540,FIND("/",K540)+1,10))+1,4)),VALUE(LEFT(MID(K540,FIND("/",K540)+1,10),FIND("/",MID(K540,FIND("/",K540)+1,10))-1)),1),0))),0,1),1)+IFERROR(IF(M540&gt;=0,0,1),1)+IFERROR(IF(ISNUMBER(MATCH(N540,Lists!$B$2:$B$7,0)),0,1),1))=0,"OK","ERROR"))</f>
        <v/>
      </c>
      <c r="Q540" s="3" t="str">
        <f aca="false">IF(D540="","",TRIM(IF(IFERROR(IF(AND(TRIM(D540)=D540,LEN(D540)&gt;0),0,1),1)=1,"Name; ","")&amp;IF(IFERROR(IF(AND(LEN(E540)=10,ISNUMBER(VALUE(E540))),0,1),1)=1,"Phone; ","")&amp;IF(IFERROR(IF(AND(ISNUMBER(SEARCH("@",F540)),ISNUMBER(SEARCH(".",F540))),0,1),1)=1,"Email; ","")&amp;IF(IFERROR(IF(AND(LEN(J540)=6,ISNUMBER(VALUE(J540))),0,1),1)=1,"Pincode; ","")&amp;IF(IFERROR(IF(ISNUMBER(MATCH(TRIM(I540),Lists!$A$2:$A$20,0)),0,1),1)=1,"State; ","")&amp;IF(IFERROR(IF(AND(LEN(K540)=10,VALUE(LEFT(K540,FIND("/",K540)-1))&gt;=1,VALUE(LEFT(K540,FIND("/",K540)-1))&lt;=31,VALUE(LEFT(MID(K540,FIND("/",K540)+1,10),FIND("/",MID(K540,FIND("/",K540)+1,10))-1))&gt;=1,VALUE(LEFT(MID(K540,FIND("/",K540)+1,10),FIND("/",MID(K540,FIND("/",K540)+1,10))-1))&lt;=12,VALUE(LEFT(K540,FIND("/",K540)-1))&lt;=DAY(EOMONTH(DATE(VALUE(MID(MID(K540,FIND("/",K540)+1,10),FIND("/",MID(K540,FIND("/",K540)+1,10))+1,4)),VALUE(LEFT(MID(K540,FIND("/",K540)+1,10),FIND("/",MID(K540,FIND("/",K540)+1,10))-1)),1),0))),0,1),1)=1,"Date; ","")&amp;IF(IFERROR(IF(M540&gt;=0,0,1),1)=1,"Amount; ","")&amp;IF(IFERROR(IF(ISNUMBER(MATCH(N540,Lists!$B$2:$B$7,0)),0,1),1)=1,"Payment; ","")))</f>
        <v/>
      </c>
      <c r="R540" s="3" t="str">
        <f aca="false">IF(D540="","",IF(COUNTIFS($D$2:$D$701,D540,$E$2:$E$701,E540)&gt;1,"DUPLICATE","Unique"))</f>
        <v/>
      </c>
    </row>
    <row r="541" customFormat="false" ht="15" hidden="false" customHeight="false" outlineLevel="0" collapsed="false">
      <c r="A541" s="3" t="n">
        <v>540</v>
      </c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3" t="n">
        <f aca="false">IFERROR(LEN(C541&amp;D541&amp;E541&amp;F541&amp;G541&amp;H541&amp;I541&amp;J541&amp;K541&amp;L541&amp;M541&amp;N541)/5,0)</f>
        <v>0</v>
      </c>
      <c r="P541" s="3" t="str">
        <f aca="false">IF(OR(D541="",C541=""),"",IF((IFERROR(IF(AND(TRIM(D541)=D541,LEN(D541)&gt;0),0,1),1)+IFERROR(IF(AND(LEN(E541)=10,ISNUMBER(VALUE(E541))),0,1),1)+IFERROR(IF(AND(ISNUMBER(SEARCH("@",F541)),ISNUMBER(SEARCH(".",F541))),0,1),1)+IFERROR(IF(AND(LEN(J541)=6,ISNUMBER(VALUE(J541))),0,1),1)+IFERROR(IF(ISNUMBER(MATCH(TRIM(I541),Lists!$A$2:$A$20,0)),0,1),1)+IFERROR(IF(AND(LEN(K541)=10,VALUE(LEFT(K541,FIND("/",K541)-1))&gt;=1,VALUE(LEFT(K541,FIND("/",K541)-1))&lt;=31,VALUE(LEFT(MID(K541,FIND("/",K541)+1,10),FIND("/",MID(K541,FIND("/",K541)+1,10))-1))&gt;=1,VALUE(LEFT(MID(K541,FIND("/",K541)+1,10),FIND("/",MID(K541,FIND("/",K541)+1,10))-1))&lt;=12,VALUE(LEFT(K541,FIND("/",K541)-1))&lt;=DAY(EOMONTH(DATE(VALUE(MID(MID(K541,FIND("/",K541)+1,10),FIND("/",MID(K541,FIND("/",K541)+1,10))+1,4)),VALUE(LEFT(MID(K541,FIND("/",K541)+1,10),FIND("/",MID(K541,FIND("/",K541)+1,10))-1)),1),0))),0,1),1)+IFERROR(IF(M541&gt;=0,0,1),1)+IFERROR(IF(ISNUMBER(MATCH(N541,Lists!$B$2:$B$7,0)),0,1),1))=0,"OK","ERROR"))</f>
        <v/>
      </c>
      <c r="Q541" s="3" t="str">
        <f aca="false">IF(D541="","",TRIM(IF(IFERROR(IF(AND(TRIM(D541)=D541,LEN(D541)&gt;0),0,1),1)=1,"Name; ","")&amp;IF(IFERROR(IF(AND(LEN(E541)=10,ISNUMBER(VALUE(E541))),0,1),1)=1,"Phone; ","")&amp;IF(IFERROR(IF(AND(ISNUMBER(SEARCH("@",F541)),ISNUMBER(SEARCH(".",F541))),0,1),1)=1,"Email; ","")&amp;IF(IFERROR(IF(AND(LEN(J541)=6,ISNUMBER(VALUE(J541))),0,1),1)=1,"Pincode; ","")&amp;IF(IFERROR(IF(ISNUMBER(MATCH(TRIM(I541),Lists!$A$2:$A$20,0)),0,1),1)=1,"State; ","")&amp;IF(IFERROR(IF(AND(LEN(K541)=10,VALUE(LEFT(K541,FIND("/",K541)-1))&gt;=1,VALUE(LEFT(K541,FIND("/",K541)-1))&lt;=31,VALUE(LEFT(MID(K541,FIND("/",K541)+1,10),FIND("/",MID(K541,FIND("/",K541)+1,10))-1))&gt;=1,VALUE(LEFT(MID(K541,FIND("/",K541)+1,10),FIND("/",MID(K541,FIND("/",K541)+1,10))-1))&lt;=12,VALUE(LEFT(K541,FIND("/",K541)-1))&lt;=DAY(EOMONTH(DATE(VALUE(MID(MID(K541,FIND("/",K541)+1,10),FIND("/",MID(K541,FIND("/",K541)+1,10))+1,4)),VALUE(LEFT(MID(K541,FIND("/",K541)+1,10),FIND("/",MID(K541,FIND("/",K541)+1,10))-1)),1),0))),0,1),1)=1,"Date; ","")&amp;IF(IFERROR(IF(M541&gt;=0,0,1),1)=1,"Amount; ","")&amp;IF(IFERROR(IF(ISNUMBER(MATCH(N541,Lists!$B$2:$B$7,0)),0,1),1)=1,"Payment; ","")))</f>
        <v/>
      </c>
      <c r="R541" s="3" t="str">
        <f aca="false">IF(D541="","",IF(COUNTIFS($D$2:$D$701,D541,$E$2:$E$701,E541)&gt;1,"DUPLICATE","Unique"))</f>
        <v/>
      </c>
    </row>
    <row r="542" customFormat="false" ht="15" hidden="false" customHeight="false" outlineLevel="0" collapsed="false">
      <c r="A542" s="3" t="n">
        <v>541</v>
      </c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3" t="n">
        <f aca="false">IFERROR(LEN(C542&amp;D542&amp;E542&amp;F542&amp;G542&amp;H542&amp;I542&amp;J542&amp;K542&amp;L542&amp;M542&amp;N542)/5,0)</f>
        <v>0</v>
      </c>
      <c r="P542" s="3" t="str">
        <f aca="false">IF(OR(D542="",C542=""),"",IF((IFERROR(IF(AND(TRIM(D542)=D542,LEN(D542)&gt;0),0,1),1)+IFERROR(IF(AND(LEN(E542)=10,ISNUMBER(VALUE(E542))),0,1),1)+IFERROR(IF(AND(ISNUMBER(SEARCH("@",F542)),ISNUMBER(SEARCH(".",F542))),0,1),1)+IFERROR(IF(AND(LEN(J542)=6,ISNUMBER(VALUE(J542))),0,1),1)+IFERROR(IF(ISNUMBER(MATCH(TRIM(I542),Lists!$A$2:$A$20,0)),0,1),1)+IFERROR(IF(AND(LEN(K542)=10,VALUE(LEFT(K542,FIND("/",K542)-1))&gt;=1,VALUE(LEFT(K542,FIND("/",K542)-1))&lt;=31,VALUE(LEFT(MID(K542,FIND("/",K542)+1,10),FIND("/",MID(K542,FIND("/",K542)+1,10))-1))&gt;=1,VALUE(LEFT(MID(K542,FIND("/",K542)+1,10),FIND("/",MID(K542,FIND("/",K542)+1,10))-1))&lt;=12,VALUE(LEFT(K542,FIND("/",K542)-1))&lt;=DAY(EOMONTH(DATE(VALUE(MID(MID(K542,FIND("/",K542)+1,10),FIND("/",MID(K542,FIND("/",K542)+1,10))+1,4)),VALUE(LEFT(MID(K542,FIND("/",K542)+1,10),FIND("/",MID(K542,FIND("/",K542)+1,10))-1)),1),0))),0,1),1)+IFERROR(IF(M542&gt;=0,0,1),1)+IFERROR(IF(ISNUMBER(MATCH(N542,Lists!$B$2:$B$7,0)),0,1),1))=0,"OK","ERROR"))</f>
        <v/>
      </c>
      <c r="Q542" s="3" t="str">
        <f aca="false">IF(D542="","",TRIM(IF(IFERROR(IF(AND(TRIM(D542)=D542,LEN(D542)&gt;0),0,1),1)=1,"Name; ","")&amp;IF(IFERROR(IF(AND(LEN(E542)=10,ISNUMBER(VALUE(E542))),0,1),1)=1,"Phone; ","")&amp;IF(IFERROR(IF(AND(ISNUMBER(SEARCH("@",F542)),ISNUMBER(SEARCH(".",F542))),0,1),1)=1,"Email; ","")&amp;IF(IFERROR(IF(AND(LEN(J542)=6,ISNUMBER(VALUE(J542))),0,1),1)=1,"Pincode; ","")&amp;IF(IFERROR(IF(ISNUMBER(MATCH(TRIM(I542),Lists!$A$2:$A$20,0)),0,1),1)=1,"State; ","")&amp;IF(IFERROR(IF(AND(LEN(K542)=10,VALUE(LEFT(K542,FIND("/",K542)-1))&gt;=1,VALUE(LEFT(K542,FIND("/",K542)-1))&lt;=31,VALUE(LEFT(MID(K542,FIND("/",K542)+1,10),FIND("/",MID(K542,FIND("/",K542)+1,10))-1))&gt;=1,VALUE(LEFT(MID(K542,FIND("/",K542)+1,10),FIND("/",MID(K542,FIND("/",K542)+1,10))-1))&lt;=12,VALUE(LEFT(K542,FIND("/",K542)-1))&lt;=DAY(EOMONTH(DATE(VALUE(MID(MID(K542,FIND("/",K542)+1,10),FIND("/",MID(K542,FIND("/",K542)+1,10))+1,4)),VALUE(LEFT(MID(K542,FIND("/",K542)+1,10),FIND("/",MID(K542,FIND("/",K542)+1,10))-1)),1),0))),0,1),1)=1,"Date; ","")&amp;IF(IFERROR(IF(M542&gt;=0,0,1),1)=1,"Amount; ","")&amp;IF(IFERROR(IF(ISNUMBER(MATCH(N542,Lists!$B$2:$B$7,0)),0,1),1)=1,"Payment; ","")))</f>
        <v/>
      </c>
      <c r="R542" s="3" t="str">
        <f aca="false">IF(D542="","",IF(COUNTIFS($D$2:$D$701,D542,$E$2:$E$701,E542)&gt;1,"DUPLICATE","Unique"))</f>
        <v/>
      </c>
    </row>
    <row r="543" customFormat="false" ht="15" hidden="false" customHeight="false" outlineLevel="0" collapsed="false">
      <c r="A543" s="3" t="n">
        <v>542</v>
      </c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3" t="n">
        <f aca="false">IFERROR(LEN(C543&amp;D543&amp;E543&amp;F543&amp;G543&amp;H543&amp;I543&amp;J543&amp;K543&amp;L543&amp;M543&amp;N543)/5,0)</f>
        <v>0</v>
      </c>
      <c r="P543" s="3" t="str">
        <f aca="false">IF(OR(D543="",C543=""),"",IF((IFERROR(IF(AND(TRIM(D543)=D543,LEN(D543)&gt;0),0,1),1)+IFERROR(IF(AND(LEN(E543)=10,ISNUMBER(VALUE(E543))),0,1),1)+IFERROR(IF(AND(ISNUMBER(SEARCH("@",F543)),ISNUMBER(SEARCH(".",F543))),0,1),1)+IFERROR(IF(AND(LEN(J543)=6,ISNUMBER(VALUE(J543))),0,1),1)+IFERROR(IF(ISNUMBER(MATCH(TRIM(I543),Lists!$A$2:$A$20,0)),0,1),1)+IFERROR(IF(AND(LEN(K543)=10,VALUE(LEFT(K543,FIND("/",K543)-1))&gt;=1,VALUE(LEFT(K543,FIND("/",K543)-1))&lt;=31,VALUE(LEFT(MID(K543,FIND("/",K543)+1,10),FIND("/",MID(K543,FIND("/",K543)+1,10))-1))&gt;=1,VALUE(LEFT(MID(K543,FIND("/",K543)+1,10),FIND("/",MID(K543,FIND("/",K543)+1,10))-1))&lt;=12,VALUE(LEFT(K543,FIND("/",K543)-1))&lt;=DAY(EOMONTH(DATE(VALUE(MID(MID(K543,FIND("/",K543)+1,10),FIND("/",MID(K543,FIND("/",K543)+1,10))+1,4)),VALUE(LEFT(MID(K543,FIND("/",K543)+1,10),FIND("/",MID(K543,FIND("/",K543)+1,10))-1)),1),0))),0,1),1)+IFERROR(IF(M543&gt;=0,0,1),1)+IFERROR(IF(ISNUMBER(MATCH(N543,Lists!$B$2:$B$7,0)),0,1),1))=0,"OK","ERROR"))</f>
        <v/>
      </c>
      <c r="Q543" s="3" t="str">
        <f aca="false">IF(D543="","",TRIM(IF(IFERROR(IF(AND(TRIM(D543)=D543,LEN(D543)&gt;0),0,1),1)=1,"Name; ","")&amp;IF(IFERROR(IF(AND(LEN(E543)=10,ISNUMBER(VALUE(E543))),0,1),1)=1,"Phone; ","")&amp;IF(IFERROR(IF(AND(ISNUMBER(SEARCH("@",F543)),ISNUMBER(SEARCH(".",F543))),0,1),1)=1,"Email; ","")&amp;IF(IFERROR(IF(AND(LEN(J543)=6,ISNUMBER(VALUE(J543))),0,1),1)=1,"Pincode; ","")&amp;IF(IFERROR(IF(ISNUMBER(MATCH(TRIM(I543),Lists!$A$2:$A$20,0)),0,1),1)=1,"State; ","")&amp;IF(IFERROR(IF(AND(LEN(K543)=10,VALUE(LEFT(K543,FIND("/",K543)-1))&gt;=1,VALUE(LEFT(K543,FIND("/",K543)-1))&lt;=31,VALUE(LEFT(MID(K543,FIND("/",K543)+1,10),FIND("/",MID(K543,FIND("/",K543)+1,10))-1))&gt;=1,VALUE(LEFT(MID(K543,FIND("/",K543)+1,10),FIND("/",MID(K543,FIND("/",K543)+1,10))-1))&lt;=12,VALUE(LEFT(K543,FIND("/",K543)-1))&lt;=DAY(EOMONTH(DATE(VALUE(MID(MID(K543,FIND("/",K543)+1,10),FIND("/",MID(K543,FIND("/",K543)+1,10))+1,4)),VALUE(LEFT(MID(K543,FIND("/",K543)+1,10),FIND("/",MID(K543,FIND("/",K543)+1,10))-1)),1),0))),0,1),1)=1,"Date; ","")&amp;IF(IFERROR(IF(M543&gt;=0,0,1),1)=1,"Amount; ","")&amp;IF(IFERROR(IF(ISNUMBER(MATCH(N543,Lists!$B$2:$B$7,0)),0,1),1)=1,"Payment; ","")))</f>
        <v/>
      </c>
      <c r="R543" s="3" t="str">
        <f aca="false">IF(D543="","",IF(COUNTIFS($D$2:$D$701,D543,$E$2:$E$701,E543)&gt;1,"DUPLICATE","Unique"))</f>
        <v/>
      </c>
    </row>
    <row r="544" customFormat="false" ht="15" hidden="false" customHeight="false" outlineLevel="0" collapsed="false">
      <c r="A544" s="3" t="n">
        <v>543</v>
      </c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3" t="n">
        <f aca="false">IFERROR(LEN(C544&amp;D544&amp;E544&amp;F544&amp;G544&amp;H544&amp;I544&amp;J544&amp;K544&amp;L544&amp;M544&amp;N544)/5,0)</f>
        <v>0</v>
      </c>
      <c r="P544" s="3" t="str">
        <f aca="false">IF(OR(D544="",C544=""),"",IF((IFERROR(IF(AND(TRIM(D544)=D544,LEN(D544)&gt;0),0,1),1)+IFERROR(IF(AND(LEN(E544)=10,ISNUMBER(VALUE(E544))),0,1),1)+IFERROR(IF(AND(ISNUMBER(SEARCH("@",F544)),ISNUMBER(SEARCH(".",F544))),0,1),1)+IFERROR(IF(AND(LEN(J544)=6,ISNUMBER(VALUE(J544))),0,1),1)+IFERROR(IF(ISNUMBER(MATCH(TRIM(I544),Lists!$A$2:$A$20,0)),0,1),1)+IFERROR(IF(AND(LEN(K544)=10,VALUE(LEFT(K544,FIND("/",K544)-1))&gt;=1,VALUE(LEFT(K544,FIND("/",K544)-1))&lt;=31,VALUE(LEFT(MID(K544,FIND("/",K544)+1,10),FIND("/",MID(K544,FIND("/",K544)+1,10))-1))&gt;=1,VALUE(LEFT(MID(K544,FIND("/",K544)+1,10),FIND("/",MID(K544,FIND("/",K544)+1,10))-1))&lt;=12,VALUE(LEFT(K544,FIND("/",K544)-1))&lt;=DAY(EOMONTH(DATE(VALUE(MID(MID(K544,FIND("/",K544)+1,10),FIND("/",MID(K544,FIND("/",K544)+1,10))+1,4)),VALUE(LEFT(MID(K544,FIND("/",K544)+1,10),FIND("/",MID(K544,FIND("/",K544)+1,10))-1)),1),0))),0,1),1)+IFERROR(IF(M544&gt;=0,0,1),1)+IFERROR(IF(ISNUMBER(MATCH(N544,Lists!$B$2:$B$7,0)),0,1),1))=0,"OK","ERROR"))</f>
        <v/>
      </c>
      <c r="Q544" s="3" t="str">
        <f aca="false">IF(D544="","",TRIM(IF(IFERROR(IF(AND(TRIM(D544)=D544,LEN(D544)&gt;0),0,1),1)=1,"Name; ","")&amp;IF(IFERROR(IF(AND(LEN(E544)=10,ISNUMBER(VALUE(E544))),0,1),1)=1,"Phone; ","")&amp;IF(IFERROR(IF(AND(ISNUMBER(SEARCH("@",F544)),ISNUMBER(SEARCH(".",F544))),0,1),1)=1,"Email; ","")&amp;IF(IFERROR(IF(AND(LEN(J544)=6,ISNUMBER(VALUE(J544))),0,1),1)=1,"Pincode; ","")&amp;IF(IFERROR(IF(ISNUMBER(MATCH(TRIM(I544),Lists!$A$2:$A$20,0)),0,1),1)=1,"State; ","")&amp;IF(IFERROR(IF(AND(LEN(K544)=10,VALUE(LEFT(K544,FIND("/",K544)-1))&gt;=1,VALUE(LEFT(K544,FIND("/",K544)-1))&lt;=31,VALUE(LEFT(MID(K544,FIND("/",K544)+1,10),FIND("/",MID(K544,FIND("/",K544)+1,10))-1))&gt;=1,VALUE(LEFT(MID(K544,FIND("/",K544)+1,10),FIND("/",MID(K544,FIND("/",K544)+1,10))-1))&lt;=12,VALUE(LEFT(K544,FIND("/",K544)-1))&lt;=DAY(EOMONTH(DATE(VALUE(MID(MID(K544,FIND("/",K544)+1,10),FIND("/",MID(K544,FIND("/",K544)+1,10))+1,4)),VALUE(LEFT(MID(K544,FIND("/",K544)+1,10),FIND("/",MID(K544,FIND("/",K544)+1,10))-1)),1),0))),0,1),1)=1,"Date; ","")&amp;IF(IFERROR(IF(M544&gt;=0,0,1),1)=1,"Amount; ","")&amp;IF(IFERROR(IF(ISNUMBER(MATCH(N544,Lists!$B$2:$B$7,0)),0,1),1)=1,"Payment; ","")))</f>
        <v/>
      </c>
      <c r="R544" s="3" t="str">
        <f aca="false">IF(D544="","",IF(COUNTIFS($D$2:$D$701,D544,$E$2:$E$701,E544)&gt;1,"DUPLICATE","Unique"))</f>
        <v/>
      </c>
    </row>
    <row r="545" customFormat="false" ht="15" hidden="false" customHeight="false" outlineLevel="0" collapsed="false">
      <c r="A545" s="3" t="n">
        <v>544</v>
      </c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3" t="n">
        <f aca="false">IFERROR(LEN(C545&amp;D545&amp;E545&amp;F545&amp;G545&amp;H545&amp;I545&amp;J545&amp;K545&amp;L545&amp;M545&amp;N545)/5,0)</f>
        <v>0</v>
      </c>
      <c r="P545" s="3" t="str">
        <f aca="false">IF(OR(D545="",C545=""),"",IF((IFERROR(IF(AND(TRIM(D545)=D545,LEN(D545)&gt;0),0,1),1)+IFERROR(IF(AND(LEN(E545)=10,ISNUMBER(VALUE(E545))),0,1),1)+IFERROR(IF(AND(ISNUMBER(SEARCH("@",F545)),ISNUMBER(SEARCH(".",F545))),0,1),1)+IFERROR(IF(AND(LEN(J545)=6,ISNUMBER(VALUE(J545))),0,1),1)+IFERROR(IF(ISNUMBER(MATCH(TRIM(I545),Lists!$A$2:$A$20,0)),0,1),1)+IFERROR(IF(AND(LEN(K545)=10,VALUE(LEFT(K545,FIND("/",K545)-1))&gt;=1,VALUE(LEFT(K545,FIND("/",K545)-1))&lt;=31,VALUE(LEFT(MID(K545,FIND("/",K545)+1,10),FIND("/",MID(K545,FIND("/",K545)+1,10))-1))&gt;=1,VALUE(LEFT(MID(K545,FIND("/",K545)+1,10),FIND("/",MID(K545,FIND("/",K545)+1,10))-1))&lt;=12,VALUE(LEFT(K545,FIND("/",K545)-1))&lt;=DAY(EOMONTH(DATE(VALUE(MID(MID(K545,FIND("/",K545)+1,10),FIND("/",MID(K545,FIND("/",K545)+1,10))+1,4)),VALUE(LEFT(MID(K545,FIND("/",K545)+1,10),FIND("/",MID(K545,FIND("/",K545)+1,10))-1)),1),0))),0,1),1)+IFERROR(IF(M545&gt;=0,0,1),1)+IFERROR(IF(ISNUMBER(MATCH(N545,Lists!$B$2:$B$7,0)),0,1),1))=0,"OK","ERROR"))</f>
        <v/>
      </c>
      <c r="Q545" s="3" t="str">
        <f aca="false">IF(D545="","",TRIM(IF(IFERROR(IF(AND(TRIM(D545)=D545,LEN(D545)&gt;0),0,1),1)=1,"Name; ","")&amp;IF(IFERROR(IF(AND(LEN(E545)=10,ISNUMBER(VALUE(E545))),0,1),1)=1,"Phone; ","")&amp;IF(IFERROR(IF(AND(ISNUMBER(SEARCH("@",F545)),ISNUMBER(SEARCH(".",F545))),0,1),1)=1,"Email; ","")&amp;IF(IFERROR(IF(AND(LEN(J545)=6,ISNUMBER(VALUE(J545))),0,1),1)=1,"Pincode; ","")&amp;IF(IFERROR(IF(ISNUMBER(MATCH(TRIM(I545),Lists!$A$2:$A$20,0)),0,1),1)=1,"State; ","")&amp;IF(IFERROR(IF(AND(LEN(K545)=10,VALUE(LEFT(K545,FIND("/",K545)-1))&gt;=1,VALUE(LEFT(K545,FIND("/",K545)-1))&lt;=31,VALUE(LEFT(MID(K545,FIND("/",K545)+1,10),FIND("/",MID(K545,FIND("/",K545)+1,10))-1))&gt;=1,VALUE(LEFT(MID(K545,FIND("/",K545)+1,10),FIND("/",MID(K545,FIND("/",K545)+1,10))-1))&lt;=12,VALUE(LEFT(K545,FIND("/",K545)-1))&lt;=DAY(EOMONTH(DATE(VALUE(MID(MID(K545,FIND("/",K545)+1,10),FIND("/",MID(K545,FIND("/",K545)+1,10))+1,4)),VALUE(LEFT(MID(K545,FIND("/",K545)+1,10),FIND("/",MID(K545,FIND("/",K545)+1,10))-1)),1),0))),0,1),1)=1,"Date; ","")&amp;IF(IFERROR(IF(M545&gt;=0,0,1),1)=1,"Amount; ","")&amp;IF(IFERROR(IF(ISNUMBER(MATCH(N545,Lists!$B$2:$B$7,0)),0,1),1)=1,"Payment; ","")))</f>
        <v/>
      </c>
      <c r="R545" s="3" t="str">
        <f aca="false">IF(D545="","",IF(COUNTIFS($D$2:$D$701,D545,$E$2:$E$701,E545)&gt;1,"DUPLICATE","Unique"))</f>
        <v/>
      </c>
    </row>
    <row r="546" customFormat="false" ht="15" hidden="false" customHeight="false" outlineLevel="0" collapsed="false">
      <c r="A546" s="3" t="n">
        <v>545</v>
      </c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3" t="n">
        <f aca="false">IFERROR(LEN(C546&amp;D546&amp;E546&amp;F546&amp;G546&amp;H546&amp;I546&amp;J546&amp;K546&amp;L546&amp;M546&amp;N546)/5,0)</f>
        <v>0</v>
      </c>
      <c r="P546" s="3" t="str">
        <f aca="false">IF(OR(D546="",C546=""),"",IF((IFERROR(IF(AND(TRIM(D546)=D546,LEN(D546)&gt;0),0,1),1)+IFERROR(IF(AND(LEN(E546)=10,ISNUMBER(VALUE(E546))),0,1),1)+IFERROR(IF(AND(ISNUMBER(SEARCH("@",F546)),ISNUMBER(SEARCH(".",F546))),0,1),1)+IFERROR(IF(AND(LEN(J546)=6,ISNUMBER(VALUE(J546))),0,1),1)+IFERROR(IF(ISNUMBER(MATCH(TRIM(I546),Lists!$A$2:$A$20,0)),0,1),1)+IFERROR(IF(AND(LEN(K546)=10,VALUE(LEFT(K546,FIND("/",K546)-1))&gt;=1,VALUE(LEFT(K546,FIND("/",K546)-1))&lt;=31,VALUE(LEFT(MID(K546,FIND("/",K546)+1,10),FIND("/",MID(K546,FIND("/",K546)+1,10))-1))&gt;=1,VALUE(LEFT(MID(K546,FIND("/",K546)+1,10),FIND("/",MID(K546,FIND("/",K546)+1,10))-1))&lt;=12,VALUE(LEFT(K546,FIND("/",K546)-1))&lt;=DAY(EOMONTH(DATE(VALUE(MID(MID(K546,FIND("/",K546)+1,10),FIND("/",MID(K546,FIND("/",K546)+1,10))+1,4)),VALUE(LEFT(MID(K546,FIND("/",K546)+1,10),FIND("/",MID(K546,FIND("/",K546)+1,10))-1)),1),0))),0,1),1)+IFERROR(IF(M546&gt;=0,0,1),1)+IFERROR(IF(ISNUMBER(MATCH(N546,Lists!$B$2:$B$7,0)),0,1),1))=0,"OK","ERROR"))</f>
        <v/>
      </c>
      <c r="Q546" s="3" t="str">
        <f aca="false">IF(D546="","",TRIM(IF(IFERROR(IF(AND(TRIM(D546)=D546,LEN(D546)&gt;0),0,1),1)=1,"Name; ","")&amp;IF(IFERROR(IF(AND(LEN(E546)=10,ISNUMBER(VALUE(E546))),0,1),1)=1,"Phone; ","")&amp;IF(IFERROR(IF(AND(ISNUMBER(SEARCH("@",F546)),ISNUMBER(SEARCH(".",F546))),0,1),1)=1,"Email; ","")&amp;IF(IFERROR(IF(AND(LEN(J546)=6,ISNUMBER(VALUE(J546))),0,1),1)=1,"Pincode; ","")&amp;IF(IFERROR(IF(ISNUMBER(MATCH(TRIM(I546),Lists!$A$2:$A$20,0)),0,1),1)=1,"State; ","")&amp;IF(IFERROR(IF(AND(LEN(K546)=10,VALUE(LEFT(K546,FIND("/",K546)-1))&gt;=1,VALUE(LEFT(K546,FIND("/",K546)-1))&lt;=31,VALUE(LEFT(MID(K546,FIND("/",K546)+1,10),FIND("/",MID(K546,FIND("/",K546)+1,10))-1))&gt;=1,VALUE(LEFT(MID(K546,FIND("/",K546)+1,10),FIND("/",MID(K546,FIND("/",K546)+1,10))-1))&lt;=12,VALUE(LEFT(K546,FIND("/",K546)-1))&lt;=DAY(EOMONTH(DATE(VALUE(MID(MID(K546,FIND("/",K546)+1,10),FIND("/",MID(K546,FIND("/",K546)+1,10))+1,4)),VALUE(LEFT(MID(K546,FIND("/",K546)+1,10),FIND("/",MID(K546,FIND("/",K546)+1,10))-1)),1),0))),0,1),1)=1,"Date; ","")&amp;IF(IFERROR(IF(M546&gt;=0,0,1),1)=1,"Amount; ","")&amp;IF(IFERROR(IF(ISNUMBER(MATCH(N546,Lists!$B$2:$B$7,0)),0,1),1)=1,"Payment; ","")))</f>
        <v/>
      </c>
      <c r="R546" s="3" t="str">
        <f aca="false">IF(D546="","",IF(COUNTIFS($D$2:$D$701,D546,$E$2:$E$701,E546)&gt;1,"DUPLICATE","Unique"))</f>
        <v/>
      </c>
    </row>
    <row r="547" customFormat="false" ht="15" hidden="false" customHeight="false" outlineLevel="0" collapsed="false">
      <c r="A547" s="3" t="n">
        <v>546</v>
      </c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3" t="n">
        <f aca="false">IFERROR(LEN(C547&amp;D547&amp;E547&amp;F547&amp;G547&amp;H547&amp;I547&amp;J547&amp;K547&amp;L547&amp;M547&amp;N547)/5,0)</f>
        <v>0</v>
      </c>
      <c r="P547" s="3" t="str">
        <f aca="false">IF(OR(D547="",C547=""),"",IF((IFERROR(IF(AND(TRIM(D547)=D547,LEN(D547)&gt;0),0,1),1)+IFERROR(IF(AND(LEN(E547)=10,ISNUMBER(VALUE(E547))),0,1),1)+IFERROR(IF(AND(ISNUMBER(SEARCH("@",F547)),ISNUMBER(SEARCH(".",F547))),0,1),1)+IFERROR(IF(AND(LEN(J547)=6,ISNUMBER(VALUE(J547))),0,1),1)+IFERROR(IF(ISNUMBER(MATCH(TRIM(I547),Lists!$A$2:$A$20,0)),0,1),1)+IFERROR(IF(AND(LEN(K547)=10,VALUE(LEFT(K547,FIND("/",K547)-1))&gt;=1,VALUE(LEFT(K547,FIND("/",K547)-1))&lt;=31,VALUE(LEFT(MID(K547,FIND("/",K547)+1,10),FIND("/",MID(K547,FIND("/",K547)+1,10))-1))&gt;=1,VALUE(LEFT(MID(K547,FIND("/",K547)+1,10),FIND("/",MID(K547,FIND("/",K547)+1,10))-1))&lt;=12,VALUE(LEFT(K547,FIND("/",K547)-1))&lt;=DAY(EOMONTH(DATE(VALUE(MID(MID(K547,FIND("/",K547)+1,10),FIND("/",MID(K547,FIND("/",K547)+1,10))+1,4)),VALUE(LEFT(MID(K547,FIND("/",K547)+1,10),FIND("/",MID(K547,FIND("/",K547)+1,10))-1)),1),0))),0,1),1)+IFERROR(IF(M547&gt;=0,0,1),1)+IFERROR(IF(ISNUMBER(MATCH(N547,Lists!$B$2:$B$7,0)),0,1),1))=0,"OK","ERROR"))</f>
        <v/>
      </c>
      <c r="Q547" s="3" t="str">
        <f aca="false">IF(D547="","",TRIM(IF(IFERROR(IF(AND(TRIM(D547)=D547,LEN(D547)&gt;0),0,1),1)=1,"Name; ","")&amp;IF(IFERROR(IF(AND(LEN(E547)=10,ISNUMBER(VALUE(E547))),0,1),1)=1,"Phone; ","")&amp;IF(IFERROR(IF(AND(ISNUMBER(SEARCH("@",F547)),ISNUMBER(SEARCH(".",F547))),0,1),1)=1,"Email; ","")&amp;IF(IFERROR(IF(AND(LEN(J547)=6,ISNUMBER(VALUE(J547))),0,1),1)=1,"Pincode; ","")&amp;IF(IFERROR(IF(ISNUMBER(MATCH(TRIM(I547),Lists!$A$2:$A$20,0)),0,1),1)=1,"State; ","")&amp;IF(IFERROR(IF(AND(LEN(K547)=10,VALUE(LEFT(K547,FIND("/",K547)-1))&gt;=1,VALUE(LEFT(K547,FIND("/",K547)-1))&lt;=31,VALUE(LEFT(MID(K547,FIND("/",K547)+1,10),FIND("/",MID(K547,FIND("/",K547)+1,10))-1))&gt;=1,VALUE(LEFT(MID(K547,FIND("/",K547)+1,10),FIND("/",MID(K547,FIND("/",K547)+1,10))-1))&lt;=12,VALUE(LEFT(K547,FIND("/",K547)-1))&lt;=DAY(EOMONTH(DATE(VALUE(MID(MID(K547,FIND("/",K547)+1,10),FIND("/",MID(K547,FIND("/",K547)+1,10))+1,4)),VALUE(LEFT(MID(K547,FIND("/",K547)+1,10),FIND("/",MID(K547,FIND("/",K547)+1,10))-1)),1),0))),0,1),1)=1,"Date; ","")&amp;IF(IFERROR(IF(M547&gt;=0,0,1),1)=1,"Amount; ","")&amp;IF(IFERROR(IF(ISNUMBER(MATCH(N547,Lists!$B$2:$B$7,0)),0,1),1)=1,"Payment; ","")))</f>
        <v/>
      </c>
      <c r="R547" s="3" t="str">
        <f aca="false">IF(D547="","",IF(COUNTIFS($D$2:$D$701,D547,$E$2:$E$701,E547)&gt;1,"DUPLICATE","Unique"))</f>
        <v/>
      </c>
    </row>
    <row r="548" customFormat="false" ht="15" hidden="false" customHeight="false" outlineLevel="0" collapsed="false">
      <c r="A548" s="3" t="n">
        <v>547</v>
      </c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3" t="n">
        <f aca="false">IFERROR(LEN(C548&amp;D548&amp;E548&amp;F548&amp;G548&amp;H548&amp;I548&amp;J548&amp;K548&amp;L548&amp;M548&amp;N548)/5,0)</f>
        <v>0</v>
      </c>
      <c r="P548" s="3" t="str">
        <f aca="false">IF(OR(D548="",C548=""),"",IF((IFERROR(IF(AND(TRIM(D548)=D548,LEN(D548)&gt;0),0,1),1)+IFERROR(IF(AND(LEN(E548)=10,ISNUMBER(VALUE(E548))),0,1),1)+IFERROR(IF(AND(ISNUMBER(SEARCH("@",F548)),ISNUMBER(SEARCH(".",F548))),0,1),1)+IFERROR(IF(AND(LEN(J548)=6,ISNUMBER(VALUE(J548))),0,1),1)+IFERROR(IF(ISNUMBER(MATCH(TRIM(I548),Lists!$A$2:$A$20,0)),0,1),1)+IFERROR(IF(AND(LEN(K548)=10,VALUE(LEFT(K548,FIND("/",K548)-1))&gt;=1,VALUE(LEFT(K548,FIND("/",K548)-1))&lt;=31,VALUE(LEFT(MID(K548,FIND("/",K548)+1,10),FIND("/",MID(K548,FIND("/",K548)+1,10))-1))&gt;=1,VALUE(LEFT(MID(K548,FIND("/",K548)+1,10),FIND("/",MID(K548,FIND("/",K548)+1,10))-1))&lt;=12,VALUE(LEFT(K548,FIND("/",K548)-1))&lt;=DAY(EOMONTH(DATE(VALUE(MID(MID(K548,FIND("/",K548)+1,10),FIND("/",MID(K548,FIND("/",K548)+1,10))+1,4)),VALUE(LEFT(MID(K548,FIND("/",K548)+1,10),FIND("/",MID(K548,FIND("/",K548)+1,10))-1)),1),0))),0,1),1)+IFERROR(IF(M548&gt;=0,0,1),1)+IFERROR(IF(ISNUMBER(MATCH(N548,Lists!$B$2:$B$7,0)),0,1),1))=0,"OK","ERROR"))</f>
        <v/>
      </c>
      <c r="Q548" s="3" t="str">
        <f aca="false">IF(D548="","",TRIM(IF(IFERROR(IF(AND(TRIM(D548)=D548,LEN(D548)&gt;0),0,1),1)=1,"Name; ","")&amp;IF(IFERROR(IF(AND(LEN(E548)=10,ISNUMBER(VALUE(E548))),0,1),1)=1,"Phone; ","")&amp;IF(IFERROR(IF(AND(ISNUMBER(SEARCH("@",F548)),ISNUMBER(SEARCH(".",F548))),0,1),1)=1,"Email; ","")&amp;IF(IFERROR(IF(AND(LEN(J548)=6,ISNUMBER(VALUE(J548))),0,1),1)=1,"Pincode; ","")&amp;IF(IFERROR(IF(ISNUMBER(MATCH(TRIM(I548),Lists!$A$2:$A$20,0)),0,1),1)=1,"State; ","")&amp;IF(IFERROR(IF(AND(LEN(K548)=10,VALUE(LEFT(K548,FIND("/",K548)-1))&gt;=1,VALUE(LEFT(K548,FIND("/",K548)-1))&lt;=31,VALUE(LEFT(MID(K548,FIND("/",K548)+1,10),FIND("/",MID(K548,FIND("/",K548)+1,10))-1))&gt;=1,VALUE(LEFT(MID(K548,FIND("/",K548)+1,10),FIND("/",MID(K548,FIND("/",K548)+1,10))-1))&lt;=12,VALUE(LEFT(K548,FIND("/",K548)-1))&lt;=DAY(EOMONTH(DATE(VALUE(MID(MID(K548,FIND("/",K548)+1,10),FIND("/",MID(K548,FIND("/",K548)+1,10))+1,4)),VALUE(LEFT(MID(K548,FIND("/",K548)+1,10),FIND("/",MID(K548,FIND("/",K548)+1,10))-1)),1),0))),0,1),1)=1,"Date; ","")&amp;IF(IFERROR(IF(M548&gt;=0,0,1),1)=1,"Amount; ","")&amp;IF(IFERROR(IF(ISNUMBER(MATCH(N548,Lists!$B$2:$B$7,0)),0,1),1)=1,"Payment; ","")))</f>
        <v/>
      </c>
      <c r="R548" s="3" t="str">
        <f aca="false">IF(D548="","",IF(COUNTIFS($D$2:$D$701,D548,$E$2:$E$701,E548)&gt;1,"DUPLICATE","Unique"))</f>
        <v/>
      </c>
    </row>
    <row r="549" customFormat="false" ht="15" hidden="false" customHeight="false" outlineLevel="0" collapsed="false">
      <c r="A549" s="3" t="n">
        <v>548</v>
      </c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3" t="n">
        <f aca="false">IFERROR(LEN(C549&amp;D549&amp;E549&amp;F549&amp;G549&amp;H549&amp;I549&amp;J549&amp;K549&amp;L549&amp;M549&amp;N549)/5,0)</f>
        <v>0</v>
      </c>
      <c r="P549" s="3" t="str">
        <f aca="false">IF(OR(D549="",C549=""),"",IF((IFERROR(IF(AND(TRIM(D549)=D549,LEN(D549)&gt;0),0,1),1)+IFERROR(IF(AND(LEN(E549)=10,ISNUMBER(VALUE(E549))),0,1),1)+IFERROR(IF(AND(ISNUMBER(SEARCH("@",F549)),ISNUMBER(SEARCH(".",F549))),0,1),1)+IFERROR(IF(AND(LEN(J549)=6,ISNUMBER(VALUE(J549))),0,1),1)+IFERROR(IF(ISNUMBER(MATCH(TRIM(I549),Lists!$A$2:$A$20,0)),0,1),1)+IFERROR(IF(AND(LEN(K549)=10,VALUE(LEFT(K549,FIND("/",K549)-1))&gt;=1,VALUE(LEFT(K549,FIND("/",K549)-1))&lt;=31,VALUE(LEFT(MID(K549,FIND("/",K549)+1,10),FIND("/",MID(K549,FIND("/",K549)+1,10))-1))&gt;=1,VALUE(LEFT(MID(K549,FIND("/",K549)+1,10),FIND("/",MID(K549,FIND("/",K549)+1,10))-1))&lt;=12,VALUE(LEFT(K549,FIND("/",K549)-1))&lt;=DAY(EOMONTH(DATE(VALUE(MID(MID(K549,FIND("/",K549)+1,10),FIND("/",MID(K549,FIND("/",K549)+1,10))+1,4)),VALUE(LEFT(MID(K549,FIND("/",K549)+1,10),FIND("/",MID(K549,FIND("/",K549)+1,10))-1)),1),0))),0,1),1)+IFERROR(IF(M549&gt;=0,0,1),1)+IFERROR(IF(ISNUMBER(MATCH(N549,Lists!$B$2:$B$7,0)),0,1),1))=0,"OK","ERROR"))</f>
        <v/>
      </c>
      <c r="Q549" s="3" t="str">
        <f aca="false">IF(D549="","",TRIM(IF(IFERROR(IF(AND(TRIM(D549)=D549,LEN(D549)&gt;0),0,1),1)=1,"Name; ","")&amp;IF(IFERROR(IF(AND(LEN(E549)=10,ISNUMBER(VALUE(E549))),0,1),1)=1,"Phone; ","")&amp;IF(IFERROR(IF(AND(ISNUMBER(SEARCH("@",F549)),ISNUMBER(SEARCH(".",F549))),0,1),1)=1,"Email; ","")&amp;IF(IFERROR(IF(AND(LEN(J549)=6,ISNUMBER(VALUE(J549))),0,1),1)=1,"Pincode; ","")&amp;IF(IFERROR(IF(ISNUMBER(MATCH(TRIM(I549),Lists!$A$2:$A$20,0)),0,1),1)=1,"State; ","")&amp;IF(IFERROR(IF(AND(LEN(K549)=10,VALUE(LEFT(K549,FIND("/",K549)-1))&gt;=1,VALUE(LEFT(K549,FIND("/",K549)-1))&lt;=31,VALUE(LEFT(MID(K549,FIND("/",K549)+1,10),FIND("/",MID(K549,FIND("/",K549)+1,10))-1))&gt;=1,VALUE(LEFT(MID(K549,FIND("/",K549)+1,10),FIND("/",MID(K549,FIND("/",K549)+1,10))-1))&lt;=12,VALUE(LEFT(K549,FIND("/",K549)-1))&lt;=DAY(EOMONTH(DATE(VALUE(MID(MID(K549,FIND("/",K549)+1,10),FIND("/",MID(K549,FIND("/",K549)+1,10))+1,4)),VALUE(LEFT(MID(K549,FIND("/",K549)+1,10),FIND("/",MID(K549,FIND("/",K549)+1,10))-1)),1),0))),0,1),1)=1,"Date; ","")&amp;IF(IFERROR(IF(M549&gt;=0,0,1),1)=1,"Amount; ","")&amp;IF(IFERROR(IF(ISNUMBER(MATCH(N549,Lists!$B$2:$B$7,0)),0,1),1)=1,"Payment; ","")))</f>
        <v/>
      </c>
      <c r="R549" s="3" t="str">
        <f aca="false">IF(D549="","",IF(COUNTIFS($D$2:$D$701,D549,$E$2:$E$701,E549)&gt;1,"DUPLICATE","Unique"))</f>
        <v/>
      </c>
    </row>
    <row r="550" customFormat="false" ht="15" hidden="false" customHeight="false" outlineLevel="0" collapsed="false">
      <c r="A550" s="3" t="n">
        <v>549</v>
      </c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3" t="n">
        <f aca="false">IFERROR(LEN(C550&amp;D550&amp;E550&amp;F550&amp;G550&amp;H550&amp;I550&amp;J550&amp;K550&amp;L550&amp;M550&amp;N550)/5,0)</f>
        <v>0</v>
      </c>
      <c r="P550" s="3" t="str">
        <f aca="false">IF(OR(D550="",C550=""),"",IF((IFERROR(IF(AND(TRIM(D550)=D550,LEN(D550)&gt;0),0,1),1)+IFERROR(IF(AND(LEN(E550)=10,ISNUMBER(VALUE(E550))),0,1),1)+IFERROR(IF(AND(ISNUMBER(SEARCH("@",F550)),ISNUMBER(SEARCH(".",F550))),0,1),1)+IFERROR(IF(AND(LEN(J550)=6,ISNUMBER(VALUE(J550))),0,1),1)+IFERROR(IF(ISNUMBER(MATCH(TRIM(I550),Lists!$A$2:$A$20,0)),0,1),1)+IFERROR(IF(AND(LEN(K550)=10,VALUE(LEFT(K550,FIND("/",K550)-1))&gt;=1,VALUE(LEFT(K550,FIND("/",K550)-1))&lt;=31,VALUE(LEFT(MID(K550,FIND("/",K550)+1,10),FIND("/",MID(K550,FIND("/",K550)+1,10))-1))&gt;=1,VALUE(LEFT(MID(K550,FIND("/",K550)+1,10),FIND("/",MID(K550,FIND("/",K550)+1,10))-1))&lt;=12,VALUE(LEFT(K550,FIND("/",K550)-1))&lt;=DAY(EOMONTH(DATE(VALUE(MID(MID(K550,FIND("/",K550)+1,10),FIND("/",MID(K550,FIND("/",K550)+1,10))+1,4)),VALUE(LEFT(MID(K550,FIND("/",K550)+1,10),FIND("/",MID(K550,FIND("/",K550)+1,10))-1)),1),0))),0,1),1)+IFERROR(IF(M550&gt;=0,0,1),1)+IFERROR(IF(ISNUMBER(MATCH(N550,Lists!$B$2:$B$7,0)),0,1),1))=0,"OK","ERROR"))</f>
        <v/>
      </c>
      <c r="Q550" s="3" t="str">
        <f aca="false">IF(D550="","",TRIM(IF(IFERROR(IF(AND(TRIM(D550)=D550,LEN(D550)&gt;0),0,1),1)=1,"Name; ","")&amp;IF(IFERROR(IF(AND(LEN(E550)=10,ISNUMBER(VALUE(E550))),0,1),1)=1,"Phone; ","")&amp;IF(IFERROR(IF(AND(ISNUMBER(SEARCH("@",F550)),ISNUMBER(SEARCH(".",F550))),0,1),1)=1,"Email; ","")&amp;IF(IFERROR(IF(AND(LEN(J550)=6,ISNUMBER(VALUE(J550))),0,1),1)=1,"Pincode; ","")&amp;IF(IFERROR(IF(ISNUMBER(MATCH(TRIM(I550),Lists!$A$2:$A$20,0)),0,1),1)=1,"State; ","")&amp;IF(IFERROR(IF(AND(LEN(K550)=10,VALUE(LEFT(K550,FIND("/",K550)-1))&gt;=1,VALUE(LEFT(K550,FIND("/",K550)-1))&lt;=31,VALUE(LEFT(MID(K550,FIND("/",K550)+1,10),FIND("/",MID(K550,FIND("/",K550)+1,10))-1))&gt;=1,VALUE(LEFT(MID(K550,FIND("/",K550)+1,10),FIND("/",MID(K550,FIND("/",K550)+1,10))-1))&lt;=12,VALUE(LEFT(K550,FIND("/",K550)-1))&lt;=DAY(EOMONTH(DATE(VALUE(MID(MID(K550,FIND("/",K550)+1,10),FIND("/",MID(K550,FIND("/",K550)+1,10))+1,4)),VALUE(LEFT(MID(K550,FIND("/",K550)+1,10),FIND("/",MID(K550,FIND("/",K550)+1,10))-1)),1),0))),0,1),1)=1,"Date; ","")&amp;IF(IFERROR(IF(M550&gt;=0,0,1),1)=1,"Amount; ","")&amp;IF(IFERROR(IF(ISNUMBER(MATCH(N550,Lists!$B$2:$B$7,0)),0,1),1)=1,"Payment; ","")))</f>
        <v/>
      </c>
      <c r="R550" s="3" t="str">
        <f aca="false">IF(D550="","",IF(COUNTIFS($D$2:$D$701,D550,$E$2:$E$701,E550)&gt;1,"DUPLICATE","Unique"))</f>
        <v/>
      </c>
    </row>
    <row r="551" customFormat="false" ht="15" hidden="false" customHeight="false" outlineLevel="0" collapsed="false">
      <c r="A551" s="3" t="n">
        <v>550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3" t="n">
        <f aca="false">IFERROR(LEN(C551&amp;D551&amp;E551&amp;F551&amp;G551&amp;H551&amp;I551&amp;J551&amp;K551&amp;L551&amp;M551&amp;N551)/5,0)</f>
        <v>0</v>
      </c>
      <c r="P551" s="3" t="str">
        <f aca="false">IF(OR(D551="",C551=""),"",IF((IFERROR(IF(AND(TRIM(D551)=D551,LEN(D551)&gt;0),0,1),1)+IFERROR(IF(AND(LEN(E551)=10,ISNUMBER(VALUE(E551))),0,1),1)+IFERROR(IF(AND(ISNUMBER(SEARCH("@",F551)),ISNUMBER(SEARCH(".",F551))),0,1),1)+IFERROR(IF(AND(LEN(J551)=6,ISNUMBER(VALUE(J551))),0,1),1)+IFERROR(IF(ISNUMBER(MATCH(TRIM(I551),Lists!$A$2:$A$20,0)),0,1),1)+IFERROR(IF(AND(LEN(K551)=10,VALUE(LEFT(K551,FIND("/",K551)-1))&gt;=1,VALUE(LEFT(K551,FIND("/",K551)-1))&lt;=31,VALUE(LEFT(MID(K551,FIND("/",K551)+1,10),FIND("/",MID(K551,FIND("/",K551)+1,10))-1))&gt;=1,VALUE(LEFT(MID(K551,FIND("/",K551)+1,10),FIND("/",MID(K551,FIND("/",K551)+1,10))-1))&lt;=12,VALUE(LEFT(K551,FIND("/",K551)-1))&lt;=DAY(EOMONTH(DATE(VALUE(MID(MID(K551,FIND("/",K551)+1,10),FIND("/",MID(K551,FIND("/",K551)+1,10))+1,4)),VALUE(LEFT(MID(K551,FIND("/",K551)+1,10),FIND("/",MID(K551,FIND("/",K551)+1,10))-1)),1),0))),0,1),1)+IFERROR(IF(M551&gt;=0,0,1),1)+IFERROR(IF(ISNUMBER(MATCH(N551,Lists!$B$2:$B$7,0)),0,1),1))=0,"OK","ERROR"))</f>
        <v/>
      </c>
      <c r="Q551" s="3" t="str">
        <f aca="false">IF(D551="","",TRIM(IF(IFERROR(IF(AND(TRIM(D551)=D551,LEN(D551)&gt;0),0,1),1)=1,"Name; ","")&amp;IF(IFERROR(IF(AND(LEN(E551)=10,ISNUMBER(VALUE(E551))),0,1),1)=1,"Phone; ","")&amp;IF(IFERROR(IF(AND(ISNUMBER(SEARCH("@",F551)),ISNUMBER(SEARCH(".",F551))),0,1),1)=1,"Email; ","")&amp;IF(IFERROR(IF(AND(LEN(J551)=6,ISNUMBER(VALUE(J551))),0,1),1)=1,"Pincode; ","")&amp;IF(IFERROR(IF(ISNUMBER(MATCH(TRIM(I551),Lists!$A$2:$A$20,0)),0,1),1)=1,"State; ","")&amp;IF(IFERROR(IF(AND(LEN(K551)=10,VALUE(LEFT(K551,FIND("/",K551)-1))&gt;=1,VALUE(LEFT(K551,FIND("/",K551)-1))&lt;=31,VALUE(LEFT(MID(K551,FIND("/",K551)+1,10),FIND("/",MID(K551,FIND("/",K551)+1,10))-1))&gt;=1,VALUE(LEFT(MID(K551,FIND("/",K551)+1,10),FIND("/",MID(K551,FIND("/",K551)+1,10))-1))&lt;=12,VALUE(LEFT(K551,FIND("/",K551)-1))&lt;=DAY(EOMONTH(DATE(VALUE(MID(MID(K551,FIND("/",K551)+1,10),FIND("/",MID(K551,FIND("/",K551)+1,10))+1,4)),VALUE(LEFT(MID(K551,FIND("/",K551)+1,10),FIND("/",MID(K551,FIND("/",K551)+1,10))-1)),1),0))),0,1),1)=1,"Date; ","")&amp;IF(IFERROR(IF(M551&gt;=0,0,1),1)=1,"Amount; ","")&amp;IF(IFERROR(IF(ISNUMBER(MATCH(N551,Lists!$B$2:$B$7,0)),0,1),1)=1,"Payment; ","")))</f>
        <v/>
      </c>
      <c r="R551" s="3" t="str">
        <f aca="false">IF(D551="","",IF(COUNTIFS($D$2:$D$701,D551,$E$2:$E$701,E551)&gt;1,"DUPLICATE","Unique"))</f>
        <v/>
      </c>
    </row>
    <row r="552" customFormat="false" ht="15" hidden="false" customHeight="false" outlineLevel="0" collapsed="false">
      <c r="A552" s="3" t="n">
        <v>551</v>
      </c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3" t="n">
        <f aca="false">IFERROR(LEN(C552&amp;D552&amp;E552&amp;F552&amp;G552&amp;H552&amp;I552&amp;J552&amp;K552&amp;L552&amp;M552&amp;N552)/5,0)</f>
        <v>0</v>
      </c>
      <c r="P552" s="3" t="str">
        <f aca="false">IF(OR(D552="",C552=""),"",IF((IFERROR(IF(AND(TRIM(D552)=D552,LEN(D552)&gt;0),0,1),1)+IFERROR(IF(AND(LEN(E552)=10,ISNUMBER(VALUE(E552))),0,1),1)+IFERROR(IF(AND(ISNUMBER(SEARCH("@",F552)),ISNUMBER(SEARCH(".",F552))),0,1),1)+IFERROR(IF(AND(LEN(J552)=6,ISNUMBER(VALUE(J552))),0,1),1)+IFERROR(IF(ISNUMBER(MATCH(TRIM(I552),Lists!$A$2:$A$20,0)),0,1),1)+IFERROR(IF(AND(LEN(K552)=10,VALUE(LEFT(K552,FIND("/",K552)-1))&gt;=1,VALUE(LEFT(K552,FIND("/",K552)-1))&lt;=31,VALUE(LEFT(MID(K552,FIND("/",K552)+1,10),FIND("/",MID(K552,FIND("/",K552)+1,10))-1))&gt;=1,VALUE(LEFT(MID(K552,FIND("/",K552)+1,10),FIND("/",MID(K552,FIND("/",K552)+1,10))-1))&lt;=12,VALUE(LEFT(K552,FIND("/",K552)-1))&lt;=DAY(EOMONTH(DATE(VALUE(MID(MID(K552,FIND("/",K552)+1,10),FIND("/",MID(K552,FIND("/",K552)+1,10))+1,4)),VALUE(LEFT(MID(K552,FIND("/",K552)+1,10),FIND("/",MID(K552,FIND("/",K552)+1,10))-1)),1),0))),0,1),1)+IFERROR(IF(M552&gt;=0,0,1),1)+IFERROR(IF(ISNUMBER(MATCH(N552,Lists!$B$2:$B$7,0)),0,1),1))=0,"OK","ERROR"))</f>
        <v/>
      </c>
      <c r="Q552" s="3" t="str">
        <f aca="false">IF(D552="","",TRIM(IF(IFERROR(IF(AND(TRIM(D552)=D552,LEN(D552)&gt;0),0,1),1)=1,"Name; ","")&amp;IF(IFERROR(IF(AND(LEN(E552)=10,ISNUMBER(VALUE(E552))),0,1),1)=1,"Phone; ","")&amp;IF(IFERROR(IF(AND(ISNUMBER(SEARCH("@",F552)),ISNUMBER(SEARCH(".",F552))),0,1),1)=1,"Email; ","")&amp;IF(IFERROR(IF(AND(LEN(J552)=6,ISNUMBER(VALUE(J552))),0,1),1)=1,"Pincode; ","")&amp;IF(IFERROR(IF(ISNUMBER(MATCH(TRIM(I552),Lists!$A$2:$A$20,0)),0,1),1)=1,"State; ","")&amp;IF(IFERROR(IF(AND(LEN(K552)=10,VALUE(LEFT(K552,FIND("/",K552)-1))&gt;=1,VALUE(LEFT(K552,FIND("/",K552)-1))&lt;=31,VALUE(LEFT(MID(K552,FIND("/",K552)+1,10),FIND("/",MID(K552,FIND("/",K552)+1,10))-1))&gt;=1,VALUE(LEFT(MID(K552,FIND("/",K552)+1,10),FIND("/",MID(K552,FIND("/",K552)+1,10))-1))&lt;=12,VALUE(LEFT(K552,FIND("/",K552)-1))&lt;=DAY(EOMONTH(DATE(VALUE(MID(MID(K552,FIND("/",K552)+1,10),FIND("/",MID(K552,FIND("/",K552)+1,10))+1,4)),VALUE(LEFT(MID(K552,FIND("/",K552)+1,10),FIND("/",MID(K552,FIND("/",K552)+1,10))-1)),1),0))),0,1),1)=1,"Date; ","")&amp;IF(IFERROR(IF(M552&gt;=0,0,1),1)=1,"Amount; ","")&amp;IF(IFERROR(IF(ISNUMBER(MATCH(N552,Lists!$B$2:$B$7,0)),0,1),1)=1,"Payment; ","")))</f>
        <v/>
      </c>
      <c r="R552" s="3" t="str">
        <f aca="false">IF(D552="","",IF(COUNTIFS($D$2:$D$701,D552,$E$2:$E$701,E552)&gt;1,"DUPLICATE","Unique"))</f>
        <v/>
      </c>
    </row>
    <row r="553" customFormat="false" ht="15" hidden="false" customHeight="false" outlineLevel="0" collapsed="false">
      <c r="A553" s="3" t="n">
        <v>552</v>
      </c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3" t="n">
        <f aca="false">IFERROR(LEN(C553&amp;D553&amp;E553&amp;F553&amp;G553&amp;H553&amp;I553&amp;J553&amp;K553&amp;L553&amp;M553&amp;N553)/5,0)</f>
        <v>0</v>
      </c>
      <c r="P553" s="3" t="str">
        <f aca="false">IF(OR(D553="",C553=""),"",IF((IFERROR(IF(AND(TRIM(D553)=D553,LEN(D553)&gt;0),0,1),1)+IFERROR(IF(AND(LEN(E553)=10,ISNUMBER(VALUE(E553))),0,1),1)+IFERROR(IF(AND(ISNUMBER(SEARCH("@",F553)),ISNUMBER(SEARCH(".",F553))),0,1),1)+IFERROR(IF(AND(LEN(J553)=6,ISNUMBER(VALUE(J553))),0,1),1)+IFERROR(IF(ISNUMBER(MATCH(TRIM(I553),Lists!$A$2:$A$20,0)),0,1),1)+IFERROR(IF(AND(LEN(K553)=10,VALUE(LEFT(K553,FIND("/",K553)-1))&gt;=1,VALUE(LEFT(K553,FIND("/",K553)-1))&lt;=31,VALUE(LEFT(MID(K553,FIND("/",K553)+1,10),FIND("/",MID(K553,FIND("/",K553)+1,10))-1))&gt;=1,VALUE(LEFT(MID(K553,FIND("/",K553)+1,10),FIND("/",MID(K553,FIND("/",K553)+1,10))-1))&lt;=12,VALUE(LEFT(K553,FIND("/",K553)-1))&lt;=DAY(EOMONTH(DATE(VALUE(MID(MID(K553,FIND("/",K553)+1,10),FIND("/",MID(K553,FIND("/",K553)+1,10))+1,4)),VALUE(LEFT(MID(K553,FIND("/",K553)+1,10),FIND("/",MID(K553,FIND("/",K553)+1,10))-1)),1),0))),0,1),1)+IFERROR(IF(M553&gt;=0,0,1),1)+IFERROR(IF(ISNUMBER(MATCH(N553,Lists!$B$2:$B$7,0)),0,1),1))=0,"OK","ERROR"))</f>
        <v/>
      </c>
      <c r="Q553" s="3" t="str">
        <f aca="false">IF(D553="","",TRIM(IF(IFERROR(IF(AND(TRIM(D553)=D553,LEN(D553)&gt;0),0,1),1)=1,"Name; ","")&amp;IF(IFERROR(IF(AND(LEN(E553)=10,ISNUMBER(VALUE(E553))),0,1),1)=1,"Phone; ","")&amp;IF(IFERROR(IF(AND(ISNUMBER(SEARCH("@",F553)),ISNUMBER(SEARCH(".",F553))),0,1),1)=1,"Email; ","")&amp;IF(IFERROR(IF(AND(LEN(J553)=6,ISNUMBER(VALUE(J553))),0,1),1)=1,"Pincode; ","")&amp;IF(IFERROR(IF(ISNUMBER(MATCH(TRIM(I553),Lists!$A$2:$A$20,0)),0,1),1)=1,"State; ","")&amp;IF(IFERROR(IF(AND(LEN(K553)=10,VALUE(LEFT(K553,FIND("/",K553)-1))&gt;=1,VALUE(LEFT(K553,FIND("/",K553)-1))&lt;=31,VALUE(LEFT(MID(K553,FIND("/",K553)+1,10),FIND("/",MID(K553,FIND("/",K553)+1,10))-1))&gt;=1,VALUE(LEFT(MID(K553,FIND("/",K553)+1,10),FIND("/",MID(K553,FIND("/",K553)+1,10))-1))&lt;=12,VALUE(LEFT(K553,FIND("/",K553)-1))&lt;=DAY(EOMONTH(DATE(VALUE(MID(MID(K553,FIND("/",K553)+1,10),FIND("/",MID(K553,FIND("/",K553)+1,10))+1,4)),VALUE(LEFT(MID(K553,FIND("/",K553)+1,10),FIND("/",MID(K553,FIND("/",K553)+1,10))-1)),1),0))),0,1),1)=1,"Date; ","")&amp;IF(IFERROR(IF(M553&gt;=0,0,1),1)=1,"Amount; ","")&amp;IF(IFERROR(IF(ISNUMBER(MATCH(N553,Lists!$B$2:$B$7,0)),0,1),1)=1,"Payment; ","")))</f>
        <v/>
      </c>
      <c r="R553" s="3" t="str">
        <f aca="false">IF(D553="","",IF(COUNTIFS($D$2:$D$701,D553,$E$2:$E$701,E553)&gt;1,"DUPLICATE","Unique"))</f>
        <v/>
      </c>
    </row>
    <row r="554" customFormat="false" ht="15" hidden="false" customHeight="false" outlineLevel="0" collapsed="false">
      <c r="A554" s="3" t="n">
        <v>553</v>
      </c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3" t="n">
        <f aca="false">IFERROR(LEN(C554&amp;D554&amp;E554&amp;F554&amp;G554&amp;H554&amp;I554&amp;J554&amp;K554&amp;L554&amp;M554&amp;N554)/5,0)</f>
        <v>0</v>
      </c>
      <c r="P554" s="3" t="str">
        <f aca="false">IF(OR(D554="",C554=""),"",IF((IFERROR(IF(AND(TRIM(D554)=D554,LEN(D554)&gt;0),0,1),1)+IFERROR(IF(AND(LEN(E554)=10,ISNUMBER(VALUE(E554))),0,1),1)+IFERROR(IF(AND(ISNUMBER(SEARCH("@",F554)),ISNUMBER(SEARCH(".",F554))),0,1),1)+IFERROR(IF(AND(LEN(J554)=6,ISNUMBER(VALUE(J554))),0,1),1)+IFERROR(IF(ISNUMBER(MATCH(TRIM(I554),Lists!$A$2:$A$20,0)),0,1),1)+IFERROR(IF(AND(LEN(K554)=10,VALUE(LEFT(K554,FIND("/",K554)-1))&gt;=1,VALUE(LEFT(K554,FIND("/",K554)-1))&lt;=31,VALUE(LEFT(MID(K554,FIND("/",K554)+1,10),FIND("/",MID(K554,FIND("/",K554)+1,10))-1))&gt;=1,VALUE(LEFT(MID(K554,FIND("/",K554)+1,10),FIND("/",MID(K554,FIND("/",K554)+1,10))-1))&lt;=12,VALUE(LEFT(K554,FIND("/",K554)-1))&lt;=DAY(EOMONTH(DATE(VALUE(MID(MID(K554,FIND("/",K554)+1,10),FIND("/",MID(K554,FIND("/",K554)+1,10))+1,4)),VALUE(LEFT(MID(K554,FIND("/",K554)+1,10),FIND("/",MID(K554,FIND("/",K554)+1,10))-1)),1),0))),0,1),1)+IFERROR(IF(M554&gt;=0,0,1),1)+IFERROR(IF(ISNUMBER(MATCH(N554,Lists!$B$2:$B$7,0)),0,1),1))=0,"OK","ERROR"))</f>
        <v/>
      </c>
      <c r="Q554" s="3" t="str">
        <f aca="false">IF(D554="","",TRIM(IF(IFERROR(IF(AND(TRIM(D554)=D554,LEN(D554)&gt;0),0,1),1)=1,"Name; ","")&amp;IF(IFERROR(IF(AND(LEN(E554)=10,ISNUMBER(VALUE(E554))),0,1),1)=1,"Phone; ","")&amp;IF(IFERROR(IF(AND(ISNUMBER(SEARCH("@",F554)),ISNUMBER(SEARCH(".",F554))),0,1),1)=1,"Email; ","")&amp;IF(IFERROR(IF(AND(LEN(J554)=6,ISNUMBER(VALUE(J554))),0,1),1)=1,"Pincode; ","")&amp;IF(IFERROR(IF(ISNUMBER(MATCH(TRIM(I554),Lists!$A$2:$A$20,0)),0,1),1)=1,"State; ","")&amp;IF(IFERROR(IF(AND(LEN(K554)=10,VALUE(LEFT(K554,FIND("/",K554)-1))&gt;=1,VALUE(LEFT(K554,FIND("/",K554)-1))&lt;=31,VALUE(LEFT(MID(K554,FIND("/",K554)+1,10),FIND("/",MID(K554,FIND("/",K554)+1,10))-1))&gt;=1,VALUE(LEFT(MID(K554,FIND("/",K554)+1,10),FIND("/",MID(K554,FIND("/",K554)+1,10))-1))&lt;=12,VALUE(LEFT(K554,FIND("/",K554)-1))&lt;=DAY(EOMONTH(DATE(VALUE(MID(MID(K554,FIND("/",K554)+1,10),FIND("/",MID(K554,FIND("/",K554)+1,10))+1,4)),VALUE(LEFT(MID(K554,FIND("/",K554)+1,10),FIND("/",MID(K554,FIND("/",K554)+1,10))-1)),1),0))),0,1),1)=1,"Date; ","")&amp;IF(IFERROR(IF(M554&gt;=0,0,1),1)=1,"Amount; ","")&amp;IF(IFERROR(IF(ISNUMBER(MATCH(N554,Lists!$B$2:$B$7,0)),0,1),1)=1,"Payment; ","")))</f>
        <v/>
      </c>
      <c r="R554" s="3" t="str">
        <f aca="false">IF(D554="","",IF(COUNTIFS($D$2:$D$701,D554,$E$2:$E$701,E554)&gt;1,"DUPLICATE","Unique"))</f>
        <v/>
      </c>
    </row>
    <row r="555" customFormat="false" ht="15" hidden="false" customHeight="false" outlineLevel="0" collapsed="false">
      <c r="A555" s="3" t="n">
        <v>554</v>
      </c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3" t="n">
        <f aca="false">IFERROR(LEN(C555&amp;D555&amp;E555&amp;F555&amp;G555&amp;H555&amp;I555&amp;J555&amp;K555&amp;L555&amp;M555&amp;N555)/5,0)</f>
        <v>0</v>
      </c>
      <c r="P555" s="3" t="str">
        <f aca="false">IF(OR(D555="",C555=""),"",IF((IFERROR(IF(AND(TRIM(D555)=D555,LEN(D555)&gt;0),0,1),1)+IFERROR(IF(AND(LEN(E555)=10,ISNUMBER(VALUE(E555))),0,1),1)+IFERROR(IF(AND(ISNUMBER(SEARCH("@",F555)),ISNUMBER(SEARCH(".",F555))),0,1),1)+IFERROR(IF(AND(LEN(J555)=6,ISNUMBER(VALUE(J555))),0,1),1)+IFERROR(IF(ISNUMBER(MATCH(TRIM(I555),Lists!$A$2:$A$20,0)),0,1),1)+IFERROR(IF(AND(LEN(K555)=10,VALUE(LEFT(K555,FIND("/",K555)-1))&gt;=1,VALUE(LEFT(K555,FIND("/",K555)-1))&lt;=31,VALUE(LEFT(MID(K555,FIND("/",K555)+1,10),FIND("/",MID(K555,FIND("/",K555)+1,10))-1))&gt;=1,VALUE(LEFT(MID(K555,FIND("/",K555)+1,10),FIND("/",MID(K555,FIND("/",K555)+1,10))-1))&lt;=12,VALUE(LEFT(K555,FIND("/",K555)-1))&lt;=DAY(EOMONTH(DATE(VALUE(MID(MID(K555,FIND("/",K555)+1,10),FIND("/",MID(K555,FIND("/",K555)+1,10))+1,4)),VALUE(LEFT(MID(K555,FIND("/",K555)+1,10),FIND("/",MID(K555,FIND("/",K555)+1,10))-1)),1),0))),0,1),1)+IFERROR(IF(M555&gt;=0,0,1),1)+IFERROR(IF(ISNUMBER(MATCH(N555,Lists!$B$2:$B$7,0)),0,1),1))=0,"OK","ERROR"))</f>
        <v/>
      </c>
      <c r="Q555" s="3" t="str">
        <f aca="false">IF(D555="","",TRIM(IF(IFERROR(IF(AND(TRIM(D555)=D555,LEN(D555)&gt;0),0,1),1)=1,"Name; ","")&amp;IF(IFERROR(IF(AND(LEN(E555)=10,ISNUMBER(VALUE(E555))),0,1),1)=1,"Phone; ","")&amp;IF(IFERROR(IF(AND(ISNUMBER(SEARCH("@",F555)),ISNUMBER(SEARCH(".",F555))),0,1),1)=1,"Email; ","")&amp;IF(IFERROR(IF(AND(LEN(J555)=6,ISNUMBER(VALUE(J555))),0,1),1)=1,"Pincode; ","")&amp;IF(IFERROR(IF(ISNUMBER(MATCH(TRIM(I555),Lists!$A$2:$A$20,0)),0,1),1)=1,"State; ","")&amp;IF(IFERROR(IF(AND(LEN(K555)=10,VALUE(LEFT(K555,FIND("/",K555)-1))&gt;=1,VALUE(LEFT(K555,FIND("/",K555)-1))&lt;=31,VALUE(LEFT(MID(K555,FIND("/",K555)+1,10),FIND("/",MID(K555,FIND("/",K555)+1,10))-1))&gt;=1,VALUE(LEFT(MID(K555,FIND("/",K555)+1,10),FIND("/",MID(K555,FIND("/",K555)+1,10))-1))&lt;=12,VALUE(LEFT(K555,FIND("/",K555)-1))&lt;=DAY(EOMONTH(DATE(VALUE(MID(MID(K555,FIND("/",K555)+1,10),FIND("/",MID(K555,FIND("/",K555)+1,10))+1,4)),VALUE(LEFT(MID(K555,FIND("/",K555)+1,10),FIND("/",MID(K555,FIND("/",K555)+1,10))-1)),1),0))),0,1),1)=1,"Date; ","")&amp;IF(IFERROR(IF(M555&gt;=0,0,1),1)=1,"Amount; ","")&amp;IF(IFERROR(IF(ISNUMBER(MATCH(N555,Lists!$B$2:$B$7,0)),0,1),1)=1,"Payment; ","")))</f>
        <v/>
      </c>
      <c r="R555" s="3" t="str">
        <f aca="false">IF(D555="","",IF(COUNTIFS($D$2:$D$701,D555,$E$2:$E$701,E555)&gt;1,"DUPLICATE","Unique"))</f>
        <v/>
      </c>
    </row>
    <row r="556" customFormat="false" ht="15" hidden="false" customHeight="false" outlineLevel="0" collapsed="false">
      <c r="A556" s="3" t="n">
        <v>555</v>
      </c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3" t="n">
        <f aca="false">IFERROR(LEN(C556&amp;D556&amp;E556&amp;F556&amp;G556&amp;H556&amp;I556&amp;J556&amp;K556&amp;L556&amp;M556&amp;N556)/5,0)</f>
        <v>0</v>
      </c>
      <c r="P556" s="3" t="str">
        <f aca="false">IF(OR(D556="",C556=""),"",IF((IFERROR(IF(AND(TRIM(D556)=D556,LEN(D556)&gt;0),0,1),1)+IFERROR(IF(AND(LEN(E556)=10,ISNUMBER(VALUE(E556))),0,1),1)+IFERROR(IF(AND(ISNUMBER(SEARCH("@",F556)),ISNUMBER(SEARCH(".",F556))),0,1),1)+IFERROR(IF(AND(LEN(J556)=6,ISNUMBER(VALUE(J556))),0,1),1)+IFERROR(IF(ISNUMBER(MATCH(TRIM(I556),Lists!$A$2:$A$20,0)),0,1),1)+IFERROR(IF(AND(LEN(K556)=10,VALUE(LEFT(K556,FIND("/",K556)-1))&gt;=1,VALUE(LEFT(K556,FIND("/",K556)-1))&lt;=31,VALUE(LEFT(MID(K556,FIND("/",K556)+1,10),FIND("/",MID(K556,FIND("/",K556)+1,10))-1))&gt;=1,VALUE(LEFT(MID(K556,FIND("/",K556)+1,10),FIND("/",MID(K556,FIND("/",K556)+1,10))-1))&lt;=12,VALUE(LEFT(K556,FIND("/",K556)-1))&lt;=DAY(EOMONTH(DATE(VALUE(MID(MID(K556,FIND("/",K556)+1,10),FIND("/",MID(K556,FIND("/",K556)+1,10))+1,4)),VALUE(LEFT(MID(K556,FIND("/",K556)+1,10),FIND("/",MID(K556,FIND("/",K556)+1,10))-1)),1),0))),0,1),1)+IFERROR(IF(M556&gt;=0,0,1),1)+IFERROR(IF(ISNUMBER(MATCH(N556,Lists!$B$2:$B$7,0)),0,1),1))=0,"OK","ERROR"))</f>
        <v/>
      </c>
      <c r="Q556" s="3" t="str">
        <f aca="false">IF(D556="","",TRIM(IF(IFERROR(IF(AND(TRIM(D556)=D556,LEN(D556)&gt;0),0,1),1)=1,"Name; ","")&amp;IF(IFERROR(IF(AND(LEN(E556)=10,ISNUMBER(VALUE(E556))),0,1),1)=1,"Phone; ","")&amp;IF(IFERROR(IF(AND(ISNUMBER(SEARCH("@",F556)),ISNUMBER(SEARCH(".",F556))),0,1),1)=1,"Email; ","")&amp;IF(IFERROR(IF(AND(LEN(J556)=6,ISNUMBER(VALUE(J556))),0,1),1)=1,"Pincode; ","")&amp;IF(IFERROR(IF(ISNUMBER(MATCH(TRIM(I556),Lists!$A$2:$A$20,0)),0,1),1)=1,"State; ","")&amp;IF(IFERROR(IF(AND(LEN(K556)=10,VALUE(LEFT(K556,FIND("/",K556)-1))&gt;=1,VALUE(LEFT(K556,FIND("/",K556)-1))&lt;=31,VALUE(LEFT(MID(K556,FIND("/",K556)+1,10),FIND("/",MID(K556,FIND("/",K556)+1,10))-1))&gt;=1,VALUE(LEFT(MID(K556,FIND("/",K556)+1,10),FIND("/",MID(K556,FIND("/",K556)+1,10))-1))&lt;=12,VALUE(LEFT(K556,FIND("/",K556)-1))&lt;=DAY(EOMONTH(DATE(VALUE(MID(MID(K556,FIND("/",K556)+1,10),FIND("/",MID(K556,FIND("/",K556)+1,10))+1,4)),VALUE(LEFT(MID(K556,FIND("/",K556)+1,10),FIND("/",MID(K556,FIND("/",K556)+1,10))-1)),1),0))),0,1),1)=1,"Date; ","")&amp;IF(IFERROR(IF(M556&gt;=0,0,1),1)=1,"Amount; ","")&amp;IF(IFERROR(IF(ISNUMBER(MATCH(N556,Lists!$B$2:$B$7,0)),0,1),1)=1,"Payment; ","")))</f>
        <v/>
      </c>
      <c r="R556" s="3" t="str">
        <f aca="false">IF(D556="","",IF(COUNTIFS($D$2:$D$701,D556,$E$2:$E$701,E556)&gt;1,"DUPLICATE","Unique"))</f>
        <v/>
      </c>
    </row>
    <row r="557" customFormat="false" ht="15" hidden="false" customHeight="false" outlineLevel="0" collapsed="false">
      <c r="A557" s="3" t="n">
        <v>556</v>
      </c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3" t="n">
        <f aca="false">IFERROR(LEN(C557&amp;D557&amp;E557&amp;F557&amp;G557&amp;H557&amp;I557&amp;J557&amp;K557&amp;L557&amp;M557&amp;N557)/5,0)</f>
        <v>0</v>
      </c>
      <c r="P557" s="3" t="str">
        <f aca="false">IF(OR(D557="",C557=""),"",IF((IFERROR(IF(AND(TRIM(D557)=D557,LEN(D557)&gt;0),0,1),1)+IFERROR(IF(AND(LEN(E557)=10,ISNUMBER(VALUE(E557))),0,1),1)+IFERROR(IF(AND(ISNUMBER(SEARCH("@",F557)),ISNUMBER(SEARCH(".",F557))),0,1),1)+IFERROR(IF(AND(LEN(J557)=6,ISNUMBER(VALUE(J557))),0,1),1)+IFERROR(IF(ISNUMBER(MATCH(TRIM(I557),Lists!$A$2:$A$20,0)),0,1),1)+IFERROR(IF(AND(LEN(K557)=10,VALUE(LEFT(K557,FIND("/",K557)-1))&gt;=1,VALUE(LEFT(K557,FIND("/",K557)-1))&lt;=31,VALUE(LEFT(MID(K557,FIND("/",K557)+1,10),FIND("/",MID(K557,FIND("/",K557)+1,10))-1))&gt;=1,VALUE(LEFT(MID(K557,FIND("/",K557)+1,10),FIND("/",MID(K557,FIND("/",K557)+1,10))-1))&lt;=12,VALUE(LEFT(K557,FIND("/",K557)-1))&lt;=DAY(EOMONTH(DATE(VALUE(MID(MID(K557,FIND("/",K557)+1,10),FIND("/",MID(K557,FIND("/",K557)+1,10))+1,4)),VALUE(LEFT(MID(K557,FIND("/",K557)+1,10),FIND("/",MID(K557,FIND("/",K557)+1,10))-1)),1),0))),0,1),1)+IFERROR(IF(M557&gt;=0,0,1),1)+IFERROR(IF(ISNUMBER(MATCH(N557,Lists!$B$2:$B$7,0)),0,1),1))=0,"OK","ERROR"))</f>
        <v/>
      </c>
      <c r="Q557" s="3" t="str">
        <f aca="false">IF(D557="","",TRIM(IF(IFERROR(IF(AND(TRIM(D557)=D557,LEN(D557)&gt;0),0,1),1)=1,"Name; ","")&amp;IF(IFERROR(IF(AND(LEN(E557)=10,ISNUMBER(VALUE(E557))),0,1),1)=1,"Phone; ","")&amp;IF(IFERROR(IF(AND(ISNUMBER(SEARCH("@",F557)),ISNUMBER(SEARCH(".",F557))),0,1),1)=1,"Email; ","")&amp;IF(IFERROR(IF(AND(LEN(J557)=6,ISNUMBER(VALUE(J557))),0,1),1)=1,"Pincode; ","")&amp;IF(IFERROR(IF(ISNUMBER(MATCH(TRIM(I557),Lists!$A$2:$A$20,0)),0,1),1)=1,"State; ","")&amp;IF(IFERROR(IF(AND(LEN(K557)=10,VALUE(LEFT(K557,FIND("/",K557)-1))&gt;=1,VALUE(LEFT(K557,FIND("/",K557)-1))&lt;=31,VALUE(LEFT(MID(K557,FIND("/",K557)+1,10),FIND("/",MID(K557,FIND("/",K557)+1,10))-1))&gt;=1,VALUE(LEFT(MID(K557,FIND("/",K557)+1,10),FIND("/",MID(K557,FIND("/",K557)+1,10))-1))&lt;=12,VALUE(LEFT(K557,FIND("/",K557)-1))&lt;=DAY(EOMONTH(DATE(VALUE(MID(MID(K557,FIND("/",K557)+1,10),FIND("/",MID(K557,FIND("/",K557)+1,10))+1,4)),VALUE(LEFT(MID(K557,FIND("/",K557)+1,10),FIND("/",MID(K557,FIND("/",K557)+1,10))-1)),1),0))),0,1),1)=1,"Date; ","")&amp;IF(IFERROR(IF(M557&gt;=0,0,1),1)=1,"Amount; ","")&amp;IF(IFERROR(IF(ISNUMBER(MATCH(N557,Lists!$B$2:$B$7,0)),0,1),1)=1,"Payment; ","")))</f>
        <v/>
      </c>
      <c r="R557" s="3" t="str">
        <f aca="false">IF(D557="","",IF(COUNTIFS($D$2:$D$701,D557,$E$2:$E$701,E557)&gt;1,"DUPLICATE","Unique"))</f>
        <v/>
      </c>
    </row>
    <row r="558" customFormat="false" ht="15" hidden="false" customHeight="false" outlineLevel="0" collapsed="false">
      <c r="A558" s="3" t="n">
        <v>557</v>
      </c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3" t="n">
        <f aca="false">IFERROR(LEN(C558&amp;D558&amp;E558&amp;F558&amp;G558&amp;H558&amp;I558&amp;J558&amp;K558&amp;L558&amp;M558&amp;N558)/5,0)</f>
        <v>0</v>
      </c>
      <c r="P558" s="3" t="str">
        <f aca="false">IF(OR(D558="",C558=""),"",IF((IFERROR(IF(AND(TRIM(D558)=D558,LEN(D558)&gt;0),0,1),1)+IFERROR(IF(AND(LEN(E558)=10,ISNUMBER(VALUE(E558))),0,1),1)+IFERROR(IF(AND(ISNUMBER(SEARCH("@",F558)),ISNUMBER(SEARCH(".",F558))),0,1),1)+IFERROR(IF(AND(LEN(J558)=6,ISNUMBER(VALUE(J558))),0,1),1)+IFERROR(IF(ISNUMBER(MATCH(TRIM(I558),Lists!$A$2:$A$20,0)),0,1),1)+IFERROR(IF(AND(LEN(K558)=10,VALUE(LEFT(K558,FIND("/",K558)-1))&gt;=1,VALUE(LEFT(K558,FIND("/",K558)-1))&lt;=31,VALUE(LEFT(MID(K558,FIND("/",K558)+1,10),FIND("/",MID(K558,FIND("/",K558)+1,10))-1))&gt;=1,VALUE(LEFT(MID(K558,FIND("/",K558)+1,10),FIND("/",MID(K558,FIND("/",K558)+1,10))-1))&lt;=12,VALUE(LEFT(K558,FIND("/",K558)-1))&lt;=DAY(EOMONTH(DATE(VALUE(MID(MID(K558,FIND("/",K558)+1,10),FIND("/",MID(K558,FIND("/",K558)+1,10))+1,4)),VALUE(LEFT(MID(K558,FIND("/",K558)+1,10),FIND("/",MID(K558,FIND("/",K558)+1,10))-1)),1),0))),0,1),1)+IFERROR(IF(M558&gt;=0,0,1),1)+IFERROR(IF(ISNUMBER(MATCH(N558,Lists!$B$2:$B$7,0)),0,1),1))=0,"OK","ERROR"))</f>
        <v/>
      </c>
      <c r="Q558" s="3" t="str">
        <f aca="false">IF(D558="","",TRIM(IF(IFERROR(IF(AND(TRIM(D558)=D558,LEN(D558)&gt;0),0,1),1)=1,"Name; ","")&amp;IF(IFERROR(IF(AND(LEN(E558)=10,ISNUMBER(VALUE(E558))),0,1),1)=1,"Phone; ","")&amp;IF(IFERROR(IF(AND(ISNUMBER(SEARCH("@",F558)),ISNUMBER(SEARCH(".",F558))),0,1),1)=1,"Email; ","")&amp;IF(IFERROR(IF(AND(LEN(J558)=6,ISNUMBER(VALUE(J558))),0,1),1)=1,"Pincode; ","")&amp;IF(IFERROR(IF(ISNUMBER(MATCH(TRIM(I558),Lists!$A$2:$A$20,0)),0,1),1)=1,"State; ","")&amp;IF(IFERROR(IF(AND(LEN(K558)=10,VALUE(LEFT(K558,FIND("/",K558)-1))&gt;=1,VALUE(LEFT(K558,FIND("/",K558)-1))&lt;=31,VALUE(LEFT(MID(K558,FIND("/",K558)+1,10),FIND("/",MID(K558,FIND("/",K558)+1,10))-1))&gt;=1,VALUE(LEFT(MID(K558,FIND("/",K558)+1,10),FIND("/",MID(K558,FIND("/",K558)+1,10))-1))&lt;=12,VALUE(LEFT(K558,FIND("/",K558)-1))&lt;=DAY(EOMONTH(DATE(VALUE(MID(MID(K558,FIND("/",K558)+1,10),FIND("/",MID(K558,FIND("/",K558)+1,10))+1,4)),VALUE(LEFT(MID(K558,FIND("/",K558)+1,10),FIND("/",MID(K558,FIND("/",K558)+1,10))-1)),1),0))),0,1),1)=1,"Date; ","")&amp;IF(IFERROR(IF(M558&gt;=0,0,1),1)=1,"Amount; ","")&amp;IF(IFERROR(IF(ISNUMBER(MATCH(N558,Lists!$B$2:$B$7,0)),0,1),1)=1,"Payment; ","")))</f>
        <v/>
      </c>
      <c r="R558" s="3" t="str">
        <f aca="false">IF(D558="","",IF(COUNTIFS($D$2:$D$701,D558,$E$2:$E$701,E558)&gt;1,"DUPLICATE","Unique"))</f>
        <v/>
      </c>
    </row>
    <row r="559" customFormat="false" ht="15" hidden="false" customHeight="false" outlineLevel="0" collapsed="false">
      <c r="A559" s="3" t="n">
        <v>558</v>
      </c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3" t="n">
        <f aca="false">IFERROR(LEN(C559&amp;D559&amp;E559&amp;F559&amp;G559&amp;H559&amp;I559&amp;J559&amp;K559&amp;L559&amp;M559&amp;N559)/5,0)</f>
        <v>0</v>
      </c>
      <c r="P559" s="3" t="str">
        <f aca="false">IF(OR(D559="",C559=""),"",IF((IFERROR(IF(AND(TRIM(D559)=D559,LEN(D559)&gt;0),0,1),1)+IFERROR(IF(AND(LEN(E559)=10,ISNUMBER(VALUE(E559))),0,1),1)+IFERROR(IF(AND(ISNUMBER(SEARCH("@",F559)),ISNUMBER(SEARCH(".",F559))),0,1),1)+IFERROR(IF(AND(LEN(J559)=6,ISNUMBER(VALUE(J559))),0,1),1)+IFERROR(IF(ISNUMBER(MATCH(TRIM(I559),Lists!$A$2:$A$20,0)),0,1),1)+IFERROR(IF(AND(LEN(K559)=10,VALUE(LEFT(K559,FIND("/",K559)-1))&gt;=1,VALUE(LEFT(K559,FIND("/",K559)-1))&lt;=31,VALUE(LEFT(MID(K559,FIND("/",K559)+1,10),FIND("/",MID(K559,FIND("/",K559)+1,10))-1))&gt;=1,VALUE(LEFT(MID(K559,FIND("/",K559)+1,10),FIND("/",MID(K559,FIND("/",K559)+1,10))-1))&lt;=12,VALUE(LEFT(K559,FIND("/",K559)-1))&lt;=DAY(EOMONTH(DATE(VALUE(MID(MID(K559,FIND("/",K559)+1,10),FIND("/",MID(K559,FIND("/",K559)+1,10))+1,4)),VALUE(LEFT(MID(K559,FIND("/",K559)+1,10),FIND("/",MID(K559,FIND("/",K559)+1,10))-1)),1),0))),0,1),1)+IFERROR(IF(M559&gt;=0,0,1),1)+IFERROR(IF(ISNUMBER(MATCH(N559,Lists!$B$2:$B$7,0)),0,1),1))=0,"OK","ERROR"))</f>
        <v/>
      </c>
      <c r="Q559" s="3" t="str">
        <f aca="false">IF(D559="","",TRIM(IF(IFERROR(IF(AND(TRIM(D559)=D559,LEN(D559)&gt;0),0,1),1)=1,"Name; ","")&amp;IF(IFERROR(IF(AND(LEN(E559)=10,ISNUMBER(VALUE(E559))),0,1),1)=1,"Phone; ","")&amp;IF(IFERROR(IF(AND(ISNUMBER(SEARCH("@",F559)),ISNUMBER(SEARCH(".",F559))),0,1),1)=1,"Email; ","")&amp;IF(IFERROR(IF(AND(LEN(J559)=6,ISNUMBER(VALUE(J559))),0,1),1)=1,"Pincode; ","")&amp;IF(IFERROR(IF(ISNUMBER(MATCH(TRIM(I559),Lists!$A$2:$A$20,0)),0,1),1)=1,"State; ","")&amp;IF(IFERROR(IF(AND(LEN(K559)=10,VALUE(LEFT(K559,FIND("/",K559)-1))&gt;=1,VALUE(LEFT(K559,FIND("/",K559)-1))&lt;=31,VALUE(LEFT(MID(K559,FIND("/",K559)+1,10),FIND("/",MID(K559,FIND("/",K559)+1,10))-1))&gt;=1,VALUE(LEFT(MID(K559,FIND("/",K559)+1,10),FIND("/",MID(K559,FIND("/",K559)+1,10))-1))&lt;=12,VALUE(LEFT(K559,FIND("/",K559)-1))&lt;=DAY(EOMONTH(DATE(VALUE(MID(MID(K559,FIND("/",K559)+1,10),FIND("/",MID(K559,FIND("/",K559)+1,10))+1,4)),VALUE(LEFT(MID(K559,FIND("/",K559)+1,10),FIND("/",MID(K559,FIND("/",K559)+1,10))-1)),1),0))),0,1),1)=1,"Date; ","")&amp;IF(IFERROR(IF(M559&gt;=0,0,1),1)=1,"Amount; ","")&amp;IF(IFERROR(IF(ISNUMBER(MATCH(N559,Lists!$B$2:$B$7,0)),0,1),1)=1,"Payment; ","")))</f>
        <v/>
      </c>
      <c r="R559" s="3" t="str">
        <f aca="false">IF(D559="","",IF(COUNTIFS($D$2:$D$701,D559,$E$2:$E$701,E559)&gt;1,"DUPLICATE","Unique"))</f>
        <v/>
      </c>
    </row>
    <row r="560" customFormat="false" ht="15" hidden="false" customHeight="false" outlineLevel="0" collapsed="false">
      <c r="A560" s="3" t="n">
        <v>559</v>
      </c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3" t="n">
        <f aca="false">IFERROR(LEN(C560&amp;D560&amp;E560&amp;F560&amp;G560&amp;H560&amp;I560&amp;J560&amp;K560&amp;L560&amp;M560&amp;N560)/5,0)</f>
        <v>0</v>
      </c>
      <c r="P560" s="3" t="str">
        <f aca="false">IF(OR(D560="",C560=""),"",IF((IFERROR(IF(AND(TRIM(D560)=D560,LEN(D560)&gt;0),0,1),1)+IFERROR(IF(AND(LEN(E560)=10,ISNUMBER(VALUE(E560))),0,1),1)+IFERROR(IF(AND(ISNUMBER(SEARCH("@",F560)),ISNUMBER(SEARCH(".",F560))),0,1),1)+IFERROR(IF(AND(LEN(J560)=6,ISNUMBER(VALUE(J560))),0,1),1)+IFERROR(IF(ISNUMBER(MATCH(TRIM(I560),Lists!$A$2:$A$20,0)),0,1),1)+IFERROR(IF(AND(LEN(K560)=10,VALUE(LEFT(K560,FIND("/",K560)-1))&gt;=1,VALUE(LEFT(K560,FIND("/",K560)-1))&lt;=31,VALUE(LEFT(MID(K560,FIND("/",K560)+1,10),FIND("/",MID(K560,FIND("/",K560)+1,10))-1))&gt;=1,VALUE(LEFT(MID(K560,FIND("/",K560)+1,10),FIND("/",MID(K560,FIND("/",K560)+1,10))-1))&lt;=12,VALUE(LEFT(K560,FIND("/",K560)-1))&lt;=DAY(EOMONTH(DATE(VALUE(MID(MID(K560,FIND("/",K560)+1,10),FIND("/",MID(K560,FIND("/",K560)+1,10))+1,4)),VALUE(LEFT(MID(K560,FIND("/",K560)+1,10),FIND("/",MID(K560,FIND("/",K560)+1,10))-1)),1),0))),0,1),1)+IFERROR(IF(M560&gt;=0,0,1),1)+IFERROR(IF(ISNUMBER(MATCH(N560,Lists!$B$2:$B$7,0)),0,1),1))=0,"OK","ERROR"))</f>
        <v/>
      </c>
      <c r="Q560" s="3" t="str">
        <f aca="false">IF(D560="","",TRIM(IF(IFERROR(IF(AND(TRIM(D560)=D560,LEN(D560)&gt;0),0,1),1)=1,"Name; ","")&amp;IF(IFERROR(IF(AND(LEN(E560)=10,ISNUMBER(VALUE(E560))),0,1),1)=1,"Phone; ","")&amp;IF(IFERROR(IF(AND(ISNUMBER(SEARCH("@",F560)),ISNUMBER(SEARCH(".",F560))),0,1),1)=1,"Email; ","")&amp;IF(IFERROR(IF(AND(LEN(J560)=6,ISNUMBER(VALUE(J560))),0,1),1)=1,"Pincode; ","")&amp;IF(IFERROR(IF(ISNUMBER(MATCH(TRIM(I560),Lists!$A$2:$A$20,0)),0,1),1)=1,"State; ","")&amp;IF(IFERROR(IF(AND(LEN(K560)=10,VALUE(LEFT(K560,FIND("/",K560)-1))&gt;=1,VALUE(LEFT(K560,FIND("/",K560)-1))&lt;=31,VALUE(LEFT(MID(K560,FIND("/",K560)+1,10),FIND("/",MID(K560,FIND("/",K560)+1,10))-1))&gt;=1,VALUE(LEFT(MID(K560,FIND("/",K560)+1,10),FIND("/",MID(K560,FIND("/",K560)+1,10))-1))&lt;=12,VALUE(LEFT(K560,FIND("/",K560)-1))&lt;=DAY(EOMONTH(DATE(VALUE(MID(MID(K560,FIND("/",K560)+1,10),FIND("/",MID(K560,FIND("/",K560)+1,10))+1,4)),VALUE(LEFT(MID(K560,FIND("/",K560)+1,10),FIND("/",MID(K560,FIND("/",K560)+1,10))-1)),1),0))),0,1),1)=1,"Date; ","")&amp;IF(IFERROR(IF(M560&gt;=0,0,1),1)=1,"Amount; ","")&amp;IF(IFERROR(IF(ISNUMBER(MATCH(N560,Lists!$B$2:$B$7,0)),0,1),1)=1,"Payment; ","")))</f>
        <v/>
      </c>
      <c r="R560" s="3" t="str">
        <f aca="false">IF(D560="","",IF(COUNTIFS($D$2:$D$701,D560,$E$2:$E$701,E560)&gt;1,"DUPLICATE","Unique"))</f>
        <v/>
      </c>
    </row>
    <row r="561" customFormat="false" ht="15" hidden="false" customHeight="false" outlineLevel="0" collapsed="false">
      <c r="A561" s="3" t="n">
        <v>560</v>
      </c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3" t="n">
        <f aca="false">IFERROR(LEN(C561&amp;D561&amp;E561&amp;F561&amp;G561&amp;H561&amp;I561&amp;J561&amp;K561&amp;L561&amp;M561&amp;N561)/5,0)</f>
        <v>0</v>
      </c>
      <c r="P561" s="3" t="str">
        <f aca="false">IF(OR(D561="",C561=""),"",IF((IFERROR(IF(AND(TRIM(D561)=D561,LEN(D561)&gt;0),0,1),1)+IFERROR(IF(AND(LEN(E561)=10,ISNUMBER(VALUE(E561))),0,1),1)+IFERROR(IF(AND(ISNUMBER(SEARCH("@",F561)),ISNUMBER(SEARCH(".",F561))),0,1),1)+IFERROR(IF(AND(LEN(J561)=6,ISNUMBER(VALUE(J561))),0,1),1)+IFERROR(IF(ISNUMBER(MATCH(TRIM(I561),Lists!$A$2:$A$20,0)),0,1),1)+IFERROR(IF(AND(LEN(K561)=10,VALUE(LEFT(K561,FIND("/",K561)-1))&gt;=1,VALUE(LEFT(K561,FIND("/",K561)-1))&lt;=31,VALUE(LEFT(MID(K561,FIND("/",K561)+1,10),FIND("/",MID(K561,FIND("/",K561)+1,10))-1))&gt;=1,VALUE(LEFT(MID(K561,FIND("/",K561)+1,10),FIND("/",MID(K561,FIND("/",K561)+1,10))-1))&lt;=12,VALUE(LEFT(K561,FIND("/",K561)-1))&lt;=DAY(EOMONTH(DATE(VALUE(MID(MID(K561,FIND("/",K561)+1,10),FIND("/",MID(K561,FIND("/",K561)+1,10))+1,4)),VALUE(LEFT(MID(K561,FIND("/",K561)+1,10),FIND("/",MID(K561,FIND("/",K561)+1,10))-1)),1),0))),0,1),1)+IFERROR(IF(M561&gt;=0,0,1),1)+IFERROR(IF(ISNUMBER(MATCH(N561,Lists!$B$2:$B$7,0)),0,1),1))=0,"OK","ERROR"))</f>
        <v/>
      </c>
      <c r="Q561" s="3" t="str">
        <f aca="false">IF(D561="","",TRIM(IF(IFERROR(IF(AND(TRIM(D561)=D561,LEN(D561)&gt;0),0,1),1)=1,"Name; ","")&amp;IF(IFERROR(IF(AND(LEN(E561)=10,ISNUMBER(VALUE(E561))),0,1),1)=1,"Phone; ","")&amp;IF(IFERROR(IF(AND(ISNUMBER(SEARCH("@",F561)),ISNUMBER(SEARCH(".",F561))),0,1),1)=1,"Email; ","")&amp;IF(IFERROR(IF(AND(LEN(J561)=6,ISNUMBER(VALUE(J561))),0,1),1)=1,"Pincode; ","")&amp;IF(IFERROR(IF(ISNUMBER(MATCH(TRIM(I561),Lists!$A$2:$A$20,0)),0,1),1)=1,"State; ","")&amp;IF(IFERROR(IF(AND(LEN(K561)=10,VALUE(LEFT(K561,FIND("/",K561)-1))&gt;=1,VALUE(LEFT(K561,FIND("/",K561)-1))&lt;=31,VALUE(LEFT(MID(K561,FIND("/",K561)+1,10),FIND("/",MID(K561,FIND("/",K561)+1,10))-1))&gt;=1,VALUE(LEFT(MID(K561,FIND("/",K561)+1,10),FIND("/",MID(K561,FIND("/",K561)+1,10))-1))&lt;=12,VALUE(LEFT(K561,FIND("/",K561)-1))&lt;=DAY(EOMONTH(DATE(VALUE(MID(MID(K561,FIND("/",K561)+1,10),FIND("/",MID(K561,FIND("/",K561)+1,10))+1,4)),VALUE(LEFT(MID(K561,FIND("/",K561)+1,10),FIND("/",MID(K561,FIND("/",K561)+1,10))-1)),1),0))),0,1),1)=1,"Date; ","")&amp;IF(IFERROR(IF(M561&gt;=0,0,1),1)=1,"Amount; ","")&amp;IF(IFERROR(IF(ISNUMBER(MATCH(N561,Lists!$B$2:$B$7,0)),0,1),1)=1,"Payment; ","")))</f>
        <v/>
      </c>
      <c r="R561" s="3" t="str">
        <f aca="false">IF(D561="","",IF(COUNTIFS($D$2:$D$701,D561,$E$2:$E$701,E561)&gt;1,"DUPLICATE","Unique"))</f>
        <v/>
      </c>
    </row>
    <row r="562" customFormat="false" ht="15" hidden="false" customHeight="false" outlineLevel="0" collapsed="false">
      <c r="A562" s="3" t="n">
        <v>561</v>
      </c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3" t="n">
        <f aca="false">IFERROR(LEN(C562&amp;D562&amp;E562&amp;F562&amp;G562&amp;H562&amp;I562&amp;J562&amp;K562&amp;L562&amp;M562&amp;N562)/5,0)</f>
        <v>0</v>
      </c>
      <c r="P562" s="3" t="str">
        <f aca="false">IF(OR(D562="",C562=""),"",IF((IFERROR(IF(AND(TRIM(D562)=D562,LEN(D562)&gt;0),0,1),1)+IFERROR(IF(AND(LEN(E562)=10,ISNUMBER(VALUE(E562))),0,1),1)+IFERROR(IF(AND(ISNUMBER(SEARCH("@",F562)),ISNUMBER(SEARCH(".",F562))),0,1),1)+IFERROR(IF(AND(LEN(J562)=6,ISNUMBER(VALUE(J562))),0,1),1)+IFERROR(IF(ISNUMBER(MATCH(TRIM(I562),Lists!$A$2:$A$20,0)),0,1),1)+IFERROR(IF(AND(LEN(K562)=10,VALUE(LEFT(K562,FIND("/",K562)-1))&gt;=1,VALUE(LEFT(K562,FIND("/",K562)-1))&lt;=31,VALUE(LEFT(MID(K562,FIND("/",K562)+1,10),FIND("/",MID(K562,FIND("/",K562)+1,10))-1))&gt;=1,VALUE(LEFT(MID(K562,FIND("/",K562)+1,10),FIND("/",MID(K562,FIND("/",K562)+1,10))-1))&lt;=12,VALUE(LEFT(K562,FIND("/",K562)-1))&lt;=DAY(EOMONTH(DATE(VALUE(MID(MID(K562,FIND("/",K562)+1,10),FIND("/",MID(K562,FIND("/",K562)+1,10))+1,4)),VALUE(LEFT(MID(K562,FIND("/",K562)+1,10),FIND("/",MID(K562,FIND("/",K562)+1,10))-1)),1),0))),0,1),1)+IFERROR(IF(M562&gt;=0,0,1),1)+IFERROR(IF(ISNUMBER(MATCH(N562,Lists!$B$2:$B$7,0)),0,1),1))=0,"OK","ERROR"))</f>
        <v/>
      </c>
      <c r="Q562" s="3" t="str">
        <f aca="false">IF(D562="","",TRIM(IF(IFERROR(IF(AND(TRIM(D562)=D562,LEN(D562)&gt;0),0,1),1)=1,"Name; ","")&amp;IF(IFERROR(IF(AND(LEN(E562)=10,ISNUMBER(VALUE(E562))),0,1),1)=1,"Phone; ","")&amp;IF(IFERROR(IF(AND(ISNUMBER(SEARCH("@",F562)),ISNUMBER(SEARCH(".",F562))),0,1),1)=1,"Email; ","")&amp;IF(IFERROR(IF(AND(LEN(J562)=6,ISNUMBER(VALUE(J562))),0,1),1)=1,"Pincode; ","")&amp;IF(IFERROR(IF(ISNUMBER(MATCH(TRIM(I562),Lists!$A$2:$A$20,0)),0,1),1)=1,"State; ","")&amp;IF(IFERROR(IF(AND(LEN(K562)=10,VALUE(LEFT(K562,FIND("/",K562)-1))&gt;=1,VALUE(LEFT(K562,FIND("/",K562)-1))&lt;=31,VALUE(LEFT(MID(K562,FIND("/",K562)+1,10),FIND("/",MID(K562,FIND("/",K562)+1,10))-1))&gt;=1,VALUE(LEFT(MID(K562,FIND("/",K562)+1,10),FIND("/",MID(K562,FIND("/",K562)+1,10))-1))&lt;=12,VALUE(LEFT(K562,FIND("/",K562)-1))&lt;=DAY(EOMONTH(DATE(VALUE(MID(MID(K562,FIND("/",K562)+1,10),FIND("/",MID(K562,FIND("/",K562)+1,10))+1,4)),VALUE(LEFT(MID(K562,FIND("/",K562)+1,10),FIND("/",MID(K562,FIND("/",K562)+1,10))-1)),1),0))),0,1),1)=1,"Date; ","")&amp;IF(IFERROR(IF(M562&gt;=0,0,1),1)=1,"Amount; ","")&amp;IF(IFERROR(IF(ISNUMBER(MATCH(N562,Lists!$B$2:$B$7,0)),0,1),1)=1,"Payment; ","")))</f>
        <v/>
      </c>
      <c r="R562" s="3" t="str">
        <f aca="false">IF(D562="","",IF(COUNTIFS($D$2:$D$701,D562,$E$2:$E$701,E562)&gt;1,"DUPLICATE","Unique"))</f>
        <v/>
      </c>
    </row>
    <row r="563" customFormat="false" ht="15" hidden="false" customHeight="false" outlineLevel="0" collapsed="false">
      <c r="A563" s="3" t="n">
        <v>562</v>
      </c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3" t="n">
        <f aca="false">IFERROR(LEN(C563&amp;D563&amp;E563&amp;F563&amp;G563&amp;H563&amp;I563&amp;J563&amp;K563&amp;L563&amp;M563&amp;N563)/5,0)</f>
        <v>0</v>
      </c>
      <c r="P563" s="3" t="str">
        <f aca="false">IF(OR(D563="",C563=""),"",IF((IFERROR(IF(AND(TRIM(D563)=D563,LEN(D563)&gt;0),0,1),1)+IFERROR(IF(AND(LEN(E563)=10,ISNUMBER(VALUE(E563))),0,1),1)+IFERROR(IF(AND(ISNUMBER(SEARCH("@",F563)),ISNUMBER(SEARCH(".",F563))),0,1),1)+IFERROR(IF(AND(LEN(J563)=6,ISNUMBER(VALUE(J563))),0,1),1)+IFERROR(IF(ISNUMBER(MATCH(TRIM(I563),Lists!$A$2:$A$20,0)),0,1),1)+IFERROR(IF(AND(LEN(K563)=10,VALUE(LEFT(K563,FIND("/",K563)-1))&gt;=1,VALUE(LEFT(K563,FIND("/",K563)-1))&lt;=31,VALUE(LEFT(MID(K563,FIND("/",K563)+1,10),FIND("/",MID(K563,FIND("/",K563)+1,10))-1))&gt;=1,VALUE(LEFT(MID(K563,FIND("/",K563)+1,10),FIND("/",MID(K563,FIND("/",K563)+1,10))-1))&lt;=12,VALUE(LEFT(K563,FIND("/",K563)-1))&lt;=DAY(EOMONTH(DATE(VALUE(MID(MID(K563,FIND("/",K563)+1,10),FIND("/",MID(K563,FIND("/",K563)+1,10))+1,4)),VALUE(LEFT(MID(K563,FIND("/",K563)+1,10),FIND("/",MID(K563,FIND("/",K563)+1,10))-1)),1),0))),0,1),1)+IFERROR(IF(M563&gt;=0,0,1),1)+IFERROR(IF(ISNUMBER(MATCH(N563,Lists!$B$2:$B$7,0)),0,1),1))=0,"OK","ERROR"))</f>
        <v/>
      </c>
      <c r="Q563" s="3" t="str">
        <f aca="false">IF(D563="","",TRIM(IF(IFERROR(IF(AND(TRIM(D563)=D563,LEN(D563)&gt;0),0,1),1)=1,"Name; ","")&amp;IF(IFERROR(IF(AND(LEN(E563)=10,ISNUMBER(VALUE(E563))),0,1),1)=1,"Phone; ","")&amp;IF(IFERROR(IF(AND(ISNUMBER(SEARCH("@",F563)),ISNUMBER(SEARCH(".",F563))),0,1),1)=1,"Email; ","")&amp;IF(IFERROR(IF(AND(LEN(J563)=6,ISNUMBER(VALUE(J563))),0,1),1)=1,"Pincode; ","")&amp;IF(IFERROR(IF(ISNUMBER(MATCH(TRIM(I563),Lists!$A$2:$A$20,0)),0,1),1)=1,"State; ","")&amp;IF(IFERROR(IF(AND(LEN(K563)=10,VALUE(LEFT(K563,FIND("/",K563)-1))&gt;=1,VALUE(LEFT(K563,FIND("/",K563)-1))&lt;=31,VALUE(LEFT(MID(K563,FIND("/",K563)+1,10),FIND("/",MID(K563,FIND("/",K563)+1,10))-1))&gt;=1,VALUE(LEFT(MID(K563,FIND("/",K563)+1,10),FIND("/",MID(K563,FIND("/",K563)+1,10))-1))&lt;=12,VALUE(LEFT(K563,FIND("/",K563)-1))&lt;=DAY(EOMONTH(DATE(VALUE(MID(MID(K563,FIND("/",K563)+1,10),FIND("/",MID(K563,FIND("/",K563)+1,10))+1,4)),VALUE(LEFT(MID(K563,FIND("/",K563)+1,10),FIND("/",MID(K563,FIND("/",K563)+1,10))-1)),1),0))),0,1),1)=1,"Date; ","")&amp;IF(IFERROR(IF(M563&gt;=0,0,1),1)=1,"Amount; ","")&amp;IF(IFERROR(IF(ISNUMBER(MATCH(N563,Lists!$B$2:$B$7,0)),0,1),1)=1,"Payment; ","")))</f>
        <v/>
      </c>
      <c r="R563" s="3" t="str">
        <f aca="false">IF(D563="","",IF(COUNTIFS($D$2:$D$701,D563,$E$2:$E$701,E563)&gt;1,"DUPLICATE","Unique"))</f>
        <v/>
      </c>
    </row>
    <row r="564" customFormat="false" ht="15" hidden="false" customHeight="false" outlineLevel="0" collapsed="false">
      <c r="A564" s="3" t="n">
        <v>563</v>
      </c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3" t="n">
        <f aca="false">IFERROR(LEN(C564&amp;D564&amp;E564&amp;F564&amp;G564&amp;H564&amp;I564&amp;J564&amp;K564&amp;L564&amp;M564&amp;N564)/5,0)</f>
        <v>0</v>
      </c>
      <c r="P564" s="3" t="str">
        <f aca="false">IF(OR(D564="",C564=""),"",IF((IFERROR(IF(AND(TRIM(D564)=D564,LEN(D564)&gt;0),0,1),1)+IFERROR(IF(AND(LEN(E564)=10,ISNUMBER(VALUE(E564))),0,1),1)+IFERROR(IF(AND(ISNUMBER(SEARCH("@",F564)),ISNUMBER(SEARCH(".",F564))),0,1),1)+IFERROR(IF(AND(LEN(J564)=6,ISNUMBER(VALUE(J564))),0,1),1)+IFERROR(IF(ISNUMBER(MATCH(TRIM(I564),Lists!$A$2:$A$20,0)),0,1),1)+IFERROR(IF(AND(LEN(K564)=10,VALUE(LEFT(K564,FIND("/",K564)-1))&gt;=1,VALUE(LEFT(K564,FIND("/",K564)-1))&lt;=31,VALUE(LEFT(MID(K564,FIND("/",K564)+1,10),FIND("/",MID(K564,FIND("/",K564)+1,10))-1))&gt;=1,VALUE(LEFT(MID(K564,FIND("/",K564)+1,10),FIND("/",MID(K564,FIND("/",K564)+1,10))-1))&lt;=12,VALUE(LEFT(K564,FIND("/",K564)-1))&lt;=DAY(EOMONTH(DATE(VALUE(MID(MID(K564,FIND("/",K564)+1,10),FIND("/",MID(K564,FIND("/",K564)+1,10))+1,4)),VALUE(LEFT(MID(K564,FIND("/",K564)+1,10),FIND("/",MID(K564,FIND("/",K564)+1,10))-1)),1),0))),0,1),1)+IFERROR(IF(M564&gt;=0,0,1),1)+IFERROR(IF(ISNUMBER(MATCH(N564,Lists!$B$2:$B$7,0)),0,1),1))=0,"OK","ERROR"))</f>
        <v/>
      </c>
      <c r="Q564" s="3" t="str">
        <f aca="false">IF(D564="","",TRIM(IF(IFERROR(IF(AND(TRIM(D564)=D564,LEN(D564)&gt;0),0,1),1)=1,"Name; ","")&amp;IF(IFERROR(IF(AND(LEN(E564)=10,ISNUMBER(VALUE(E564))),0,1),1)=1,"Phone; ","")&amp;IF(IFERROR(IF(AND(ISNUMBER(SEARCH("@",F564)),ISNUMBER(SEARCH(".",F564))),0,1),1)=1,"Email; ","")&amp;IF(IFERROR(IF(AND(LEN(J564)=6,ISNUMBER(VALUE(J564))),0,1),1)=1,"Pincode; ","")&amp;IF(IFERROR(IF(ISNUMBER(MATCH(TRIM(I564),Lists!$A$2:$A$20,0)),0,1),1)=1,"State; ","")&amp;IF(IFERROR(IF(AND(LEN(K564)=10,VALUE(LEFT(K564,FIND("/",K564)-1))&gt;=1,VALUE(LEFT(K564,FIND("/",K564)-1))&lt;=31,VALUE(LEFT(MID(K564,FIND("/",K564)+1,10),FIND("/",MID(K564,FIND("/",K564)+1,10))-1))&gt;=1,VALUE(LEFT(MID(K564,FIND("/",K564)+1,10),FIND("/",MID(K564,FIND("/",K564)+1,10))-1))&lt;=12,VALUE(LEFT(K564,FIND("/",K564)-1))&lt;=DAY(EOMONTH(DATE(VALUE(MID(MID(K564,FIND("/",K564)+1,10),FIND("/",MID(K564,FIND("/",K564)+1,10))+1,4)),VALUE(LEFT(MID(K564,FIND("/",K564)+1,10),FIND("/",MID(K564,FIND("/",K564)+1,10))-1)),1),0))),0,1),1)=1,"Date; ","")&amp;IF(IFERROR(IF(M564&gt;=0,0,1),1)=1,"Amount; ","")&amp;IF(IFERROR(IF(ISNUMBER(MATCH(N564,Lists!$B$2:$B$7,0)),0,1),1)=1,"Payment; ","")))</f>
        <v/>
      </c>
      <c r="R564" s="3" t="str">
        <f aca="false">IF(D564="","",IF(COUNTIFS($D$2:$D$701,D564,$E$2:$E$701,E564)&gt;1,"DUPLICATE","Unique"))</f>
        <v/>
      </c>
    </row>
    <row r="565" customFormat="false" ht="15" hidden="false" customHeight="false" outlineLevel="0" collapsed="false">
      <c r="A565" s="3" t="n">
        <v>564</v>
      </c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3" t="n">
        <f aca="false">IFERROR(LEN(C565&amp;D565&amp;E565&amp;F565&amp;G565&amp;H565&amp;I565&amp;J565&amp;K565&amp;L565&amp;M565&amp;N565)/5,0)</f>
        <v>0</v>
      </c>
      <c r="P565" s="3" t="str">
        <f aca="false">IF(OR(D565="",C565=""),"",IF((IFERROR(IF(AND(TRIM(D565)=D565,LEN(D565)&gt;0),0,1),1)+IFERROR(IF(AND(LEN(E565)=10,ISNUMBER(VALUE(E565))),0,1),1)+IFERROR(IF(AND(ISNUMBER(SEARCH("@",F565)),ISNUMBER(SEARCH(".",F565))),0,1),1)+IFERROR(IF(AND(LEN(J565)=6,ISNUMBER(VALUE(J565))),0,1),1)+IFERROR(IF(ISNUMBER(MATCH(TRIM(I565),Lists!$A$2:$A$20,0)),0,1),1)+IFERROR(IF(AND(LEN(K565)=10,VALUE(LEFT(K565,FIND("/",K565)-1))&gt;=1,VALUE(LEFT(K565,FIND("/",K565)-1))&lt;=31,VALUE(LEFT(MID(K565,FIND("/",K565)+1,10),FIND("/",MID(K565,FIND("/",K565)+1,10))-1))&gt;=1,VALUE(LEFT(MID(K565,FIND("/",K565)+1,10),FIND("/",MID(K565,FIND("/",K565)+1,10))-1))&lt;=12,VALUE(LEFT(K565,FIND("/",K565)-1))&lt;=DAY(EOMONTH(DATE(VALUE(MID(MID(K565,FIND("/",K565)+1,10),FIND("/",MID(K565,FIND("/",K565)+1,10))+1,4)),VALUE(LEFT(MID(K565,FIND("/",K565)+1,10),FIND("/",MID(K565,FIND("/",K565)+1,10))-1)),1),0))),0,1),1)+IFERROR(IF(M565&gt;=0,0,1),1)+IFERROR(IF(ISNUMBER(MATCH(N565,Lists!$B$2:$B$7,0)),0,1),1))=0,"OK","ERROR"))</f>
        <v/>
      </c>
      <c r="Q565" s="3" t="str">
        <f aca="false">IF(D565="","",TRIM(IF(IFERROR(IF(AND(TRIM(D565)=D565,LEN(D565)&gt;0),0,1),1)=1,"Name; ","")&amp;IF(IFERROR(IF(AND(LEN(E565)=10,ISNUMBER(VALUE(E565))),0,1),1)=1,"Phone; ","")&amp;IF(IFERROR(IF(AND(ISNUMBER(SEARCH("@",F565)),ISNUMBER(SEARCH(".",F565))),0,1),1)=1,"Email; ","")&amp;IF(IFERROR(IF(AND(LEN(J565)=6,ISNUMBER(VALUE(J565))),0,1),1)=1,"Pincode; ","")&amp;IF(IFERROR(IF(ISNUMBER(MATCH(TRIM(I565),Lists!$A$2:$A$20,0)),0,1),1)=1,"State; ","")&amp;IF(IFERROR(IF(AND(LEN(K565)=10,VALUE(LEFT(K565,FIND("/",K565)-1))&gt;=1,VALUE(LEFT(K565,FIND("/",K565)-1))&lt;=31,VALUE(LEFT(MID(K565,FIND("/",K565)+1,10),FIND("/",MID(K565,FIND("/",K565)+1,10))-1))&gt;=1,VALUE(LEFT(MID(K565,FIND("/",K565)+1,10),FIND("/",MID(K565,FIND("/",K565)+1,10))-1))&lt;=12,VALUE(LEFT(K565,FIND("/",K565)-1))&lt;=DAY(EOMONTH(DATE(VALUE(MID(MID(K565,FIND("/",K565)+1,10),FIND("/",MID(K565,FIND("/",K565)+1,10))+1,4)),VALUE(LEFT(MID(K565,FIND("/",K565)+1,10),FIND("/",MID(K565,FIND("/",K565)+1,10))-1)),1),0))),0,1),1)=1,"Date; ","")&amp;IF(IFERROR(IF(M565&gt;=0,0,1),1)=1,"Amount; ","")&amp;IF(IFERROR(IF(ISNUMBER(MATCH(N565,Lists!$B$2:$B$7,0)),0,1),1)=1,"Payment; ","")))</f>
        <v/>
      </c>
      <c r="R565" s="3" t="str">
        <f aca="false">IF(D565="","",IF(COUNTIFS($D$2:$D$701,D565,$E$2:$E$701,E565)&gt;1,"DUPLICATE","Unique"))</f>
        <v/>
      </c>
    </row>
    <row r="566" customFormat="false" ht="15" hidden="false" customHeight="false" outlineLevel="0" collapsed="false">
      <c r="A566" s="3" t="n">
        <v>565</v>
      </c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3" t="n">
        <f aca="false">IFERROR(LEN(C566&amp;D566&amp;E566&amp;F566&amp;G566&amp;H566&amp;I566&amp;J566&amp;K566&amp;L566&amp;M566&amp;N566)/5,0)</f>
        <v>0</v>
      </c>
      <c r="P566" s="3" t="str">
        <f aca="false">IF(OR(D566="",C566=""),"",IF((IFERROR(IF(AND(TRIM(D566)=D566,LEN(D566)&gt;0),0,1),1)+IFERROR(IF(AND(LEN(E566)=10,ISNUMBER(VALUE(E566))),0,1),1)+IFERROR(IF(AND(ISNUMBER(SEARCH("@",F566)),ISNUMBER(SEARCH(".",F566))),0,1),1)+IFERROR(IF(AND(LEN(J566)=6,ISNUMBER(VALUE(J566))),0,1),1)+IFERROR(IF(ISNUMBER(MATCH(TRIM(I566),Lists!$A$2:$A$20,0)),0,1),1)+IFERROR(IF(AND(LEN(K566)=10,VALUE(LEFT(K566,FIND("/",K566)-1))&gt;=1,VALUE(LEFT(K566,FIND("/",K566)-1))&lt;=31,VALUE(LEFT(MID(K566,FIND("/",K566)+1,10),FIND("/",MID(K566,FIND("/",K566)+1,10))-1))&gt;=1,VALUE(LEFT(MID(K566,FIND("/",K566)+1,10),FIND("/",MID(K566,FIND("/",K566)+1,10))-1))&lt;=12,VALUE(LEFT(K566,FIND("/",K566)-1))&lt;=DAY(EOMONTH(DATE(VALUE(MID(MID(K566,FIND("/",K566)+1,10),FIND("/",MID(K566,FIND("/",K566)+1,10))+1,4)),VALUE(LEFT(MID(K566,FIND("/",K566)+1,10),FIND("/",MID(K566,FIND("/",K566)+1,10))-1)),1),0))),0,1),1)+IFERROR(IF(M566&gt;=0,0,1),1)+IFERROR(IF(ISNUMBER(MATCH(N566,Lists!$B$2:$B$7,0)),0,1),1))=0,"OK","ERROR"))</f>
        <v/>
      </c>
      <c r="Q566" s="3" t="str">
        <f aca="false">IF(D566="","",TRIM(IF(IFERROR(IF(AND(TRIM(D566)=D566,LEN(D566)&gt;0),0,1),1)=1,"Name; ","")&amp;IF(IFERROR(IF(AND(LEN(E566)=10,ISNUMBER(VALUE(E566))),0,1),1)=1,"Phone; ","")&amp;IF(IFERROR(IF(AND(ISNUMBER(SEARCH("@",F566)),ISNUMBER(SEARCH(".",F566))),0,1),1)=1,"Email; ","")&amp;IF(IFERROR(IF(AND(LEN(J566)=6,ISNUMBER(VALUE(J566))),0,1),1)=1,"Pincode; ","")&amp;IF(IFERROR(IF(ISNUMBER(MATCH(TRIM(I566),Lists!$A$2:$A$20,0)),0,1),1)=1,"State; ","")&amp;IF(IFERROR(IF(AND(LEN(K566)=10,VALUE(LEFT(K566,FIND("/",K566)-1))&gt;=1,VALUE(LEFT(K566,FIND("/",K566)-1))&lt;=31,VALUE(LEFT(MID(K566,FIND("/",K566)+1,10),FIND("/",MID(K566,FIND("/",K566)+1,10))-1))&gt;=1,VALUE(LEFT(MID(K566,FIND("/",K566)+1,10),FIND("/",MID(K566,FIND("/",K566)+1,10))-1))&lt;=12,VALUE(LEFT(K566,FIND("/",K566)-1))&lt;=DAY(EOMONTH(DATE(VALUE(MID(MID(K566,FIND("/",K566)+1,10),FIND("/",MID(K566,FIND("/",K566)+1,10))+1,4)),VALUE(LEFT(MID(K566,FIND("/",K566)+1,10),FIND("/",MID(K566,FIND("/",K566)+1,10))-1)),1),0))),0,1),1)=1,"Date; ","")&amp;IF(IFERROR(IF(M566&gt;=0,0,1),1)=1,"Amount; ","")&amp;IF(IFERROR(IF(ISNUMBER(MATCH(N566,Lists!$B$2:$B$7,0)),0,1),1)=1,"Payment; ","")))</f>
        <v/>
      </c>
      <c r="R566" s="3" t="str">
        <f aca="false">IF(D566="","",IF(COUNTIFS($D$2:$D$701,D566,$E$2:$E$701,E566)&gt;1,"DUPLICATE","Unique"))</f>
        <v/>
      </c>
    </row>
    <row r="567" customFormat="false" ht="15" hidden="false" customHeight="false" outlineLevel="0" collapsed="false">
      <c r="A567" s="3" t="n">
        <v>566</v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3" t="n">
        <f aca="false">IFERROR(LEN(C567&amp;D567&amp;E567&amp;F567&amp;G567&amp;H567&amp;I567&amp;J567&amp;K567&amp;L567&amp;M567&amp;N567)/5,0)</f>
        <v>0</v>
      </c>
      <c r="P567" s="3" t="str">
        <f aca="false">IF(OR(D567="",C567=""),"",IF((IFERROR(IF(AND(TRIM(D567)=D567,LEN(D567)&gt;0),0,1),1)+IFERROR(IF(AND(LEN(E567)=10,ISNUMBER(VALUE(E567))),0,1),1)+IFERROR(IF(AND(ISNUMBER(SEARCH("@",F567)),ISNUMBER(SEARCH(".",F567))),0,1),1)+IFERROR(IF(AND(LEN(J567)=6,ISNUMBER(VALUE(J567))),0,1),1)+IFERROR(IF(ISNUMBER(MATCH(TRIM(I567),Lists!$A$2:$A$20,0)),0,1),1)+IFERROR(IF(AND(LEN(K567)=10,VALUE(LEFT(K567,FIND("/",K567)-1))&gt;=1,VALUE(LEFT(K567,FIND("/",K567)-1))&lt;=31,VALUE(LEFT(MID(K567,FIND("/",K567)+1,10),FIND("/",MID(K567,FIND("/",K567)+1,10))-1))&gt;=1,VALUE(LEFT(MID(K567,FIND("/",K567)+1,10),FIND("/",MID(K567,FIND("/",K567)+1,10))-1))&lt;=12,VALUE(LEFT(K567,FIND("/",K567)-1))&lt;=DAY(EOMONTH(DATE(VALUE(MID(MID(K567,FIND("/",K567)+1,10),FIND("/",MID(K567,FIND("/",K567)+1,10))+1,4)),VALUE(LEFT(MID(K567,FIND("/",K567)+1,10),FIND("/",MID(K567,FIND("/",K567)+1,10))-1)),1),0))),0,1),1)+IFERROR(IF(M567&gt;=0,0,1),1)+IFERROR(IF(ISNUMBER(MATCH(N567,Lists!$B$2:$B$7,0)),0,1),1))=0,"OK","ERROR"))</f>
        <v/>
      </c>
      <c r="Q567" s="3" t="str">
        <f aca="false">IF(D567="","",TRIM(IF(IFERROR(IF(AND(TRIM(D567)=D567,LEN(D567)&gt;0),0,1),1)=1,"Name; ","")&amp;IF(IFERROR(IF(AND(LEN(E567)=10,ISNUMBER(VALUE(E567))),0,1),1)=1,"Phone; ","")&amp;IF(IFERROR(IF(AND(ISNUMBER(SEARCH("@",F567)),ISNUMBER(SEARCH(".",F567))),0,1),1)=1,"Email; ","")&amp;IF(IFERROR(IF(AND(LEN(J567)=6,ISNUMBER(VALUE(J567))),0,1),1)=1,"Pincode; ","")&amp;IF(IFERROR(IF(ISNUMBER(MATCH(TRIM(I567),Lists!$A$2:$A$20,0)),0,1),1)=1,"State; ","")&amp;IF(IFERROR(IF(AND(LEN(K567)=10,VALUE(LEFT(K567,FIND("/",K567)-1))&gt;=1,VALUE(LEFT(K567,FIND("/",K567)-1))&lt;=31,VALUE(LEFT(MID(K567,FIND("/",K567)+1,10),FIND("/",MID(K567,FIND("/",K567)+1,10))-1))&gt;=1,VALUE(LEFT(MID(K567,FIND("/",K567)+1,10),FIND("/",MID(K567,FIND("/",K567)+1,10))-1))&lt;=12,VALUE(LEFT(K567,FIND("/",K567)-1))&lt;=DAY(EOMONTH(DATE(VALUE(MID(MID(K567,FIND("/",K567)+1,10),FIND("/",MID(K567,FIND("/",K567)+1,10))+1,4)),VALUE(LEFT(MID(K567,FIND("/",K567)+1,10),FIND("/",MID(K567,FIND("/",K567)+1,10))-1)),1),0))),0,1),1)=1,"Date; ","")&amp;IF(IFERROR(IF(M567&gt;=0,0,1),1)=1,"Amount; ","")&amp;IF(IFERROR(IF(ISNUMBER(MATCH(N567,Lists!$B$2:$B$7,0)),0,1),1)=1,"Payment; ","")))</f>
        <v/>
      </c>
      <c r="R567" s="3" t="str">
        <f aca="false">IF(D567="","",IF(COUNTIFS($D$2:$D$701,D567,$E$2:$E$701,E567)&gt;1,"DUPLICATE","Unique"))</f>
        <v/>
      </c>
    </row>
    <row r="568" customFormat="false" ht="15" hidden="false" customHeight="false" outlineLevel="0" collapsed="false">
      <c r="A568" s="3" t="n">
        <v>567</v>
      </c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3" t="n">
        <f aca="false">IFERROR(LEN(C568&amp;D568&amp;E568&amp;F568&amp;G568&amp;H568&amp;I568&amp;J568&amp;K568&amp;L568&amp;M568&amp;N568)/5,0)</f>
        <v>0</v>
      </c>
      <c r="P568" s="3" t="str">
        <f aca="false">IF(OR(D568="",C568=""),"",IF((IFERROR(IF(AND(TRIM(D568)=D568,LEN(D568)&gt;0),0,1),1)+IFERROR(IF(AND(LEN(E568)=10,ISNUMBER(VALUE(E568))),0,1),1)+IFERROR(IF(AND(ISNUMBER(SEARCH("@",F568)),ISNUMBER(SEARCH(".",F568))),0,1),1)+IFERROR(IF(AND(LEN(J568)=6,ISNUMBER(VALUE(J568))),0,1),1)+IFERROR(IF(ISNUMBER(MATCH(TRIM(I568),Lists!$A$2:$A$20,0)),0,1),1)+IFERROR(IF(AND(LEN(K568)=10,VALUE(LEFT(K568,FIND("/",K568)-1))&gt;=1,VALUE(LEFT(K568,FIND("/",K568)-1))&lt;=31,VALUE(LEFT(MID(K568,FIND("/",K568)+1,10),FIND("/",MID(K568,FIND("/",K568)+1,10))-1))&gt;=1,VALUE(LEFT(MID(K568,FIND("/",K568)+1,10),FIND("/",MID(K568,FIND("/",K568)+1,10))-1))&lt;=12,VALUE(LEFT(K568,FIND("/",K568)-1))&lt;=DAY(EOMONTH(DATE(VALUE(MID(MID(K568,FIND("/",K568)+1,10),FIND("/",MID(K568,FIND("/",K568)+1,10))+1,4)),VALUE(LEFT(MID(K568,FIND("/",K568)+1,10),FIND("/",MID(K568,FIND("/",K568)+1,10))-1)),1),0))),0,1),1)+IFERROR(IF(M568&gt;=0,0,1),1)+IFERROR(IF(ISNUMBER(MATCH(N568,Lists!$B$2:$B$7,0)),0,1),1))=0,"OK","ERROR"))</f>
        <v/>
      </c>
      <c r="Q568" s="3" t="str">
        <f aca="false">IF(D568="","",TRIM(IF(IFERROR(IF(AND(TRIM(D568)=D568,LEN(D568)&gt;0),0,1),1)=1,"Name; ","")&amp;IF(IFERROR(IF(AND(LEN(E568)=10,ISNUMBER(VALUE(E568))),0,1),1)=1,"Phone; ","")&amp;IF(IFERROR(IF(AND(ISNUMBER(SEARCH("@",F568)),ISNUMBER(SEARCH(".",F568))),0,1),1)=1,"Email; ","")&amp;IF(IFERROR(IF(AND(LEN(J568)=6,ISNUMBER(VALUE(J568))),0,1),1)=1,"Pincode; ","")&amp;IF(IFERROR(IF(ISNUMBER(MATCH(TRIM(I568),Lists!$A$2:$A$20,0)),0,1),1)=1,"State; ","")&amp;IF(IFERROR(IF(AND(LEN(K568)=10,VALUE(LEFT(K568,FIND("/",K568)-1))&gt;=1,VALUE(LEFT(K568,FIND("/",K568)-1))&lt;=31,VALUE(LEFT(MID(K568,FIND("/",K568)+1,10),FIND("/",MID(K568,FIND("/",K568)+1,10))-1))&gt;=1,VALUE(LEFT(MID(K568,FIND("/",K568)+1,10),FIND("/",MID(K568,FIND("/",K568)+1,10))-1))&lt;=12,VALUE(LEFT(K568,FIND("/",K568)-1))&lt;=DAY(EOMONTH(DATE(VALUE(MID(MID(K568,FIND("/",K568)+1,10),FIND("/",MID(K568,FIND("/",K568)+1,10))+1,4)),VALUE(LEFT(MID(K568,FIND("/",K568)+1,10),FIND("/",MID(K568,FIND("/",K568)+1,10))-1)),1),0))),0,1),1)=1,"Date; ","")&amp;IF(IFERROR(IF(M568&gt;=0,0,1),1)=1,"Amount; ","")&amp;IF(IFERROR(IF(ISNUMBER(MATCH(N568,Lists!$B$2:$B$7,0)),0,1),1)=1,"Payment; ","")))</f>
        <v/>
      </c>
      <c r="R568" s="3" t="str">
        <f aca="false">IF(D568="","",IF(COUNTIFS($D$2:$D$701,D568,$E$2:$E$701,E568)&gt;1,"DUPLICATE","Unique"))</f>
        <v/>
      </c>
    </row>
    <row r="569" customFormat="false" ht="15" hidden="false" customHeight="false" outlineLevel="0" collapsed="false">
      <c r="A569" s="3" t="n">
        <v>568</v>
      </c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3" t="n">
        <f aca="false">IFERROR(LEN(C569&amp;D569&amp;E569&amp;F569&amp;G569&amp;H569&amp;I569&amp;J569&amp;K569&amp;L569&amp;M569&amp;N569)/5,0)</f>
        <v>0</v>
      </c>
      <c r="P569" s="3" t="str">
        <f aca="false">IF(OR(D569="",C569=""),"",IF((IFERROR(IF(AND(TRIM(D569)=D569,LEN(D569)&gt;0),0,1),1)+IFERROR(IF(AND(LEN(E569)=10,ISNUMBER(VALUE(E569))),0,1),1)+IFERROR(IF(AND(ISNUMBER(SEARCH("@",F569)),ISNUMBER(SEARCH(".",F569))),0,1),1)+IFERROR(IF(AND(LEN(J569)=6,ISNUMBER(VALUE(J569))),0,1),1)+IFERROR(IF(ISNUMBER(MATCH(TRIM(I569),Lists!$A$2:$A$20,0)),0,1),1)+IFERROR(IF(AND(LEN(K569)=10,VALUE(LEFT(K569,FIND("/",K569)-1))&gt;=1,VALUE(LEFT(K569,FIND("/",K569)-1))&lt;=31,VALUE(LEFT(MID(K569,FIND("/",K569)+1,10),FIND("/",MID(K569,FIND("/",K569)+1,10))-1))&gt;=1,VALUE(LEFT(MID(K569,FIND("/",K569)+1,10),FIND("/",MID(K569,FIND("/",K569)+1,10))-1))&lt;=12,VALUE(LEFT(K569,FIND("/",K569)-1))&lt;=DAY(EOMONTH(DATE(VALUE(MID(MID(K569,FIND("/",K569)+1,10),FIND("/",MID(K569,FIND("/",K569)+1,10))+1,4)),VALUE(LEFT(MID(K569,FIND("/",K569)+1,10),FIND("/",MID(K569,FIND("/",K569)+1,10))-1)),1),0))),0,1),1)+IFERROR(IF(M569&gt;=0,0,1),1)+IFERROR(IF(ISNUMBER(MATCH(N569,Lists!$B$2:$B$7,0)),0,1),1))=0,"OK","ERROR"))</f>
        <v/>
      </c>
      <c r="Q569" s="3" t="str">
        <f aca="false">IF(D569="","",TRIM(IF(IFERROR(IF(AND(TRIM(D569)=D569,LEN(D569)&gt;0),0,1),1)=1,"Name; ","")&amp;IF(IFERROR(IF(AND(LEN(E569)=10,ISNUMBER(VALUE(E569))),0,1),1)=1,"Phone; ","")&amp;IF(IFERROR(IF(AND(ISNUMBER(SEARCH("@",F569)),ISNUMBER(SEARCH(".",F569))),0,1),1)=1,"Email; ","")&amp;IF(IFERROR(IF(AND(LEN(J569)=6,ISNUMBER(VALUE(J569))),0,1),1)=1,"Pincode; ","")&amp;IF(IFERROR(IF(ISNUMBER(MATCH(TRIM(I569),Lists!$A$2:$A$20,0)),0,1),1)=1,"State; ","")&amp;IF(IFERROR(IF(AND(LEN(K569)=10,VALUE(LEFT(K569,FIND("/",K569)-1))&gt;=1,VALUE(LEFT(K569,FIND("/",K569)-1))&lt;=31,VALUE(LEFT(MID(K569,FIND("/",K569)+1,10),FIND("/",MID(K569,FIND("/",K569)+1,10))-1))&gt;=1,VALUE(LEFT(MID(K569,FIND("/",K569)+1,10),FIND("/",MID(K569,FIND("/",K569)+1,10))-1))&lt;=12,VALUE(LEFT(K569,FIND("/",K569)-1))&lt;=DAY(EOMONTH(DATE(VALUE(MID(MID(K569,FIND("/",K569)+1,10),FIND("/",MID(K569,FIND("/",K569)+1,10))+1,4)),VALUE(LEFT(MID(K569,FIND("/",K569)+1,10),FIND("/",MID(K569,FIND("/",K569)+1,10))-1)),1),0))),0,1),1)=1,"Date; ","")&amp;IF(IFERROR(IF(M569&gt;=0,0,1),1)=1,"Amount; ","")&amp;IF(IFERROR(IF(ISNUMBER(MATCH(N569,Lists!$B$2:$B$7,0)),0,1),1)=1,"Payment; ","")))</f>
        <v/>
      </c>
      <c r="R569" s="3" t="str">
        <f aca="false">IF(D569="","",IF(COUNTIFS($D$2:$D$701,D569,$E$2:$E$701,E569)&gt;1,"DUPLICATE","Unique"))</f>
        <v/>
      </c>
    </row>
    <row r="570" customFormat="false" ht="15" hidden="false" customHeight="false" outlineLevel="0" collapsed="false">
      <c r="A570" s="3" t="n">
        <v>569</v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3" t="n">
        <f aca="false">IFERROR(LEN(C570&amp;D570&amp;E570&amp;F570&amp;G570&amp;H570&amp;I570&amp;J570&amp;K570&amp;L570&amp;M570&amp;N570)/5,0)</f>
        <v>0</v>
      </c>
      <c r="P570" s="3" t="str">
        <f aca="false">IF(OR(D570="",C570=""),"",IF((IFERROR(IF(AND(TRIM(D570)=D570,LEN(D570)&gt;0),0,1),1)+IFERROR(IF(AND(LEN(E570)=10,ISNUMBER(VALUE(E570))),0,1),1)+IFERROR(IF(AND(ISNUMBER(SEARCH("@",F570)),ISNUMBER(SEARCH(".",F570))),0,1),1)+IFERROR(IF(AND(LEN(J570)=6,ISNUMBER(VALUE(J570))),0,1),1)+IFERROR(IF(ISNUMBER(MATCH(TRIM(I570),Lists!$A$2:$A$20,0)),0,1),1)+IFERROR(IF(AND(LEN(K570)=10,VALUE(LEFT(K570,FIND("/",K570)-1))&gt;=1,VALUE(LEFT(K570,FIND("/",K570)-1))&lt;=31,VALUE(LEFT(MID(K570,FIND("/",K570)+1,10),FIND("/",MID(K570,FIND("/",K570)+1,10))-1))&gt;=1,VALUE(LEFT(MID(K570,FIND("/",K570)+1,10),FIND("/",MID(K570,FIND("/",K570)+1,10))-1))&lt;=12,VALUE(LEFT(K570,FIND("/",K570)-1))&lt;=DAY(EOMONTH(DATE(VALUE(MID(MID(K570,FIND("/",K570)+1,10),FIND("/",MID(K570,FIND("/",K570)+1,10))+1,4)),VALUE(LEFT(MID(K570,FIND("/",K570)+1,10),FIND("/",MID(K570,FIND("/",K570)+1,10))-1)),1),0))),0,1),1)+IFERROR(IF(M570&gt;=0,0,1),1)+IFERROR(IF(ISNUMBER(MATCH(N570,Lists!$B$2:$B$7,0)),0,1),1))=0,"OK","ERROR"))</f>
        <v/>
      </c>
      <c r="Q570" s="3" t="str">
        <f aca="false">IF(D570="","",TRIM(IF(IFERROR(IF(AND(TRIM(D570)=D570,LEN(D570)&gt;0),0,1),1)=1,"Name; ","")&amp;IF(IFERROR(IF(AND(LEN(E570)=10,ISNUMBER(VALUE(E570))),0,1),1)=1,"Phone; ","")&amp;IF(IFERROR(IF(AND(ISNUMBER(SEARCH("@",F570)),ISNUMBER(SEARCH(".",F570))),0,1),1)=1,"Email; ","")&amp;IF(IFERROR(IF(AND(LEN(J570)=6,ISNUMBER(VALUE(J570))),0,1),1)=1,"Pincode; ","")&amp;IF(IFERROR(IF(ISNUMBER(MATCH(TRIM(I570),Lists!$A$2:$A$20,0)),0,1),1)=1,"State; ","")&amp;IF(IFERROR(IF(AND(LEN(K570)=10,VALUE(LEFT(K570,FIND("/",K570)-1))&gt;=1,VALUE(LEFT(K570,FIND("/",K570)-1))&lt;=31,VALUE(LEFT(MID(K570,FIND("/",K570)+1,10),FIND("/",MID(K570,FIND("/",K570)+1,10))-1))&gt;=1,VALUE(LEFT(MID(K570,FIND("/",K570)+1,10),FIND("/",MID(K570,FIND("/",K570)+1,10))-1))&lt;=12,VALUE(LEFT(K570,FIND("/",K570)-1))&lt;=DAY(EOMONTH(DATE(VALUE(MID(MID(K570,FIND("/",K570)+1,10),FIND("/",MID(K570,FIND("/",K570)+1,10))+1,4)),VALUE(LEFT(MID(K570,FIND("/",K570)+1,10),FIND("/",MID(K570,FIND("/",K570)+1,10))-1)),1),0))),0,1),1)=1,"Date; ","")&amp;IF(IFERROR(IF(M570&gt;=0,0,1),1)=1,"Amount; ","")&amp;IF(IFERROR(IF(ISNUMBER(MATCH(N570,Lists!$B$2:$B$7,0)),0,1),1)=1,"Payment; ","")))</f>
        <v/>
      </c>
      <c r="R570" s="3" t="str">
        <f aca="false">IF(D570="","",IF(COUNTIFS($D$2:$D$701,D570,$E$2:$E$701,E570)&gt;1,"DUPLICATE","Unique"))</f>
        <v/>
      </c>
    </row>
    <row r="571" customFormat="false" ht="15" hidden="false" customHeight="false" outlineLevel="0" collapsed="false">
      <c r="A571" s="3" t="n">
        <v>570</v>
      </c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3" t="n">
        <f aca="false">IFERROR(LEN(C571&amp;D571&amp;E571&amp;F571&amp;G571&amp;H571&amp;I571&amp;J571&amp;K571&amp;L571&amp;M571&amp;N571)/5,0)</f>
        <v>0</v>
      </c>
      <c r="P571" s="3" t="str">
        <f aca="false">IF(OR(D571="",C571=""),"",IF((IFERROR(IF(AND(TRIM(D571)=D571,LEN(D571)&gt;0),0,1),1)+IFERROR(IF(AND(LEN(E571)=10,ISNUMBER(VALUE(E571))),0,1),1)+IFERROR(IF(AND(ISNUMBER(SEARCH("@",F571)),ISNUMBER(SEARCH(".",F571))),0,1),1)+IFERROR(IF(AND(LEN(J571)=6,ISNUMBER(VALUE(J571))),0,1),1)+IFERROR(IF(ISNUMBER(MATCH(TRIM(I571),Lists!$A$2:$A$20,0)),0,1),1)+IFERROR(IF(AND(LEN(K571)=10,VALUE(LEFT(K571,FIND("/",K571)-1))&gt;=1,VALUE(LEFT(K571,FIND("/",K571)-1))&lt;=31,VALUE(LEFT(MID(K571,FIND("/",K571)+1,10),FIND("/",MID(K571,FIND("/",K571)+1,10))-1))&gt;=1,VALUE(LEFT(MID(K571,FIND("/",K571)+1,10),FIND("/",MID(K571,FIND("/",K571)+1,10))-1))&lt;=12,VALUE(LEFT(K571,FIND("/",K571)-1))&lt;=DAY(EOMONTH(DATE(VALUE(MID(MID(K571,FIND("/",K571)+1,10),FIND("/",MID(K571,FIND("/",K571)+1,10))+1,4)),VALUE(LEFT(MID(K571,FIND("/",K571)+1,10),FIND("/",MID(K571,FIND("/",K571)+1,10))-1)),1),0))),0,1),1)+IFERROR(IF(M571&gt;=0,0,1),1)+IFERROR(IF(ISNUMBER(MATCH(N571,Lists!$B$2:$B$7,0)),0,1),1))=0,"OK","ERROR"))</f>
        <v/>
      </c>
      <c r="Q571" s="3" t="str">
        <f aca="false">IF(D571="","",TRIM(IF(IFERROR(IF(AND(TRIM(D571)=D571,LEN(D571)&gt;0),0,1),1)=1,"Name; ","")&amp;IF(IFERROR(IF(AND(LEN(E571)=10,ISNUMBER(VALUE(E571))),0,1),1)=1,"Phone; ","")&amp;IF(IFERROR(IF(AND(ISNUMBER(SEARCH("@",F571)),ISNUMBER(SEARCH(".",F571))),0,1),1)=1,"Email; ","")&amp;IF(IFERROR(IF(AND(LEN(J571)=6,ISNUMBER(VALUE(J571))),0,1),1)=1,"Pincode; ","")&amp;IF(IFERROR(IF(ISNUMBER(MATCH(TRIM(I571),Lists!$A$2:$A$20,0)),0,1),1)=1,"State; ","")&amp;IF(IFERROR(IF(AND(LEN(K571)=10,VALUE(LEFT(K571,FIND("/",K571)-1))&gt;=1,VALUE(LEFT(K571,FIND("/",K571)-1))&lt;=31,VALUE(LEFT(MID(K571,FIND("/",K571)+1,10),FIND("/",MID(K571,FIND("/",K571)+1,10))-1))&gt;=1,VALUE(LEFT(MID(K571,FIND("/",K571)+1,10),FIND("/",MID(K571,FIND("/",K571)+1,10))-1))&lt;=12,VALUE(LEFT(K571,FIND("/",K571)-1))&lt;=DAY(EOMONTH(DATE(VALUE(MID(MID(K571,FIND("/",K571)+1,10),FIND("/",MID(K571,FIND("/",K571)+1,10))+1,4)),VALUE(LEFT(MID(K571,FIND("/",K571)+1,10),FIND("/",MID(K571,FIND("/",K571)+1,10))-1)),1),0))),0,1),1)=1,"Date; ","")&amp;IF(IFERROR(IF(M571&gt;=0,0,1),1)=1,"Amount; ","")&amp;IF(IFERROR(IF(ISNUMBER(MATCH(N571,Lists!$B$2:$B$7,0)),0,1),1)=1,"Payment; ","")))</f>
        <v/>
      </c>
      <c r="R571" s="3" t="str">
        <f aca="false">IF(D571="","",IF(COUNTIFS($D$2:$D$701,D571,$E$2:$E$701,E571)&gt;1,"DUPLICATE","Unique"))</f>
        <v/>
      </c>
    </row>
    <row r="572" customFormat="false" ht="15" hidden="false" customHeight="false" outlineLevel="0" collapsed="false">
      <c r="A572" s="3" t="n">
        <v>571</v>
      </c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3" t="n">
        <f aca="false">IFERROR(LEN(C572&amp;D572&amp;E572&amp;F572&amp;G572&amp;H572&amp;I572&amp;J572&amp;K572&amp;L572&amp;M572&amp;N572)/5,0)</f>
        <v>0</v>
      </c>
      <c r="P572" s="3" t="str">
        <f aca="false">IF(OR(D572="",C572=""),"",IF((IFERROR(IF(AND(TRIM(D572)=D572,LEN(D572)&gt;0),0,1),1)+IFERROR(IF(AND(LEN(E572)=10,ISNUMBER(VALUE(E572))),0,1),1)+IFERROR(IF(AND(ISNUMBER(SEARCH("@",F572)),ISNUMBER(SEARCH(".",F572))),0,1),1)+IFERROR(IF(AND(LEN(J572)=6,ISNUMBER(VALUE(J572))),0,1),1)+IFERROR(IF(ISNUMBER(MATCH(TRIM(I572),Lists!$A$2:$A$20,0)),0,1),1)+IFERROR(IF(AND(LEN(K572)=10,VALUE(LEFT(K572,FIND("/",K572)-1))&gt;=1,VALUE(LEFT(K572,FIND("/",K572)-1))&lt;=31,VALUE(LEFT(MID(K572,FIND("/",K572)+1,10),FIND("/",MID(K572,FIND("/",K572)+1,10))-1))&gt;=1,VALUE(LEFT(MID(K572,FIND("/",K572)+1,10),FIND("/",MID(K572,FIND("/",K572)+1,10))-1))&lt;=12,VALUE(LEFT(K572,FIND("/",K572)-1))&lt;=DAY(EOMONTH(DATE(VALUE(MID(MID(K572,FIND("/",K572)+1,10),FIND("/",MID(K572,FIND("/",K572)+1,10))+1,4)),VALUE(LEFT(MID(K572,FIND("/",K572)+1,10),FIND("/",MID(K572,FIND("/",K572)+1,10))-1)),1),0))),0,1),1)+IFERROR(IF(M572&gt;=0,0,1),1)+IFERROR(IF(ISNUMBER(MATCH(N572,Lists!$B$2:$B$7,0)),0,1),1))=0,"OK","ERROR"))</f>
        <v/>
      </c>
      <c r="Q572" s="3" t="str">
        <f aca="false">IF(D572="","",TRIM(IF(IFERROR(IF(AND(TRIM(D572)=D572,LEN(D572)&gt;0),0,1),1)=1,"Name; ","")&amp;IF(IFERROR(IF(AND(LEN(E572)=10,ISNUMBER(VALUE(E572))),0,1),1)=1,"Phone; ","")&amp;IF(IFERROR(IF(AND(ISNUMBER(SEARCH("@",F572)),ISNUMBER(SEARCH(".",F572))),0,1),1)=1,"Email; ","")&amp;IF(IFERROR(IF(AND(LEN(J572)=6,ISNUMBER(VALUE(J572))),0,1),1)=1,"Pincode; ","")&amp;IF(IFERROR(IF(ISNUMBER(MATCH(TRIM(I572),Lists!$A$2:$A$20,0)),0,1),1)=1,"State; ","")&amp;IF(IFERROR(IF(AND(LEN(K572)=10,VALUE(LEFT(K572,FIND("/",K572)-1))&gt;=1,VALUE(LEFT(K572,FIND("/",K572)-1))&lt;=31,VALUE(LEFT(MID(K572,FIND("/",K572)+1,10),FIND("/",MID(K572,FIND("/",K572)+1,10))-1))&gt;=1,VALUE(LEFT(MID(K572,FIND("/",K572)+1,10),FIND("/",MID(K572,FIND("/",K572)+1,10))-1))&lt;=12,VALUE(LEFT(K572,FIND("/",K572)-1))&lt;=DAY(EOMONTH(DATE(VALUE(MID(MID(K572,FIND("/",K572)+1,10),FIND("/",MID(K572,FIND("/",K572)+1,10))+1,4)),VALUE(LEFT(MID(K572,FIND("/",K572)+1,10),FIND("/",MID(K572,FIND("/",K572)+1,10))-1)),1),0))),0,1),1)=1,"Date; ","")&amp;IF(IFERROR(IF(M572&gt;=0,0,1),1)=1,"Amount; ","")&amp;IF(IFERROR(IF(ISNUMBER(MATCH(N572,Lists!$B$2:$B$7,0)),0,1),1)=1,"Payment; ","")))</f>
        <v/>
      </c>
      <c r="R572" s="3" t="str">
        <f aca="false">IF(D572="","",IF(COUNTIFS($D$2:$D$701,D572,$E$2:$E$701,E572)&gt;1,"DUPLICATE","Unique"))</f>
        <v/>
      </c>
    </row>
    <row r="573" customFormat="false" ht="15" hidden="false" customHeight="false" outlineLevel="0" collapsed="false">
      <c r="A573" s="3" t="n">
        <v>572</v>
      </c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3" t="n">
        <f aca="false">IFERROR(LEN(C573&amp;D573&amp;E573&amp;F573&amp;G573&amp;H573&amp;I573&amp;J573&amp;K573&amp;L573&amp;M573&amp;N573)/5,0)</f>
        <v>0</v>
      </c>
      <c r="P573" s="3" t="str">
        <f aca="false">IF(OR(D573="",C573=""),"",IF((IFERROR(IF(AND(TRIM(D573)=D573,LEN(D573)&gt;0),0,1),1)+IFERROR(IF(AND(LEN(E573)=10,ISNUMBER(VALUE(E573))),0,1),1)+IFERROR(IF(AND(ISNUMBER(SEARCH("@",F573)),ISNUMBER(SEARCH(".",F573))),0,1),1)+IFERROR(IF(AND(LEN(J573)=6,ISNUMBER(VALUE(J573))),0,1),1)+IFERROR(IF(ISNUMBER(MATCH(TRIM(I573),Lists!$A$2:$A$20,0)),0,1),1)+IFERROR(IF(AND(LEN(K573)=10,VALUE(LEFT(K573,FIND("/",K573)-1))&gt;=1,VALUE(LEFT(K573,FIND("/",K573)-1))&lt;=31,VALUE(LEFT(MID(K573,FIND("/",K573)+1,10),FIND("/",MID(K573,FIND("/",K573)+1,10))-1))&gt;=1,VALUE(LEFT(MID(K573,FIND("/",K573)+1,10),FIND("/",MID(K573,FIND("/",K573)+1,10))-1))&lt;=12,VALUE(LEFT(K573,FIND("/",K573)-1))&lt;=DAY(EOMONTH(DATE(VALUE(MID(MID(K573,FIND("/",K573)+1,10),FIND("/",MID(K573,FIND("/",K573)+1,10))+1,4)),VALUE(LEFT(MID(K573,FIND("/",K573)+1,10),FIND("/",MID(K573,FIND("/",K573)+1,10))-1)),1),0))),0,1),1)+IFERROR(IF(M573&gt;=0,0,1),1)+IFERROR(IF(ISNUMBER(MATCH(N573,Lists!$B$2:$B$7,0)),0,1),1))=0,"OK","ERROR"))</f>
        <v/>
      </c>
      <c r="Q573" s="3" t="str">
        <f aca="false">IF(D573="","",TRIM(IF(IFERROR(IF(AND(TRIM(D573)=D573,LEN(D573)&gt;0),0,1),1)=1,"Name; ","")&amp;IF(IFERROR(IF(AND(LEN(E573)=10,ISNUMBER(VALUE(E573))),0,1),1)=1,"Phone; ","")&amp;IF(IFERROR(IF(AND(ISNUMBER(SEARCH("@",F573)),ISNUMBER(SEARCH(".",F573))),0,1),1)=1,"Email; ","")&amp;IF(IFERROR(IF(AND(LEN(J573)=6,ISNUMBER(VALUE(J573))),0,1),1)=1,"Pincode; ","")&amp;IF(IFERROR(IF(ISNUMBER(MATCH(TRIM(I573),Lists!$A$2:$A$20,0)),0,1),1)=1,"State; ","")&amp;IF(IFERROR(IF(AND(LEN(K573)=10,VALUE(LEFT(K573,FIND("/",K573)-1))&gt;=1,VALUE(LEFT(K573,FIND("/",K573)-1))&lt;=31,VALUE(LEFT(MID(K573,FIND("/",K573)+1,10),FIND("/",MID(K573,FIND("/",K573)+1,10))-1))&gt;=1,VALUE(LEFT(MID(K573,FIND("/",K573)+1,10),FIND("/",MID(K573,FIND("/",K573)+1,10))-1))&lt;=12,VALUE(LEFT(K573,FIND("/",K573)-1))&lt;=DAY(EOMONTH(DATE(VALUE(MID(MID(K573,FIND("/",K573)+1,10),FIND("/",MID(K573,FIND("/",K573)+1,10))+1,4)),VALUE(LEFT(MID(K573,FIND("/",K573)+1,10),FIND("/",MID(K573,FIND("/",K573)+1,10))-1)),1),0))),0,1),1)=1,"Date; ","")&amp;IF(IFERROR(IF(M573&gt;=0,0,1),1)=1,"Amount; ","")&amp;IF(IFERROR(IF(ISNUMBER(MATCH(N573,Lists!$B$2:$B$7,0)),0,1),1)=1,"Payment; ","")))</f>
        <v/>
      </c>
      <c r="R573" s="3" t="str">
        <f aca="false">IF(D573="","",IF(COUNTIFS($D$2:$D$701,D573,$E$2:$E$701,E573)&gt;1,"DUPLICATE","Unique"))</f>
        <v/>
      </c>
    </row>
    <row r="574" customFormat="false" ht="15" hidden="false" customHeight="false" outlineLevel="0" collapsed="false">
      <c r="A574" s="3" t="n">
        <v>573</v>
      </c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3" t="n">
        <f aca="false">IFERROR(LEN(C574&amp;D574&amp;E574&amp;F574&amp;G574&amp;H574&amp;I574&amp;J574&amp;K574&amp;L574&amp;M574&amp;N574)/5,0)</f>
        <v>0</v>
      </c>
      <c r="P574" s="3" t="str">
        <f aca="false">IF(OR(D574="",C574=""),"",IF((IFERROR(IF(AND(TRIM(D574)=D574,LEN(D574)&gt;0),0,1),1)+IFERROR(IF(AND(LEN(E574)=10,ISNUMBER(VALUE(E574))),0,1),1)+IFERROR(IF(AND(ISNUMBER(SEARCH("@",F574)),ISNUMBER(SEARCH(".",F574))),0,1),1)+IFERROR(IF(AND(LEN(J574)=6,ISNUMBER(VALUE(J574))),0,1),1)+IFERROR(IF(ISNUMBER(MATCH(TRIM(I574),Lists!$A$2:$A$20,0)),0,1),1)+IFERROR(IF(AND(LEN(K574)=10,VALUE(LEFT(K574,FIND("/",K574)-1))&gt;=1,VALUE(LEFT(K574,FIND("/",K574)-1))&lt;=31,VALUE(LEFT(MID(K574,FIND("/",K574)+1,10),FIND("/",MID(K574,FIND("/",K574)+1,10))-1))&gt;=1,VALUE(LEFT(MID(K574,FIND("/",K574)+1,10),FIND("/",MID(K574,FIND("/",K574)+1,10))-1))&lt;=12,VALUE(LEFT(K574,FIND("/",K574)-1))&lt;=DAY(EOMONTH(DATE(VALUE(MID(MID(K574,FIND("/",K574)+1,10),FIND("/",MID(K574,FIND("/",K574)+1,10))+1,4)),VALUE(LEFT(MID(K574,FIND("/",K574)+1,10),FIND("/",MID(K574,FIND("/",K574)+1,10))-1)),1),0))),0,1),1)+IFERROR(IF(M574&gt;=0,0,1),1)+IFERROR(IF(ISNUMBER(MATCH(N574,Lists!$B$2:$B$7,0)),0,1),1))=0,"OK","ERROR"))</f>
        <v/>
      </c>
      <c r="Q574" s="3" t="str">
        <f aca="false">IF(D574="","",TRIM(IF(IFERROR(IF(AND(TRIM(D574)=D574,LEN(D574)&gt;0),0,1),1)=1,"Name; ","")&amp;IF(IFERROR(IF(AND(LEN(E574)=10,ISNUMBER(VALUE(E574))),0,1),1)=1,"Phone; ","")&amp;IF(IFERROR(IF(AND(ISNUMBER(SEARCH("@",F574)),ISNUMBER(SEARCH(".",F574))),0,1),1)=1,"Email; ","")&amp;IF(IFERROR(IF(AND(LEN(J574)=6,ISNUMBER(VALUE(J574))),0,1),1)=1,"Pincode; ","")&amp;IF(IFERROR(IF(ISNUMBER(MATCH(TRIM(I574),Lists!$A$2:$A$20,0)),0,1),1)=1,"State; ","")&amp;IF(IFERROR(IF(AND(LEN(K574)=10,VALUE(LEFT(K574,FIND("/",K574)-1))&gt;=1,VALUE(LEFT(K574,FIND("/",K574)-1))&lt;=31,VALUE(LEFT(MID(K574,FIND("/",K574)+1,10),FIND("/",MID(K574,FIND("/",K574)+1,10))-1))&gt;=1,VALUE(LEFT(MID(K574,FIND("/",K574)+1,10),FIND("/",MID(K574,FIND("/",K574)+1,10))-1))&lt;=12,VALUE(LEFT(K574,FIND("/",K574)-1))&lt;=DAY(EOMONTH(DATE(VALUE(MID(MID(K574,FIND("/",K574)+1,10),FIND("/",MID(K574,FIND("/",K574)+1,10))+1,4)),VALUE(LEFT(MID(K574,FIND("/",K574)+1,10),FIND("/",MID(K574,FIND("/",K574)+1,10))-1)),1),0))),0,1),1)=1,"Date; ","")&amp;IF(IFERROR(IF(M574&gt;=0,0,1),1)=1,"Amount; ","")&amp;IF(IFERROR(IF(ISNUMBER(MATCH(N574,Lists!$B$2:$B$7,0)),0,1),1)=1,"Payment; ","")))</f>
        <v/>
      </c>
      <c r="R574" s="3" t="str">
        <f aca="false">IF(D574="","",IF(COUNTIFS($D$2:$D$701,D574,$E$2:$E$701,E574)&gt;1,"DUPLICATE","Unique"))</f>
        <v/>
      </c>
    </row>
    <row r="575" customFormat="false" ht="15" hidden="false" customHeight="false" outlineLevel="0" collapsed="false">
      <c r="A575" s="3" t="n">
        <v>574</v>
      </c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3" t="n">
        <f aca="false">IFERROR(LEN(C575&amp;D575&amp;E575&amp;F575&amp;G575&amp;H575&amp;I575&amp;J575&amp;K575&amp;L575&amp;M575&amp;N575)/5,0)</f>
        <v>0</v>
      </c>
      <c r="P575" s="3" t="str">
        <f aca="false">IF(OR(D575="",C575=""),"",IF((IFERROR(IF(AND(TRIM(D575)=D575,LEN(D575)&gt;0),0,1),1)+IFERROR(IF(AND(LEN(E575)=10,ISNUMBER(VALUE(E575))),0,1),1)+IFERROR(IF(AND(ISNUMBER(SEARCH("@",F575)),ISNUMBER(SEARCH(".",F575))),0,1),1)+IFERROR(IF(AND(LEN(J575)=6,ISNUMBER(VALUE(J575))),0,1),1)+IFERROR(IF(ISNUMBER(MATCH(TRIM(I575),Lists!$A$2:$A$20,0)),0,1),1)+IFERROR(IF(AND(LEN(K575)=10,VALUE(LEFT(K575,FIND("/",K575)-1))&gt;=1,VALUE(LEFT(K575,FIND("/",K575)-1))&lt;=31,VALUE(LEFT(MID(K575,FIND("/",K575)+1,10),FIND("/",MID(K575,FIND("/",K575)+1,10))-1))&gt;=1,VALUE(LEFT(MID(K575,FIND("/",K575)+1,10),FIND("/",MID(K575,FIND("/",K575)+1,10))-1))&lt;=12,VALUE(LEFT(K575,FIND("/",K575)-1))&lt;=DAY(EOMONTH(DATE(VALUE(MID(MID(K575,FIND("/",K575)+1,10),FIND("/",MID(K575,FIND("/",K575)+1,10))+1,4)),VALUE(LEFT(MID(K575,FIND("/",K575)+1,10),FIND("/",MID(K575,FIND("/",K575)+1,10))-1)),1),0))),0,1),1)+IFERROR(IF(M575&gt;=0,0,1),1)+IFERROR(IF(ISNUMBER(MATCH(N575,Lists!$B$2:$B$7,0)),0,1),1))=0,"OK","ERROR"))</f>
        <v/>
      </c>
      <c r="Q575" s="3" t="str">
        <f aca="false">IF(D575="","",TRIM(IF(IFERROR(IF(AND(TRIM(D575)=D575,LEN(D575)&gt;0),0,1),1)=1,"Name; ","")&amp;IF(IFERROR(IF(AND(LEN(E575)=10,ISNUMBER(VALUE(E575))),0,1),1)=1,"Phone; ","")&amp;IF(IFERROR(IF(AND(ISNUMBER(SEARCH("@",F575)),ISNUMBER(SEARCH(".",F575))),0,1),1)=1,"Email; ","")&amp;IF(IFERROR(IF(AND(LEN(J575)=6,ISNUMBER(VALUE(J575))),0,1),1)=1,"Pincode; ","")&amp;IF(IFERROR(IF(ISNUMBER(MATCH(TRIM(I575),Lists!$A$2:$A$20,0)),0,1),1)=1,"State; ","")&amp;IF(IFERROR(IF(AND(LEN(K575)=10,VALUE(LEFT(K575,FIND("/",K575)-1))&gt;=1,VALUE(LEFT(K575,FIND("/",K575)-1))&lt;=31,VALUE(LEFT(MID(K575,FIND("/",K575)+1,10),FIND("/",MID(K575,FIND("/",K575)+1,10))-1))&gt;=1,VALUE(LEFT(MID(K575,FIND("/",K575)+1,10),FIND("/",MID(K575,FIND("/",K575)+1,10))-1))&lt;=12,VALUE(LEFT(K575,FIND("/",K575)-1))&lt;=DAY(EOMONTH(DATE(VALUE(MID(MID(K575,FIND("/",K575)+1,10),FIND("/",MID(K575,FIND("/",K575)+1,10))+1,4)),VALUE(LEFT(MID(K575,FIND("/",K575)+1,10),FIND("/",MID(K575,FIND("/",K575)+1,10))-1)),1),0))),0,1),1)=1,"Date; ","")&amp;IF(IFERROR(IF(M575&gt;=0,0,1),1)=1,"Amount; ","")&amp;IF(IFERROR(IF(ISNUMBER(MATCH(N575,Lists!$B$2:$B$7,0)),0,1),1)=1,"Payment; ","")))</f>
        <v/>
      </c>
      <c r="R575" s="3" t="str">
        <f aca="false">IF(D575="","",IF(COUNTIFS($D$2:$D$701,D575,$E$2:$E$701,E575)&gt;1,"DUPLICATE","Unique"))</f>
        <v/>
      </c>
    </row>
    <row r="576" customFormat="false" ht="15" hidden="false" customHeight="false" outlineLevel="0" collapsed="false">
      <c r="A576" s="3" t="n">
        <v>575</v>
      </c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3" t="n">
        <f aca="false">IFERROR(LEN(C576&amp;D576&amp;E576&amp;F576&amp;G576&amp;H576&amp;I576&amp;J576&amp;K576&amp;L576&amp;M576&amp;N576)/5,0)</f>
        <v>0</v>
      </c>
      <c r="P576" s="3" t="str">
        <f aca="false">IF(OR(D576="",C576=""),"",IF((IFERROR(IF(AND(TRIM(D576)=D576,LEN(D576)&gt;0),0,1),1)+IFERROR(IF(AND(LEN(E576)=10,ISNUMBER(VALUE(E576))),0,1),1)+IFERROR(IF(AND(ISNUMBER(SEARCH("@",F576)),ISNUMBER(SEARCH(".",F576))),0,1),1)+IFERROR(IF(AND(LEN(J576)=6,ISNUMBER(VALUE(J576))),0,1),1)+IFERROR(IF(ISNUMBER(MATCH(TRIM(I576),Lists!$A$2:$A$20,0)),0,1),1)+IFERROR(IF(AND(LEN(K576)=10,VALUE(LEFT(K576,FIND("/",K576)-1))&gt;=1,VALUE(LEFT(K576,FIND("/",K576)-1))&lt;=31,VALUE(LEFT(MID(K576,FIND("/",K576)+1,10),FIND("/",MID(K576,FIND("/",K576)+1,10))-1))&gt;=1,VALUE(LEFT(MID(K576,FIND("/",K576)+1,10),FIND("/",MID(K576,FIND("/",K576)+1,10))-1))&lt;=12,VALUE(LEFT(K576,FIND("/",K576)-1))&lt;=DAY(EOMONTH(DATE(VALUE(MID(MID(K576,FIND("/",K576)+1,10),FIND("/",MID(K576,FIND("/",K576)+1,10))+1,4)),VALUE(LEFT(MID(K576,FIND("/",K576)+1,10),FIND("/",MID(K576,FIND("/",K576)+1,10))-1)),1),0))),0,1),1)+IFERROR(IF(M576&gt;=0,0,1),1)+IFERROR(IF(ISNUMBER(MATCH(N576,Lists!$B$2:$B$7,0)),0,1),1))=0,"OK","ERROR"))</f>
        <v/>
      </c>
      <c r="Q576" s="3" t="str">
        <f aca="false">IF(D576="","",TRIM(IF(IFERROR(IF(AND(TRIM(D576)=D576,LEN(D576)&gt;0),0,1),1)=1,"Name; ","")&amp;IF(IFERROR(IF(AND(LEN(E576)=10,ISNUMBER(VALUE(E576))),0,1),1)=1,"Phone; ","")&amp;IF(IFERROR(IF(AND(ISNUMBER(SEARCH("@",F576)),ISNUMBER(SEARCH(".",F576))),0,1),1)=1,"Email; ","")&amp;IF(IFERROR(IF(AND(LEN(J576)=6,ISNUMBER(VALUE(J576))),0,1),1)=1,"Pincode; ","")&amp;IF(IFERROR(IF(ISNUMBER(MATCH(TRIM(I576),Lists!$A$2:$A$20,0)),0,1),1)=1,"State; ","")&amp;IF(IFERROR(IF(AND(LEN(K576)=10,VALUE(LEFT(K576,FIND("/",K576)-1))&gt;=1,VALUE(LEFT(K576,FIND("/",K576)-1))&lt;=31,VALUE(LEFT(MID(K576,FIND("/",K576)+1,10),FIND("/",MID(K576,FIND("/",K576)+1,10))-1))&gt;=1,VALUE(LEFT(MID(K576,FIND("/",K576)+1,10),FIND("/",MID(K576,FIND("/",K576)+1,10))-1))&lt;=12,VALUE(LEFT(K576,FIND("/",K576)-1))&lt;=DAY(EOMONTH(DATE(VALUE(MID(MID(K576,FIND("/",K576)+1,10),FIND("/",MID(K576,FIND("/",K576)+1,10))+1,4)),VALUE(LEFT(MID(K576,FIND("/",K576)+1,10),FIND("/",MID(K576,FIND("/",K576)+1,10))-1)),1),0))),0,1),1)=1,"Date; ","")&amp;IF(IFERROR(IF(M576&gt;=0,0,1),1)=1,"Amount; ","")&amp;IF(IFERROR(IF(ISNUMBER(MATCH(N576,Lists!$B$2:$B$7,0)),0,1),1)=1,"Payment; ","")))</f>
        <v/>
      </c>
      <c r="R576" s="3" t="str">
        <f aca="false">IF(D576="","",IF(COUNTIFS($D$2:$D$701,D576,$E$2:$E$701,E576)&gt;1,"DUPLICATE","Unique"))</f>
        <v/>
      </c>
    </row>
    <row r="577" customFormat="false" ht="15" hidden="false" customHeight="false" outlineLevel="0" collapsed="false">
      <c r="A577" s="3" t="n">
        <v>576</v>
      </c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3" t="n">
        <f aca="false">IFERROR(LEN(C577&amp;D577&amp;E577&amp;F577&amp;G577&amp;H577&amp;I577&amp;J577&amp;K577&amp;L577&amp;M577&amp;N577)/5,0)</f>
        <v>0</v>
      </c>
      <c r="P577" s="3" t="str">
        <f aca="false">IF(OR(D577="",C577=""),"",IF((IFERROR(IF(AND(TRIM(D577)=D577,LEN(D577)&gt;0),0,1),1)+IFERROR(IF(AND(LEN(E577)=10,ISNUMBER(VALUE(E577))),0,1),1)+IFERROR(IF(AND(ISNUMBER(SEARCH("@",F577)),ISNUMBER(SEARCH(".",F577))),0,1),1)+IFERROR(IF(AND(LEN(J577)=6,ISNUMBER(VALUE(J577))),0,1),1)+IFERROR(IF(ISNUMBER(MATCH(TRIM(I577),Lists!$A$2:$A$20,0)),0,1),1)+IFERROR(IF(AND(LEN(K577)=10,VALUE(LEFT(K577,FIND("/",K577)-1))&gt;=1,VALUE(LEFT(K577,FIND("/",K577)-1))&lt;=31,VALUE(LEFT(MID(K577,FIND("/",K577)+1,10),FIND("/",MID(K577,FIND("/",K577)+1,10))-1))&gt;=1,VALUE(LEFT(MID(K577,FIND("/",K577)+1,10),FIND("/",MID(K577,FIND("/",K577)+1,10))-1))&lt;=12,VALUE(LEFT(K577,FIND("/",K577)-1))&lt;=DAY(EOMONTH(DATE(VALUE(MID(MID(K577,FIND("/",K577)+1,10),FIND("/",MID(K577,FIND("/",K577)+1,10))+1,4)),VALUE(LEFT(MID(K577,FIND("/",K577)+1,10),FIND("/",MID(K577,FIND("/",K577)+1,10))-1)),1),0))),0,1),1)+IFERROR(IF(M577&gt;=0,0,1),1)+IFERROR(IF(ISNUMBER(MATCH(N577,Lists!$B$2:$B$7,0)),0,1),1))=0,"OK","ERROR"))</f>
        <v/>
      </c>
      <c r="Q577" s="3" t="str">
        <f aca="false">IF(D577="","",TRIM(IF(IFERROR(IF(AND(TRIM(D577)=D577,LEN(D577)&gt;0),0,1),1)=1,"Name; ","")&amp;IF(IFERROR(IF(AND(LEN(E577)=10,ISNUMBER(VALUE(E577))),0,1),1)=1,"Phone; ","")&amp;IF(IFERROR(IF(AND(ISNUMBER(SEARCH("@",F577)),ISNUMBER(SEARCH(".",F577))),0,1),1)=1,"Email; ","")&amp;IF(IFERROR(IF(AND(LEN(J577)=6,ISNUMBER(VALUE(J577))),0,1),1)=1,"Pincode; ","")&amp;IF(IFERROR(IF(ISNUMBER(MATCH(TRIM(I577),Lists!$A$2:$A$20,0)),0,1),1)=1,"State; ","")&amp;IF(IFERROR(IF(AND(LEN(K577)=10,VALUE(LEFT(K577,FIND("/",K577)-1))&gt;=1,VALUE(LEFT(K577,FIND("/",K577)-1))&lt;=31,VALUE(LEFT(MID(K577,FIND("/",K577)+1,10),FIND("/",MID(K577,FIND("/",K577)+1,10))-1))&gt;=1,VALUE(LEFT(MID(K577,FIND("/",K577)+1,10),FIND("/",MID(K577,FIND("/",K577)+1,10))-1))&lt;=12,VALUE(LEFT(K577,FIND("/",K577)-1))&lt;=DAY(EOMONTH(DATE(VALUE(MID(MID(K577,FIND("/",K577)+1,10),FIND("/",MID(K577,FIND("/",K577)+1,10))+1,4)),VALUE(LEFT(MID(K577,FIND("/",K577)+1,10),FIND("/",MID(K577,FIND("/",K577)+1,10))-1)),1),0))),0,1),1)=1,"Date; ","")&amp;IF(IFERROR(IF(M577&gt;=0,0,1),1)=1,"Amount; ","")&amp;IF(IFERROR(IF(ISNUMBER(MATCH(N577,Lists!$B$2:$B$7,0)),0,1),1)=1,"Payment; ","")))</f>
        <v/>
      </c>
      <c r="R577" s="3" t="str">
        <f aca="false">IF(D577="","",IF(COUNTIFS($D$2:$D$701,D577,$E$2:$E$701,E577)&gt;1,"DUPLICATE","Unique"))</f>
        <v/>
      </c>
    </row>
    <row r="578" customFormat="false" ht="15" hidden="false" customHeight="false" outlineLevel="0" collapsed="false">
      <c r="A578" s="3" t="n">
        <v>577</v>
      </c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3" t="n">
        <f aca="false">IFERROR(LEN(C578&amp;D578&amp;E578&amp;F578&amp;G578&amp;H578&amp;I578&amp;J578&amp;K578&amp;L578&amp;M578&amp;N578)/5,0)</f>
        <v>0</v>
      </c>
      <c r="P578" s="3" t="str">
        <f aca="false">IF(OR(D578="",C578=""),"",IF((IFERROR(IF(AND(TRIM(D578)=D578,LEN(D578)&gt;0),0,1),1)+IFERROR(IF(AND(LEN(E578)=10,ISNUMBER(VALUE(E578))),0,1),1)+IFERROR(IF(AND(ISNUMBER(SEARCH("@",F578)),ISNUMBER(SEARCH(".",F578))),0,1),1)+IFERROR(IF(AND(LEN(J578)=6,ISNUMBER(VALUE(J578))),0,1),1)+IFERROR(IF(ISNUMBER(MATCH(TRIM(I578),Lists!$A$2:$A$20,0)),0,1),1)+IFERROR(IF(AND(LEN(K578)=10,VALUE(LEFT(K578,FIND("/",K578)-1))&gt;=1,VALUE(LEFT(K578,FIND("/",K578)-1))&lt;=31,VALUE(LEFT(MID(K578,FIND("/",K578)+1,10),FIND("/",MID(K578,FIND("/",K578)+1,10))-1))&gt;=1,VALUE(LEFT(MID(K578,FIND("/",K578)+1,10),FIND("/",MID(K578,FIND("/",K578)+1,10))-1))&lt;=12,VALUE(LEFT(K578,FIND("/",K578)-1))&lt;=DAY(EOMONTH(DATE(VALUE(MID(MID(K578,FIND("/",K578)+1,10),FIND("/",MID(K578,FIND("/",K578)+1,10))+1,4)),VALUE(LEFT(MID(K578,FIND("/",K578)+1,10),FIND("/",MID(K578,FIND("/",K578)+1,10))-1)),1),0))),0,1),1)+IFERROR(IF(M578&gt;=0,0,1),1)+IFERROR(IF(ISNUMBER(MATCH(N578,Lists!$B$2:$B$7,0)),0,1),1))=0,"OK","ERROR"))</f>
        <v/>
      </c>
      <c r="Q578" s="3" t="str">
        <f aca="false">IF(D578="","",TRIM(IF(IFERROR(IF(AND(TRIM(D578)=D578,LEN(D578)&gt;0),0,1),1)=1,"Name; ","")&amp;IF(IFERROR(IF(AND(LEN(E578)=10,ISNUMBER(VALUE(E578))),0,1),1)=1,"Phone; ","")&amp;IF(IFERROR(IF(AND(ISNUMBER(SEARCH("@",F578)),ISNUMBER(SEARCH(".",F578))),0,1),1)=1,"Email; ","")&amp;IF(IFERROR(IF(AND(LEN(J578)=6,ISNUMBER(VALUE(J578))),0,1),1)=1,"Pincode; ","")&amp;IF(IFERROR(IF(ISNUMBER(MATCH(TRIM(I578),Lists!$A$2:$A$20,0)),0,1),1)=1,"State; ","")&amp;IF(IFERROR(IF(AND(LEN(K578)=10,VALUE(LEFT(K578,FIND("/",K578)-1))&gt;=1,VALUE(LEFT(K578,FIND("/",K578)-1))&lt;=31,VALUE(LEFT(MID(K578,FIND("/",K578)+1,10),FIND("/",MID(K578,FIND("/",K578)+1,10))-1))&gt;=1,VALUE(LEFT(MID(K578,FIND("/",K578)+1,10),FIND("/",MID(K578,FIND("/",K578)+1,10))-1))&lt;=12,VALUE(LEFT(K578,FIND("/",K578)-1))&lt;=DAY(EOMONTH(DATE(VALUE(MID(MID(K578,FIND("/",K578)+1,10),FIND("/",MID(K578,FIND("/",K578)+1,10))+1,4)),VALUE(LEFT(MID(K578,FIND("/",K578)+1,10),FIND("/",MID(K578,FIND("/",K578)+1,10))-1)),1),0))),0,1),1)=1,"Date; ","")&amp;IF(IFERROR(IF(M578&gt;=0,0,1),1)=1,"Amount; ","")&amp;IF(IFERROR(IF(ISNUMBER(MATCH(N578,Lists!$B$2:$B$7,0)),0,1),1)=1,"Payment; ","")))</f>
        <v/>
      </c>
      <c r="R578" s="3" t="str">
        <f aca="false">IF(D578="","",IF(COUNTIFS($D$2:$D$701,D578,$E$2:$E$701,E578)&gt;1,"DUPLICATE","Unique"))</f>
        <v/>
      </c>
    </row>
    <row r="579" customFormat="false" ht="15" hidden="false" customHeight="false" outlineLevel="0" collapsed="false">
      <c r="A579" s="3" t="n">
        <v>578</v>
      </c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3" t="n">
        <f aca="false">IFERROR(LEN(C579&amp;D579&amp;E579&amp;F579&amp;G579&amp;H579&amp;I579&amp;J579&amp;K579&amp;L579&amp;M579&amp;N579)/5,0)</f>
        <v>0</v>
      </c>
      <c r="P579" s="3" t="str">
        <f aca="false">IF(OR(D579="",C579=""),"",IF((IFERROR(IF(AND(TRIM(D579)=D579,LEN(D579)&gt;0),0,1),1)+IFERROR(IF(AND(LEN(E579)=10,ISNUMBER(VALUE(E579))),0,1),1)+IFERROR(IF(AND(ISNUMBER(SEARCH("@",F579)),ISNUMBER(SEARCH(".",F579))),0,1),1)+IFERROR(IF(AND(LEN(J579)=6,ISNUMBER(VALUE(J579))),0,1),1)+IFERROR(IF(ISNUMBER(MATCH(TRIM(I579),Lists!$A$2:$A$20,0)),0,1),1)+IFERROR(IF(AND(LEN(K579)=10,VALUE(LEFT(K579,FIND("/",K579)-1))&gt;=1,VALUE(LEFT(K579,FIND("/",K579)-1))&lt;=31,VALUE(LEFT(MID(K579,FIND("/",K579)+1,10),FIND("/",MID(K579,FIND("/",K579)+1,10))-1))&gt;=1,VALUE(LEFT(MID(K579,FIND("/",K579)+1,10),FIND("/",MID(K579,FIND("/",K579)+1,10))-1))&lt;=12,VALUE(LEFT(K579,FIND("/",K579)-1))&lt;=DAY(EOMONTH(DATE(VALUE(MID(MID(K579,FIND("/",K579)+1,10),FIND("/",MID(K579,FIND("/",K579)+1,10))+1,4)),VALUE(LEFT(MID(K579,FIND("/",K579)+1,10),FIND("/",MID(K579,FIND("/",K579)+1,10))-1)),1),0))),0,1),1)+IFERROR(IF(M579&gt;=0,0,1),1)+IFERROR(IF(ISNUMBER(MATCH(N579,Lists!$B$2:$B$7,0)),0,1),1))=0,"OK","ERROR"))</f>
        <v/>
      </c>
      <c r="Q579" s="3" t="str">
        <f aca="false">IF(D579="","",TRIM(IF(IFERROR(IF(AND(TRIM(D579)=D579,LEN(D579)&gt;0),0,1),1)=1,"Name; ","")&amp;IF(IFERROR(IF(AND(LEN(E579)=10,ISNUMBER(VALUE(E579))),0,1),1)=1,"Phone; ","")&amp;IF(IFERROR(IF(AND(ISNUMBER(SEARCH("@",F579)),ISNUMBER(SEARCH(".",F579))),0,1),1)=1,"Email; ","")&amp;IF(IFERROR(IF(AND(LEN(J579)=6,ISNUMBER(VALUE(J579))),0,1),1)=1,"Pincode; ","")&amp;IF(IFERROR(IF(ISNUMBER(MATCH(TRIM(I579),Lists!$A$2:$A$20,0)),0,1),1)=1,"State; ","")&amp;IF(IFERROR(IF(AND(LEN(K579)=10,VALUE(LEFT(K579,FIND("/",K579)-1))&gt;=1,VALUE(LEFT(K579,FIND("/",K579)-1))&lt;=31,VALUE(LEFT(MID(K579,FIND("/",K579)+1,10),FIND("/",MID(K579,FIND("/",K579)+1,10))-1))&gt;=1,VALUE(LEFT(MID(K579,FIND("/",K579)+1,10),FIND("/",MID(K579,FIND("/",K579)+1,10))-1))&lt;=12,VALUE(LEFT(K579,FIND("/",K579)-1))&lt;=DAY(EOMONTH(DATE(VALUE(MID(MID(K579,FIND("/",K579)+1,10),FIND("/",MID(K579,FIND("/",K579)+1,10))+1,4)),VALUE(LEFT(MID(K579,FIND("/",K579)+1,10),FIND("/",MID(K579,FIND("/",K579)+1,10))-1)),1),0))),0,1),1)=1,"Date; ","")&amp;IF(IFERROR(IF(M579&gt;=0,0,1),1)=1,"Amount; ","")&amp;IF(IFERROR(IF(ISNUMBER(MATCH(N579,Lists!$B$2:$B$7,0)),0,1),1)=1,"Payment; ","")))</f>
        <v/>
      </c>
      <c r="R579" s="3" t="str">
        <f aca="false">IF(D579="","",IF(COUNTIFS($D$2:$D$701,D579,$E$2:$E$701,E579)&gt;1,"DUPLICATE","Unique"))</f>
        <v/>
      </c>
    </row>
    <row r="580" customFormat="false" ht="15" hidden="false" customHeight="false" outlineLevel="0" collapsed="false">
      <c r="A580" s="3" t="n">
        <v>579</v>
      </c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3" t="n">
        <f aca="false">IFERROR(LEN(C580&amp;D580&amp;E580&amp;F580&amp;G580&amp;H580&amp;I580&amp;J580&amp;K580&amp;L580&amp;M580&amp;N580)/5,0)</f>
        <v>0</v>
      </c>
      <c r="P580" s="3" t="str">
        <f aca="false">IF(OR(D580="",C580=""),"",IF((IFERROR(IF(AND(TRIM(D580)=D580,LEN(D580)&gt;0),0,1),1)+IFERROR(IF(AND(LEN(E580)=10,ISNUMBER(VALUE(E580))),0,1),1)+IFERROR(IF(AND(ISNUMBER(SEARCH("@",F580)),ISNUMBER(SEARCH(".",F580))),0,1),1)+IFERROR(IF(AND(LEN(J580)=6,ISNUMBER(VALUE(J580))),0,1),1)+IFERROR(IF(ISNUMBER(MATCH(TRIM(I580),Lists!$A$2:$A$20,0)),0,1),1)+IFERROR(IF(AND(LEN(K580)=10,VALUE(LEFT(K580,FIND("/",K580)-1))&gt;=1,VALUE(LEFT(K580,FIND("/",K580)-1))&lt;=31,VALUE(LEFT(MID(K580,FIND("/",K580)+1,10),FIND("/",MID(K580,FIND("/",K580)+1,10))-1))&gt;=1,VALUE(LEFT(MID(K580,FIND("/",K580)+1,10),FIND("/",MID(K580,FIND("/",K580)+1,10))-1))&lt;=12,VALUE(LEFT(K580,FIND("/",K580)-1))&lt;=DAY(EOMONTH(DATE(VALUE(MID(MID(K580,FIND("/",K580)+1,10),FIND("/",MID(K580,FIND("/",K580)+1,10))+1,4)),VALUE(LEFT(MID(K580,FIND("/",K580)+1,10),FIND("/",MID(K580,FIND("/",K580)+1,10))-1)),1),0))),0,1),1)+IFERROR(IF(M580&gt;=0,0,1),1)+IFERROR(IF(ISNUMBER(MATCH(N580,Lists!$B$2:$B$7,0)),0,1),1))=0,"OK","ERROR"))</f>
        <v/>
      </c>
      <c r="Q580" s="3" t="str">
        <f aca="false">IF(D580="","",TRIM(IF(IFERROR(IF(AND(TRIM(D580)=D580,LEN(D580)&gt;0),0,1),1)=1,"Name; ","")&amp;IF(IFERROR(IF(AND(LEN(E580)=10,ISNUMBER(VALUE(E580))),0,1),1)=1,"Phone; ","")&amp;IF(IFERROR(IF(AND(ISNUMBER(SEARCH("@",F580)),ISNUMBER(SEARCH(".",F580))),0,1),1)=1,"Email; ","")&amp;IF(IFERROR(IF(AND(LEN(J580)=6,ISNUMBER(VALUE(J580))),0,1),1)=1,"Pincode; ","")&amp;IF(IFERROR(IF(ISNUMBER(MATCH(TRIM(I580),Lists!$A$2:$A$20,0)),0,1),1)=1,"State; ","")&amp;IF(IFERROR(IF(AND(LEN(K580)=10,VALUE(LEFT(K580,FIND("/",K580)-1))&gt;=1,VALUE(LEFT(K580,FIND("/",K580)-1))&lt;=31,VALUE(LEFT(MID(K580,FIND("/",K580)+1,10),FIND("/",MID(K580,FIND("/",K580)+1,10))-1))&gt;=1,VALUE(LEFT(MID(K580,FIND("/",K580)+1,10),FIND("/",MID(K580,FIND("/",K580)+1,10))-1))&lt;=12,VALUE(LEFT(K580,FIND("/",K580)-1))&lt;=DAY(EOMONTH(DATE(VALUE(MID(MID(K580,FIND("/",K580)+1,10),FIND("/",MID(K580,FIND("/",K580)+1,10))+1,4)),VALUE(LEFT(MID(K580,FIND("/",K580)+1,10),FIND("/",MID(K580,FIND("/",K580)+1,10))-1)),1),0))),0,1),1)=1,"Date; ","")&amp;IF(IFERROR(IF(M580&gt;=0,0,1),1)=1,"Amount; ","")&amp;IF(IFERROR(IF(ISNUMBER(MATCH(N580,Lists!$B$2:$B$7,0)),0,1),1)=1,"Payment; ","")))</f>
        <v/>
      </c>
      <c r="R580" s="3" t="str">
        <f aca="false">IF(D580="","",IF(COUNTIFS($D$2:$D$701,D580,$E$2:$E$701,E580)&gt;1,"DUPLICATE","Unique"))</f>
        <v/>
      </c>
    </row>
    <row r="581" customFormat="false" ht="15" hidden="false" customHeight="false" outlineLevel="0" collapsed="false">
      <c r="A581" s="3" t="n">
        <v>580</v>
      </c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3" t="n">
        <f aca="false">IFERROR(LEN(C581&amp;D581&amp;E581&amp;F581&amp;G581&amp;H581&amp;I581&amp;J581&amp;K581&amp;L581&amp;M581&amp;N581)/5,0)</f>
        <v>0</v>
      </c>
      <c r="P581" s="3" t="str">
        <f aca="false">IF(OR(D581="",C581=""),"",IF((IFERROR(IF(AND(TRIM(D581)=D581,LEN(D581)&gt;0),0,1),1)+IFERROR(IF(AND(LEN(E581)=10,ISNUMBER(VALUE(E581))),0,1),1)+IFERROR(IF(AND(ISNUMBER(SEARCH("@",F581)),ISNUMBER(SEARCH(".",F581))),0,1),1)+IFERROR(IF(AND(LEN(J581)=6,ISNUMBER(VALUE(J581))),0,1),1)+IFERROR(IF(ISNUMBER(MATCH(TRIM(I581),Lists!$A$2:$A$20,0)),0,1),1)+IFERROR(IF(AND(LEN(K581)=10,VALUE(LEFT(K581,FIND("/",K581)-1))&gt;=1,VALUE(LEFT(K581,FIND("/",K581)-1))&lt;=31,VALUE(LEFT(MID(K581,FIND("/",K581)+1,10),FIND("/",MID(K581,FIND("/",K581)+1,10))-1))&gt;=1,VALUE(LEFT(MID(K581,FIND("/",K581)+1,10),FIND("/",MID(K581,FIND("/",K581)+1,10))-1))&lt;=12,VALUE(LEFT(K581,FIND("/",K581)-1))&lt;=DAY(EOMONTH(DATE(VALUE(MID(MID(K581,FIND("/",K581)+1,10),FIND("/",MID(K581,FIND("/",K581)+1,10))+1,4)),VALUE(LEFT(MID(K581,FIND("/",K581)+1,10),FIND("/",MID(K581,FIND("/",K581)+1,10))-1)),1),0))),0,1),1)+IFERROR(IF(M581&gt;=0,0,1),1)+IFERROR(IF(ISNUMBER(MATCH(N581,Lists!$B$2:$B$7,0)),0,1),1))=0,"OK","ERROR"))</f>
        <v/>
      </c>
      <c r="Q581" s="3" t="str">
        <f aca="false">IF(D581="","",TRIM(IF(IFERROR(IF(AND(TRIM(D581)=D581,LEN(D581)&gt;0),0,1),1)=1,"Name; ","")&amp;IF(IFERROR(IF(AND(LEN(E581)=10,ISNUMBER(VALUE(E581))),0,1),1)=1,"Phone; ","")&amp;IF(IFERROR(IF(AND(ISNUMBER(SEARCH("@",F581)),ISNUMBER(SEARCH(".",F581))),0,1),1)=1,"Email; ","")&amp;IF(IFERROR(IF(AND(LEN(J581)=6,ISNUMBER(VALUE(J581))),0,1),1)=1,"Pincode; ","")&amp;IF(IFERROR(IF(ISNUMBER(MATCH(TRIM(I581),Lists!$A$2:$A$20,0)),0,1),1)=1,"State; ","")&amp;IF(IFERROR(IF(AND(LEN(K581)=10,VALUE(LEFT(K581,FIND("/",K581)-1))&gt;=1,VALUE(LEFT(K581,FIND("/",K581)-1))&lt;=31,VALUE(LEFT(MID(K581,FIND("/",K581)+1,10),FIND("/",MID(K581,FIND("/",K581)+1,10))-1))&gt;=1,VALUE(LEFT(MID(K581,FIND("/",K581)+1,10),FIND("/",MID(K581,FIND("/",K581)+1,10))-1))&lt;=12,VALUE(LEFT(K581,FIND("/",K581)-1))&lt;=DAY(EOMONTH(DATE(VALUE(MID(MID(K581,FIND("/",K581)+1,10),FIND("/",MID(K581,FIND("/",K581)+1,10))+1,4)),VALUE(LEFT(MID(K581,FIND("/",K581)+1,10),FIND("/",MID(K581,FIND("/",K581)+1,10))-1)),1),0))),0,1),1)=1,"Date; ","")&amp;IF(IFERROR(IF(M581&gt;=0,0,1),1)=1,"Amount; ","")&amp;IF(IFERROR(IF(ISNUMBER(MATCH(N581,Lists!$B$2:$B$7,0)),0,1),1)=1,"Payment; ","")))</f>
        <v/>
      </c>
      <c r="R581" s="3" t="str">
        <f aca="false">IF(D581="","",IF(COUNTIFS($D$2:$D$701,D581,$E$2:$E$701,E581)&gt;1,"DUPLICATE","Unique"))</f>
        <v/>
      </c>
    </row>
    <row r="582" customFormat="false" ht="15" hidden="false" customHeight="false" outlineLevel="0" collapsed="false">
      <c r="A582" s="3" t="n">
        <v>581</v>
      </c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3" t="n">
        <f aca="false">IFERROR(LEN(C582&amp;D582&amp;E582&amp;F582&amp;G582&amp;H582&amp;I582&amp;J582&amp;K582&amp;L582&amp;M582&amp;N582)/5,0)</f>
        <v>0</v>
      </c>
      <c r="P582" s="3" t="str">
        <f aca="false">IF(OR(D582="",C582=""),"",IF((IFERROR(IF(AND(TRIM(D582)=D582,LEN(D582)&gt;0),0,1),1)+IFERROR(IF(AND(LEN(E582)=10,ISNUMBER(VALUE(E582))),0,1),1)+IFERROR(IF(AND(ISNUMBER(SEARCH("@",F582)),ISNUMBER(SEARCH(".",F582))),0,1),1)+IFERROR(IF(AND(LEN(J582)=6,ISNUMBER(VALUE(J582))),0,1),1)+IFERROR(IF(ISNUMBER(MATCH(TRIM(I582),Lists!$A$2:$A$20,0)),0,1),1)+IFERROR(IF(AND(LEN(K582)=10,VALUE(LEFT(K582,FIND("/",K582)-1))&gt;=1,VALUE(LEFT(K582,FIND("/",K582)-1))&lt;=31,VALUE(LEFT(MID(K582,FIND("/",K582)+1,10),FIND("/",MID(K582,FIND("/",K582)+1,10))-1))&gt;=1,VALUE(LEFT(MID(K582,FIND("/",K582)+1,10),FIND("/",MID(K582,FIND("/",K582)+1,10))-1))&lt;=12,VALUE(LEFT(K582,FIND("/",K582)-1))&lt;=DAY(EOMONTH(DATE(VALUE(MID(MID(K582,FIND("/",K582)+1,10),FIND("/",MID(K582,FIND("/",K582)+1,10))+1,4)),VALUE(LEFT(MID(K582,FIND("/",K582)+1,10),FIND("/",MID(K582,FIND("/",K582)+1,10))-1)),1),0))),0,1),1)+IFERROR(IF(M582&gt;=0,0,1),1)+IFERROR(IF(ISNUMBER(MATCH(N582,Lists!$B$2:$B$7,0)),0,1),1))=0,"OK","ERROR"))</f>
        <v/>
      </c>
      <c r="Q582" s="3" t="str">
        <f aca="false">IF(D582="","",TRIM(IF(IFERROR(IF(AND(TRIM(D582)=D582,LEN(D582)&gt;0),0,1),1)=1,"Name; ","")&amp;IF(IFERROR(IF(AND(LEN(E582)=10,ISNUMBER(VALUE(E582))),0,1),1)=1,"Phone; ","")&amp;IF(IFERROR(IF(AND(ISNUMBER(SEARCH("@",F582)),ISNUMBER(SEARCH(".",F582))),0,1),1)=1,"Email; ","")&amp;IF(IFERROR(IF(AND(LEN(J582)=6,ISNUMBER(VALUE(J582))),0,1),1)=1,"Pincode; ","")&amp;IF(IFERROR(IF(ISNUMBER(MATCH(TRIM(I582),Lists!$A$2:$A$20,0)),0,1),1)=1,"State; ","")&amp;IF(IFERROR(IF(AND(LEN(K582)=10,VALUE(LEFT(K582,FIND("/",K582)-1))&gt;=1,VALUE(LEFT(K582,FIND("/",K582)-1))&lt;=31,VALUE(LEFT(MID(K582,FIND("/",K582)+1,10),FIND("/",MID(K582,FIND("/",K582)+1,10))-1))&gt;=1,VALUE(LEFT(MID(K582,FIND("/",K582)+1,10),FIND("/",MID(K582,FIND("/",K582)+1,10))-1))&lt;=12,VALUE(LEFT(K582,FIND("/",K582)-1))&lt;=DAY(EOMONTH(DATE(VALUE(MID(MID(K582,FIND("/",K582)+1,10),FIND("/",MID(K582,FIND("/",K582)+1,10))+1,4)),VALUE(LEFT(MID(K582,FIND("/",K582)+1,10),FIND("/",MID(K582,FIND("/",K582)+1,10))-1)),1),0))),0,1),1)=1,"Date; ","")&amp;IF(IFERROR(IF(M582&gt;=0,0,1),1)=1,"Amount; ","")&amp;IF(IFERROR(IF(ISNUMBER(MATCH(N582,Lists!$B$2:$B$7,0)),0,1),1)=1,"Payment; ","")))</f>
        <v/>
      </c>
      <c r="R582" s="3" t="str">
        <f aca="false">IF(D582="","",IF(COUNTIFS($D$2:$D$701,D582,$E$2:$E$701,E582)&gt;1,"DUPLICATE","Unique"))</f>
        <v/>
      </c>
    </row>
    <row r="583" customFormat="false" ht="15" hidden="false" customHeight="false" outlineLevel="0" collapsed="false">
      <c r="A583" s="3" t="n">
        <v>582</v>
      </c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3" t="n">
        <f aca="false">IFERROR(LEN(C583&amp;D583&amp;E583&amp;F583&amp;G583&amp;H583&amp;I583&amp;J583&amp;K583&amp;L583&amp;M583&amp;N583)/5,0)</f>
        <v>0</v>
      </c>
      <c r="P583" s="3" t="str">
        <f aca="false">IF(OR(D583="",C583=""),"",IF((IFERROR(IF(AND(TRIM(D583)=D583,LEN(D583)&gt;0),0,1),1)+IFERROR(IF(AND(LEN(E583)=10,ISNUMBER(VALUE(E583))),0,1),1)+IFERROR(IF(AND(ISNUMBER(SEARCH("@",F583)),ISNUMBER(SEARCH(".",F583))),0,1),1)+IFERROR(IF(AND(LEN(J583)=6,ISNUMBER(VALUE(J583))),0,1),1)+IFERROR(IF(ISNUMBER(MATCH(TRIM(I583),Lists!$A$2:$A$20,0)),0,1),1)+IFERROR(IF(AND(LEN(K583)=10,VALUE(LEFT(K583,FIND("/",K583)-1))&gt;=1,VALUE(LEFT(K583,FIND("/",K583)-1))&lt;=31,VALUE(LEFT(MID(K583,FIND("/",K583)+1,10),FIND("/",MID(K583,FIND("/",K583)+1,10))-1))&gt;=1,VALUE(LEFT(MID(K583,FIND("/",K583)+1,10),FIND("/",MID(K583,FIND("/",K583)+1,10))-1))&lt;=12,VALUE(LEFT(K583,FIND("/",K583)-1))&lt;=DAY(EOMONTH(DATE(VALUE(MID(MID(K583,FIND("/",K583)+1,10),FIND("/",MID(K583,FIND("/",K583)+1,10))+1,4)),VALUE(LEFT(MID(K583,FIND("/",K583)+1,10),FIND("/",MID(K583,FIND("/",K583)+1,10))-1)),1),0))),0,1),1)+IFERROR(IF(M583&gt;=0,0,1),1)+IFERROR(IF(ISNUMBER(MATCH(N583,Lists!$B$2:$B$7,0)),0,1),1))=0,"OK","ERROR"))</f>
        <v/>
      </c>
      <c r="Q583" s="3" t="str">
        <f aca="false">IF(D583="","",TRIM(IF(IFERROR(IF(AND(TRIM(D583)=D583,LEN(D583)&gt;0),0,1),1)=1,"Name; ","")&amp;IF(IFERROR(IF(AND(LEN(E583)=10,ISNUMBER(VALUE(E583))),0,1),1)=1,"Phone; ","")&amp;IF(IFERROR(IF(AND(ISNUMBER(SEARCH("@",F583)),ISNUMBER(SEARCH(".",F583))),0,1),1)=1,"Email; ","")&amp;IF(IFERROR(IF(AND(LEN(J583)=6,ISNUMBER(VALUE(J583))),0,1),1)=1,"Pincode; ","")&amp;IF(IFERROR(IF(ISNUMBER(MATCH(TRIM(I583),Lists!$A$2:$A$20,0)),0,1),1)=1,"State; ","")&amp;IF(IFERROR(IF(AND(LEN(K583)=10,VALUE(LEFT(K583,FIND("/",K583)-1))&gt;=1,VALUE(LEFT(K583,FIND("/",K583)-1))&lt;=31,VALUE(LEFT(MID(K583,FIND("/",K583)+1,10),FIND("/",MID(K583,FIND("/",K583)+1,10))-1))&gt;=1,VALUE(LEFT(MID(K583,FIND("/",K583)+1,10),FIND("/",MID(K583,FIND("/",K583)+1,10))-1))&lt;=12,VALUE(LEFT(K583,FIND("/",K583)-1))&lt;=DAY(EOMONTH(DATE(VALUE(MID(MID(K583,FIND("/",K583)+1,10),FIND("/",MID(K583,FIND("/",K583)+1,10))+1,4)),VALUE(LEFT(MID(K583,FIND("/",K583)+1,10),FIND("/",MID(K583,FIND("/",K583)+1,10))-1)),1),0))),0,1),1)=1,"Date; ","")&amp;IF(IFERROR(IF(M583&gt;=0,0,1),1)=1,"Amount; ","")&amp;IF(IFERROR(IF(ISNUMBER(MATCH(N583,Lists!$B$2:$B$7,0)),0,1),1)=1,"Payment; ","")))</f>
        <v/>
      </c>
      <c r="R583" s="3" t="str">
        <f aca="false">IF(D583="","",IF(COUNTIFS($D$2:$D$701,D583,$E$2:$E$701,E583)&gt;1,"DUPLICATE","Unique"))</f>
        <v/>
      </c>
    </row>
    <row r="584" customFormat="false" ht="15" hidden="false" customHeight="false" outlineLevel="0" collapsed="false">
      <c r="A584" s="3" t="n">
        <v>583</v>
      </c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3" t="n">
        <f aca="false">IFERROR(LEN(C584&amp;D584&amp;E584&amp;F584&amp;G584&amp;H584&amp;I584&amp;J584&amp;K584&amp;L584&amp;M584&amp;N584)/5,0)</f>
        <v>0</v>
      </c>
      <c r="P584" s="3" t="str">
        <f aca="false">IF(OR(D584="",C584=""),"",IF((IFERROR(IF(AND(TRIM(D584)=D584,LEN(D584)&gt;0),0,1),1)+IFERROR(IF(AND(LEN(E584)=10,ISNUMBER(VALUE(E584))),0,1),1)+IFERROR(IF(AND(ISNUMBER(SEARCH("@",F584)),ISNUMBER(SEARCH(".",F584))),0,1),1)+IFERROR(IF(AND(LEN(J584)=6,ISNUMBER(VALUE(J584))),0,1),1)+IFERROR(IF(ISNUMBER(MATCH(TRIM(I584),Lists!$A$2:$A$20,0)),0,1),1)+IFERROR(IF(AND(LEN(K584)=10,VALUE(LEFT(K584,FIND("/",K584)-1))&gt;=1,VALUE(LEFT(K584,FIND("/",K584)-1))&lt;=31,VALUE(LEFT(MID(K584,FIND("/",K584)+1,10),FIND("/",MID(K584,FIND("/",K584)+1,10))-1))&gt;=1,VALUE(LEFT(MID(K584,FIND("/",K584)+1,10),FIND("/",MID(K584,FIND("/",K584)+1,10))-1))&lt;=12,VALUE(LEFT(K584,FIND("/",K584)-1))&lt;=DAY(EOMONTH(DATE(VALUE(MID(MID(K584,FIND("/",K584)+1,10),FIND("/",MID(K584,FIND("/",K584)+1,10))+1,4)),VALUE(LEFT(MID(K584,FIND("/",K584)+1,10),FIND("/",MID(K584,FIND("/",K584)+1,10))-1)),1),0))),0,1),1)+IFERROR(IF(M584&gt;=0,0,1),1)+IFERROR(IF(ISNUMBER(MATCH(N584,Lists!$B$2:$B$7,0)),0,1),1))=0,"OK","ERROR"))</f>
        <v/>
      </c>
      <c r="Q584" s="3" t="str">
        <f aca="false">IF(D584="","",TRIM(IF(IFERROR(IF(AND(TRIM(D584)=D584,LEN(D584)&gt;0),0,1),1)=1,"Name; ","")&amp;IF(IFERROR(IF(AND(LEN(E584)=10,ISNUMBER(VALUE(E584))),0,1),1)=1,"Phone; ","")&amp;IF(IFERROR(IF(AND(ISNUMBER(SEARCH("@",F584)),ISNUMBER(SEARCH(".",F584))),0,1),1)=1,"Email; ","")&amp;IF(IFERROR(IF(AND(LEN(J584)=6,ISNUMBER(VALUE(J584))),0,1),1)=1,"Pincode; ","")&amp;IF(IFERROR(IF(ISNUMBER(MATCH(TRIM(I584),Lists!$A$2:$A$20,0)),0,1),1)=1,"State; ","")&amp;IF(IFERROR(IF(AND(LEN(K584)=10,VALUE(LEFT(K584,FIND("/",K584)-1))&gt;=1,VALUE(LEFT(K584,FIND("/",K584)-1))&lt;=31,VALUE(LEFT(MID(K584,FIND("/",K584)+1,10),FIND("/",MID(K584,FIND("/",K584)+1,10))-1))&gt;=1,VALUE(LEFT(MID(K584,FIND("/",K584)+1,10),FIND("/",MID(K584,FIND("/",K584)+1,10))-1))&lt;=12,VALUE(LEFT(K584,FIND("/",K584)-1))&lt;=DAY(EOMONTH(DATE(VALUE(MID(MID(K584,FIND("/",K584)+1,10),FIND("/",MID(K584,FIND("/",K584)+1,10))+1,4)),VALUE(LEFT(MID(K584,FIND("/",K584)+1,10),FIND("/",MID(K584,FIND("/",K584)+1,10))-1)),1),0))),0,1),1)=1,"Date; ","")&amp;IF(IFERROR(IF(M584&gt;=0,0,1),1)=1,"Amount; ","")&amp;IF(IFERROR(IF(ISNUMBER(MATCH(N584,Lists!$B$2:$B$7,0)),0,1),1)=1,"Payment; ","")))</f>
        <v/>
      </c>
      <c r="R584" s="3" t="str">
        <f aca="false">IF(D584="","",IF(COUNTIFS($D$2:$D$701,D584,$E$2:$E$701,E584)&gt;1,"DUPLICATE","Unique"))</f>
        <v/>
      </c>
    </row>
    <row r="585" customFormat="false" ht="15" hidden="false" customHeight="false" outlineLevel="0" collapsed="false">
      <c r="A585" s="3" t="n">
        <v>584</v>
      </c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3" t="n">
        <f aca="false">IFERROR(LEN(C585&amp;D585&amp;E585&amp;F585&amp;G585&amp;H585&amp;I585&amp;J585&amp;K585&amp;L585&amp;M585&amp;N585)/5,0)</f>
        <v>0</v>
      </c>
      <c r="P585" s="3" t="str">
        <f aca="false">IF(OR(D585="",C585=""),"",IF((IFERROR(IF(AND(TRIM(D585)=D585,LEN(D585)&gt;0),0,1),1)+IFERROR(IF(AND(LEN(E585)=10,ISNUMBER(VALUE(E585))),0,1),1)+IFERROR(IF(AND(ISNUMBER(SEARCH("@",F585)),ISNUMBER(SEARCH(".",F585))),0,1),1)+IFERROR(IF(AND(LEN(J585)=6,ISNUMBER(VALUE(J585))),0,1),1)+IFERROR(IF(ISNUMBER(MATCH(TRIM(I585),Lists!$A$2:$A$20,0)),0,1),1)+IFERROR(IF(AND(LEN(K585)=10,VALUE(LEFT(K585,FIND("/",K585)-1))&gt;=1,VALUE(LEFT(K585,FIND("/",K585)-1))&lt;=31,VALUE(LEFT(MID(K585,FIND("/",K585)+1,10),FIND("/",MID(K585,FIND("/",K585)+1,10))-1))&gt;=1,VALUE(LEFT(MID(K585,FIND("/",K585)+1,10),FIND("/",MID(K585,FIND("/",K585)+1,10))-1))&lt;=12,VALUE(LEFT(K585,FIND("/",K585)-1))&lt;=DAY(EOMONTH(DATE(VALUE(MID(MID(K585,FIND("/",K585)+1,10),FIND("/",MID(K585,FIND("/",K585)+1,10))+1,4)),VALUE(LEFT(MID(K585,FIND("/",K585)+1,10),FIND("/",MID(K585,FIND("/",K585)+1,10))-1)),1),0))),0,1),1)+IFERROR(IF(M585&gt;=0,0,1),1)+IFERROR(IF(ISNUMBER(MATCH(N585,Lists!$B$2:$B$7,0)),0,1),1))=0,"OK","ERROR"))</f>
        <v/>
      </c>
      <c r="Q585" s="3" t="str">
        <f aca="false">IF(D585="","",TRIM(IF(IFERROR(IF(AND(TRIM(D585)=D585,LEN(D585)&gt;0),0,1),1)=1,"Name; ","")&amp;IF(IFERROR(IF(AND(LEN(E585)=10,ISNUMBER(VALUE(E585))),0,1),1)=1,"Phone; ","")&amp;IF(IFERROR(IF(AND(ISNUMBER(SEARCH("@",F585)),ISNUMBER(SEARCH(".",F585))),0,1),1)=1,"Email; ","")&amp;IF(IFERROR(IF(AND(LEN(J585)=6,ISNUMBER(VALUE(J585))),0,1),1)=1,"Pincode; ","")&amp;IF(IFERROR(IF(ISNUMBER(MATCH(TRIM(I585),Lists!$A$2:$A$20,0)),0,1),1)=1,"State; ","")&amp;IF(IFERROR(IF(AND(LEN(K585)=10,VALUE(LEFT(K585,FIND("/",K585)-1))&gt;=1,VALUE(LEFT(K585,FIND("/",K585)-1))&lt;=31,VALUE(LEFT(MID(K585,FIND("/",K585)+1,10),FIND("/",MID(K585,FIND("/",K585)+1,10))-1))&gt;=1,VALUE(LEFT(MID(K585,FIND("/",K585)+1,10),FIND("/",MID(K585,FIND("/",K585)+1,10))-1))&lt;=12,VALUE(LEFT(K585,FIND("/",K585)-1))&lt;=DAY(EOMONTH(DATE(VALUE(MID(MID(K585,FIND("/",K585)+1,10),FIND("/",MID(K585,FIND("/",K585)+1,10))+1,4)),VALUE(LEFT(MID(K585,FIND("/",K585)+1,10),FIND("/",MID(K585,FIND("/",K585)+1,10))-1)),1),0))),0,1),1)=1,"Date; ","")&amp;IF(IFERROR(IF(M585&gt;=0,0,1),1)=1,"Amount; ","")&amp;IF(IFERROR(IF(ISNUMBER(MATCH(N585,Lists!$B$2:$B$7,0)),0,1),1)=1,"Payment; ","")))</f>
        <v/>
      </c>
      <c r="R585" s="3" t="str">
        <f aca="false">IF(D585="","",IF(COUNTIFS($D$2:$D$701,D585,$E$2:$E$701,E585)&gt;1,"DUPLICATE","Unique"))</f>
        <v/>
      </c>
    </row>
    <row r="586" customFormat="false" ht="15" hidden="false" customHeight="false" outlineLevel="0" collapsed="false">
      <c r="A586" s="3" t="n">
        <v>585</v>
      </c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3" t="n">
        <f aca="false">IFERROR(LEN(C586&amp;D586&amp;E586&amp;F586&amp;G586&amp;H586&amp;I586&amp;J586&amp;K586&amp;L586&amp;M586&amp;N586)/5,0)</f>
        <v>0</v>
      </c>
      <c r="P586" s="3" t="str">
        <f aca="false">IF(OR(D586="",C586=""),"",IF((IFERROR(IF(AND(TRIM(D586)=D586,LEN(D586)&gt;0),0,1),1)+IFERROR(IF(AND(LEN(E586)=10,ISNUMBER(VALUE(E586))),0,1),1)+IFERROR(IF(AND(ISNUMBER(SEARCH("@",F586)),ISNUMBER(SEARCH(".",F586))),0,1),1)+IFERROR(IF(AND(LEN(J586)=6,ISNUMBER(VALUE(J586))),0,1),1)+IFERROR(IF(ISNUMBER(MATCH(TRIM(I586),Lists!$A$2:$A$20,0)),0,1),1)+IFERROR(IF(AND(LEN(K586)=10,VALUE(LEFT(K586,FIND("/",K586)-1))&gt;=1,VALUE(LEFT(K586,FIND("/",K586)-1))&lt;=31,VALUE(LEFT(MID(K586,FIND("/",K586)+1,10),FIND("/",MID(K586,FIND("/",K586)+1,10))-1))&gt;=1,VALUE(LEFT(MID(K586,FIND("/",K586)+1,10),FIND("/",MID(K586,FIND("/",K586)+1,10))-1))&lt;=12,VALUE(LEFT(K586,FIND("/",K586)-1))&lt;=DAY(EOMONTH(DATE(VALUE(MID(MID(K586,FIND("/",K586)+1,10),FIND("/",MID(K586,FIND("/",K586)+1,10))+1,4)),VALUE(LEFT(MID(K586,FIND("/",K586)+1,10),FIND("/",MID(K586,FIND("/",K586)+1,10))-1)),1),0))),0,1),1)+IFERROR(IF(M586&gt;=0,0,1),1)+IFERROR(IF(ISNUMBER(MATCH(N586,Lists!$B$2:$B$7,0)),0,1),1))=0,"OK","ERROR"))</f>
        <v/>
      </c>
      <c r="Q586" s="3" t="str">
        <f aca="false">IF(D586="","",TRIM(IF(IFERROR(IF(AND(TRIM(D586)=D586,LEN(D586)&gt;0),0,1),1)=1,"Name; ","")&amp;IF(IFERROR(IF(AND(LEN(E586)=10,ISNUMBER(VALUE(E586))),0,1),1)=1,"Phone; ","")&amp;IF(IFERROR(IF(AND(ISNUMBER(SEARCH("@",F586)),ISNUMBER(SEARCH(".",F586))),0,1),1)=1,"Email; ","")&amp;IF(IFERROR(IF(AND(LEN(J586)=6,ISNUMBER(VALUE(J586))),0,1),1)=1,"Pincode; ","")&amp;IF(IFERROR(IF(ISNUMBER(MATCH(TRIM(I586),Lists!$A$2:$A$20,0)),0,1),1)=1,"State; ","")&amp;IF(IFERROR(IF(AND(LEN(K586)=10,VALUE(LEFT(K586,FIND("/",K586)-1))&gt;=1,VALUE(LEFT(K586,FIND("/",K586)-1))&lt;=31,VALUE(LEFT(MID(K586,FIND("/",K586)+1,10),FIND("/",MID(K586,FIND("/",K586)+1,10))-1))&gt;=1,VALUE(LEFT(MID(K586,FIND("/",K586)+1,10),FIND("/",MID(K586,FIND("/",K586)+1,10))-1))&lt;=12,VALUE(LEFT(K586,FIND("/",K586)-1))&lt;=DAY(EOMONTH(DATE(VALUE(MID(MID(K586,FIND("/",K586)+1,10),FIND("/",MID(K586,FIND("/",K586)+1,10))+1,4)),VALUE(LEFT(MID(K586,FIND("/",K586)+1,10),FIND("/",MID(K586,FIND("/",K586)+1,10))-1)),1),0))),0,1),1)=1,"Date; ","")&amp;IF(IFERROR(IF(M586&gt;=0,0,1),1)=1,"Amount; ","")&amp;IF(IFERROR(IF(ISNUMBER(MATCH(N586,Lists!$B$2:$B$7,0)),0,1),1)=1,"Payment; ","")))</f>
        <v/>
      </c>
      <c r="R586" s="3" t="str">
        <f aca="false">IF(D586="","",IF(COUNTIFS($D$2:$D$701,D586,$E$2:$E$701,E586)&gt;1,"DUPLICATE","Unique"))</f>
        <v/>
      </c>
    </row>
    <row r="587" customFormat="false" ht="15" hidden="false" customHeight="false" outlineLevel="0" collapsed="false">
      <c r="A587" s="3" t="n">
        <v>586</v>
      </c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3" t="n">
        <f aca="false">IFERROR(LEN(C587&amp;D587&amp;E587&amp;F587&amp;G587&amp;H587&amp;I587&amp;J587&amp;K587&amp;L587&amp;M587&amp;N587)/5,0)</f>
        <v>0</v>
      </c>
      <c r="P587" s="3" t="str">
        <f aca="false">IF(OR(D587="",C587=""),"",IF((IFERROR(IF(AND(TRIM(D587)=D587,LEN(D587)&gt;0),0,1),1)+IFERROR(IF(AND(LEN(E587)=10,ISNUMBER(VALUE(E587))),0,1),1)+IFERROR(IF(AND(ISNUMBER(SEARCH("@",F587)),ISNUMBER(SEARCH(".",F587))),0,1),1)+IFERROR(IF(AND(LEN(J587)=6,ISNUMBER(VALUE(J587))),0,1),1)+IFERROR(IF(ISNUMBER(MATCH(TRIM(I587),Lists!$A$2:$A$20,0)),0,1),1)+IFERROR(IF(AND(LEN(K587)=10,VALUE(LEFT(K587,FIND("/",K587)-1))&gt;=1,VALUE(LEFT(K587,FIND("/",K587)-1))&lt;=31,VALUE(LEFT(MID(K587,FIND("/",K587)+1,10),FIND("/",MID(K587,FIND("/",K587)+1,10))-1))&gt;=1,VALUE(LEFT(MID(K587,FIND("/",K587)+1,10),FIND("/",MID(K587,FIND("/",K587)+1,10))-1))&lt;=12,VALUE(LEFT(K587,FIND("/",K587)-1))&lt;=DAY(EOMONTH(DATE(VALUE(MID(MID(K587,FIND("/",K587)+1,10),FIND("/",MID(K587,FIND("/",K587)+1,10))+1,4)),VALUE(LEFT(MID(K587,FIND("/",K587)+1,10),FIND("/",MID(K587,FIND("/",K587)+1,10))-1)),1),0))),0,1),1)+IFERROR(IF(M587&gt;=0,0,1),1)+IFERROR(IF(ISNUMBER(MATCH(N587,Lists!$B$2:$B$7,0)),0,1),1))=0,"OK","ERROR"))</f>
        <v/>
      </c>
      <c r="Q587" s="3" t="str">
        <f aca="false">IF(D587="","",TRIM(IF(IFERROR(IF(AND(TRIM(D587)=D587,LEN(D587)&gt;0),0,1),1)=1,"Name; ","")&amp;IF(IFERROR(IF(AND(LEN(E587)=10,ISNUMBER(VALUE(E587))),0,1),1)=1,"Phone; ","")&amp;IF(IFERROR(IF(AND(ISNUMBER(SEARCH("@",F587)),ISNUMBER(SEARCH(".",F587))),0,1),1)=1,"Email; ","")&amp;IF(IFERROR(IF(AND(LEN(J587)=6,ISNUMBER(VALUE(J587))),0,1),1)=1,"Pincode; ","")&amp;IF(IFERROR(IF(ISNUMBER(MATCH(TRIM(I587),Lists!$A$2:$A$20,0)),0,1),1)=1,"State; ","")&amp;IF(IFERROR(IF(AND(LEN(K587)=10,VALUE(LEFT(K587,FIND("/",K587)-1))&gt;=1,VALUE(LEFT(K587,FIND("/",K587)-1))&lt;=31,VALUE(LEFT(MID(K587,FIND("/",K587)+1,10),FIND("/",MID(K587,FIND("/",K587)+1,10))-1))&gt;=1,VALUE(LEFT(MID(K587,FIND("/",K587)+1,10),FIND("/",MID(K587,FIND("/",K587)+1,10))-1))&lt;=12,VALUE(LEFT(K587,FIND("/",K587)-1))&lt;=DAY(EOMONTH(DATE(VALUE(MID(MID(K587,FIND("/",K587)+1,10),FIND("/",MID(K587,FIND("/",K587)+1,10))+1,4)),VALUE(LEFT(MID(K587,FIND("/",K587)+1,10),FIND("/",MID(K587,FIND("/",K587)+1,10))-1)),1),0))),0,1),1)=1,"Date; ","")&amp;IF(IFERROR(IF(M587&gt;=0,0,1),1)=1,"Amount; ","")&amp;IF(IFERROR(IF(ISNUMBER(MATCH(N587,Lists!$B$2:$B$7,0)),0,1),1)=1,"Payment; ","")))</f>
        <v/>
      </c>
      <c r="R587" s="3" t="str">
        <f aca="false">IF(D587="","",IF(COUNTIFS($D$2:$D$701,D587,$E$2:$E$701,E587)&gt;1,"DUPLICATE","Unique"))</f>
        <v/>
      </c>
    </row>
    <row r="588" customFormat="false" ht="15" hidden="false" customHeight="false" outlineLevel="0" collapsed="false">
      <c r="A588" s="3" t="n">
        <v>587</v>
      </c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3" t="n">
        <f aca="false">IFERROR(LEN(C588&amp;D588&amp;E588&amp;F588&amp;G588&amp;H588&amp;I588&amp;J588&amp;K588&amp;L588&amp;M588&amp;N588)/5,0)</f>
        <v>0</v>
      </c>
      <c r="P588" s="3" t="str">
        <f aca="false">IF(OR(D588="",C588=""),"",IF((IFERROR(IF(AND(TRIM(D588)=D588,LEN(D588)&gt;0),0,1),1)+IFERROR(IF(AND(LEN(E588)=10,ISNUMBER(VALUE(E588))),0,1),1)+IFERROR(IF(AND(ISNUMBER(SEARCH("@",F588)),ISNUMBER(SEARCH(".",F588))),0,1),1)+IFERROR(IF(AND(LEN(J588)=6,ISNUMBER(VALUE(J588))),0,1),1)+IFERROR(IF(ISNUMBER(MATCH(TRIM(I588),Lists!$A$2:$A$20,0)),0,1),1)+IFERROR(IF(AND(LEN(K588)=10,VALUE(LEFT(K588,FIND("/",K588)-1))&gt;=1,VALUE(LEFT(K588,FIND("/",K588)-1))&lt;=31,VALUE(LEFT(MID(K588,FIND("/",K588)+1,10),FIND("/",MID(K588,FIND("/",K588)+1,10))-1))&gt;=1,VALUE(LEFT(MID(K588,FIND("/",K588)+1,10),FIND("/",MID(K588,FIND("/",K588)+1,10))-1))&lt;=12,VALUE(LEFT(K588,FIND("/",K588)-1))&lt;=DAY(EOMONTH(DATE(VALUE(MID(MID(K588,FIND("/",K588)+1,10),FIND("/",MID(K588,FIND("/",K588)+1,10))+1,4)),VALUE(LEFT(MID(K588,FIND("/",K588)+1,10),FIND("/",MID(K588,FIND("/",K588)+1,10))-1)),1),0))),0,1),1)+IFERROR(IF(M588&gt;=0,0,1),1)+IFERROR(IF(ISNUMBER(MATCH(N588,Lists!$B$2:$B$7,0)),0,1),1))=0,"OK","ERROR"))</f>
        <v/>
      </c>
      <c r="Q588" s="3" t="str">
        <f aca="false">IF(D588="","",TRIM(IF(IFERROR(IF(AND(TRIM(D588)=D588,LEN(D588)&gt;0),0,1),1)=1,"Name; ","")&amp;IF(IFERROR(IF(AND(LEN(E588)=10,ISNUMBER(VALUE(E588))),0,1),1)=1,"Phone; ","")&amp;IF(IFERROR(IF(AND(ISNUMBER(SEARCH("@",F588)),ISNUMBER(SEARCH(".",F588))),0,1),1)=1,"Email; ","")&amp;IF(IFERROR(IF(AND(LEN(J588)=6,ISNUMBER(VALUE(J588))),0,1),1)=1,"Pincode; ","")&amp;IF(IFERROR(IF(ISNUMBER(MATCH(TRIM(I588),Lists!$A$2:$A$20,0)),0,1),1)=1,"State; ","")&amp;IF(IFERROR(IF(AND(LEN(K588)=10,VALUE(LEFT(K588,FIND("/",K588)-1))&gt;=1,VALUE(LEFT(K588,FIND("/",K588)-1))&lt;=31,VALUE(LEFT(MID(K588,FIND("/",K588)+1,10),FIND("/",MID(K588,FIND("/",K588)+1,10))-1))&gt;=1,VALUE(LEFT(MID(K588,FIND("/",K588)+1,10),FIND("/",MID(K588,FIND("/",K588)+1,10))-1))&lt;=12,VALUE(LEFT(K588,FIND("/",K588)-1))&lt;=DAY(EOMONTH(DATE(VALUE(MID(MID(K588,FIND("/",K588)+1,10),FIND("/",MID(K588,FIND("/",K588)+1,10))+1,4)),VALUE(LEFT(MID(K588,FIND("/",K588)+1,10),FIND("/",MID(K588,FIND("/",K588)+1,10))-1)),1),0))),0,1),1)=1,"Date; ","")&amp;IF(IFERROR(IF(M588&gt;=0,0,1),1)=1,"Amount; ","")&amp;IF(IFERROR(IF(ISNUMBER(MATCH(N588,Lists!$B$2:$B$7,0)),0,1),1)=1,"Payment; ","")))</f>
        <v/>
      </c>
      <c r="R588" s="3" t="str">
        <f aca="false">IF(D588="","",IF(COUNTIFS($D$2:$D$701,D588,$E$2:$E$701,E588)&gt;1,"DUPLICATE","Unique"))</f>
        <v/>
      </c>
    </row>
    <row r="589" customFormat="false" ht="15" hidden="false" customHeight="false" outlineLevel="0" collapsed="false">
      <c r="A589" s="3" t="n">
        <v>588</v>
      </c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3" t="n">
        <f aca="false">IFERROR(LEN(C589&amp;D589&amp;E589&amp;F589&amp;G589&amp;H589&amp;I589&amp;J589&amp;K589&amp;L589&amp;M589&amp;N589)/5,0)</f>
        <v>0</v>
      </c>
      <c r="P589" s="3" t="str">
        <f aca="false">IF(OR(D589="",C589=""),"",IF((IFERROR(IF(AND(TRIM(D589)=D589,LEN(D589)&gt;0),0,1),1)+IFERROR(IF(AND(LEN(E589)=10,ISNUMBER(VALUE(E589))),0,1),1)+IFERROR(IF(AND(ISNUMBER(SEARCH("@",F589)),ISNUMBER(SEARCH(".",F589))),0,1),1)+IFERROR(IF(AND(LEN(J589)=6,ISNUMBER(VALUE(J589))),0,1),1)+IFERROR(IF(ISNUMBER(MATCH(TRIM(I589),Lists!$A$2:$A$20,0)),0,1),1)+IFERROR(IF(AND(LEN(K589)=10,VALUE(LEFT(K589,FIND("/",K589)-1))&gt;=1,VALUE(LEFT(K589,FIND("/",K589)-1))&lt;=31,VALUE(LEFT(MID(K589,FIND("/",K589)+1,10),FIND("/",MID(K589,FIND("/",K589)+1,10))-1))&gt;=1,VALUE(LEFT(MID(K589,FIND("/",K589)+1,10),FIND("/",MID(K589,FIND("/",K589)+1,10))-1))&lt;=12,VALUE(LEFT(K589,FIND("/",K589)-1))&lt;=DAY(EOMONTH(DATE(VALUE(MID(MID(K589,FIND("/",K589)+1,10),FIND("/",MID(K589,FIND("/",K589)+1,10))+1,4)),VALUE(LEFT(MID(K589,FIND("/",K589)+1,10),FIND("/",MID(K589,FIND("/",K589)+1,10))-1)),1),0))),0,1),1)+IFERROR(IF(M589&gt;=0,0,1),1)+IFERROR(IF(ISNUMBER(MATCH(N589,Lists!$B$2:$B$7,0)),0,1),1))=0,"OK","ERROR"))</f>
        <v/>
      </c>
      <c r="Q589" s="3" t="str">
        <f aca="false">IF(D589="","",TRIM(IF(IFERROR(IF(AND(TRIM(D589)=D589,LEN(D589)&gt;0),0,1),1)=1,"Name; ","")&amp;IF(IFERROR(IF(AND(LEN(E589)=10,ISNUMBER(VALUE(E589))),0,1),1)=1,"Phone; ","")&amp;IF(IFERROR(IF(AND(ISNUMBER(SEARCH("@",F589)),ISNUMBER(SEARCH(".",F589))),0,1),1)=1,"Email; ","")&amp;IF(IFERROR(IF(AND(LEN(J589)=6,ISNUMBER(VALUE(J589))),0,1),1)=1,"Pincode; ","")&amp;IF(IFERROR(IF(ISNUMBER(MATCH(TRIM(I589),Lists!$A$2:$A$20,0)),0,1),1)=1,"State; ","")&amp;IF(IFERROR(IF(AND(LEN(K589)=10,VALUE(LEFT(K589,FIND("/",K589)-1))&gt;=1,VALUE(LEFT(K589,FIND("/",K589)-1))&lt;=31,VALUE(LEFT(MID(K589,FIND("/",K589)+1,10),FIND("/",MID(K589,FIND("/",K589)+1,10))-1))&gt;=1,VALUE(LEFT(MID(K589,FIND("/",K589)+1,10),FIND("/",MID(K589,FIND("/",K589)+1,10))-1))&lt;=12,VALUE(LEFT(K589,FIND("/",K589)-1))&lt;=DAY(EOMONTH(DATE(VALUE(MID(MID(K589,FIND("/",K589)+1,10),FIND("/",MID(K589,FIND("/",K589)+1,10))+1,4)),VALUE(LEFT(MID(K589,FIND("/",K589)+1,10),FIND("/",MID(K589,FIND("/",K589)+1,10))-1)),1),0))),0,1),1)=1,"Date; ","")&amp;IF(IFERROR(IF(M589&gt;=0,0,1),1)=1,"Amount; ","")&amp;IF(IFERROR(IF(ISNUMBER(MATCH(N589,Lists!$B$2:$B$7,0)),0,1),1)=1,"Payment; ","")))</f>
        <v/>
      </c>
      <c r="R589" s="3" t="str">
        <f aca="false">IF(D589="","",IF(COUNTIFS($D$2:$D$701,D589,$E$2:$E$701,E589)&gt;1,"DUPLICATE","Unique"))</f>
        <v/>
      </c>
    </row>
    <row r="590" customFormat="false" ht="15" hidden="false" customHeight="false" outlineLevel="0" collapsed="false">
      <c r="A590" s="3" t="n">
        <v>589</v>
      </c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3" t="n">
        <f aca="false">IFERROR(LEN(C590&amp;D590&amp;E590&amp;F590&amp;G590&amp;H590&amp;I590&amp;J590&amp;K590&amp;L590&amp;M590&amp;N590)/5,0)</f>
        <v>0</v>
      </c>
      <c r="P590" s="3" t="str">
        <f aca="false">IF(OR(D590="",C590=""),"",IF((IFERROR(IF(AND(TRIM(D590)=D590,LEN(D590)&gt;0),0,1),1)+IFERROR(IF(AND(LEN(E590)=10,ISNUMBER(VALUE(E590))),0,1),1)+IFERROR(IF(AND(ISNUMBER(SEARCH("@",F590)),ISNUMBER(SEARCH(".",F590))),0,1),1)+IFERROR(IF(AND(LEN(J590)=6,ISNUMBER(VALUE(J590))),0,1),1)+IFERROR(IF(ISNUMBER(MATCH(TRIM(I590),Lists!$A$2:$A$20,0)),0,1),1)+IFERROR(IF(AND(LEN(K590)=10,VALUE(LEFT(K590,FIND("/",K590)-1))&gt;=1,VALUE(LEFT(K590,FIND("/",K590)-1))&lt;=31,VALUE(LEFT(MID(K590,FIND("/",K590)+1,10),FIND("/",MID(K590,FIND("/",K590)+1,10))-1))&gt;=1,VALUE(LEFT(MID(K590,FIND("/",K590)+1,10),FIND("/",MID(K590,FIND("/",K590)+1,10))-1))&lt;=12,VALUE(LEFT(K590,FIND("/",K590)-1))&lt;=DAY(EOMONTH(DATE(VALUE(MID(MID(K590,FIND("/",K590)+1,10),FIND("/",MID(K590,FIND("/",K590)+1,10))+1,4)),VALUE(LEFT(MID(K590,FIND("/",K590)+1,10),FIND("/",MID(K590,FIND("/",K590)+1,10))-1)),1),0))),0,1),1)+IFERROR(IF(M590&gt;=0,0,1),1)+IFERROR(IF(ISNUMBER(MATCH(N590,Lists!$B$2:$B$7,0)),0,1),1))=0,"OK","ERROR"))</f>
        <v/>
      </c>
      <c r="Q590" s="3" t="str">
        <f aca="false">IF(D590="","",TRIM(IF(IFERROR(IF(AND(TRIM(D590)=D590,LEN(D590)&gt;0),0,1),1)=1,"Name; ","")&amp;IF(IFERROR(IF(AND(LEN(E590)=10,ISNUMBER(VALUE(E590))),0,1),1)=1,"Phone; ","")&amp;IF(IFERROR(IF(AND(ISNUMBER(SEARCH("@",F590)),ISNUMBER(SEARCH(".",F590))),0,1),1)=1,"Email; ","")&amp;IF(IFERROR(IF(AND(LEN(J590)=6,ISNUMBER(VALUE(J590))),0,1),1)=1,"Pincode; ","")&amp;IF(IFERROR(IF(ISNUMBER(MATCH(TRIM(I590),Lists!$A$2:$A$20,0)),0,1),1)=1,"State; ","")&amp;IF(IFERROR(IF(AND(LEN(K590)=10,VALUE(LEFT(K590,FIND("/",K590)-1))&gt;=1,VALUE(LEFT(K590,FIND("/",K590)-1))&lt;=31,VALUE(LEFT(MID(K590,FIND("/",K590)+1,10),FIND("/",MID(K590,FIND("/",K590)+1,10))-1))&gt;=1,VALUE(LEFT(MID(K590,FIND("/",K590)+1,10),FIND("/",MID(K590,FIND("/",K590)+1,10))-1))&lt;=12,VALUE(LEFT(K590,FIND("/",K590)-1))&lt;=DAY(EOMONTH(DATE(VALUE(MID(MID(K590,FIND("/",K590)+1,10),FIND("/",MID(K590,FIND("/",K590)+1,10))+1,4)),VALUE(LEFT(MID(K590,FIND("/",K590)+1,10),FIND("/",MID(K590,FIND("/",K590)+1,10))-1)),1),0))),0,1),1)=1,"Date; ","")&amp;IF(IFERROR(IF(M590&gt;=0,0,1),1)=1,"Amount; ","")&amp;IF(IFERROR(IF(ISNUMBER(MATCH(N590,Lists!$B$2:$B$7,0)),0,1),1)=1,"Payment; ","")))</f>
        <v/>
      </c>
      <c r="R590" s="3" t="str">
        <f aca="false">IF(D590="","",IF(COUNTIFS($D$2:$D$701,D590,$E$2:$E$701,E590)&gt;1,"DUPLICATE","Unique"))</f>
        <v/>
      </c>
    </row>
    <row r="591" customFormat="false" ht="15" hidden="false" customHeight="false" outlineLevel="0" collapsed="false">
      <c r="A591" s="3" t="n">
        <v>590</v>
      </c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3" t="n">
        <f aca="false">IFERROR(LEN(C591&amp;D591&amp;E591&amp;F591&amp;G591&amp;H591&amp;I591&amp;J591&amp;K591&amp;L591&amp;M591&amp;N591)/5,0)</f>
        <v>0</v>
      </c>
      <c r="P591" s="3" t="str">
        <f aca="false">IF(OR(D591="",C591=""),"",IF((IFERROR(IF(AND(TRIM(D591)=D591,LEN(D591)&gt;0),0,1),1)+IFERROR(IF(AND(LEN(E591)=10,ISNUMBER(VALUE(E591))),0,1),1)+IFERROR(IF(AND(ISNUMBER(SEARCH("@",F591)),ISNUMBER(SEARCH(".",F591))),0,1),1)+IFERROR(IF(AND(LEN(J591)=6,ISNUMBER(VALUE(J591))),0,1),1)+IFERROR(IF(ISNUMBER(MATCH(TRIM(I591),Lists!$A$2:$A$20,0)),0,1),1)+IFERROR(IF(AND(LEN(K591)=10,VALUE(LEFT(K591,FIND("/",K591)-1))&gt;=1,VALUE(LEFT(K591,FIND("/",K591)-1))&lt;=31,VALUE(LEFT(MID(K591,FIND("/",K591)+1,10),FIND("/",MID(K591,FIND("/",K591)+1,10))-1))&gt;=1,VALUE(LEFT(MID(K591,FIND("/",K591)+1,10),FIND("/",MID(K591,FIND("/",K591)+1,10))-1))&lt;=12,VALUE(LEFT(K591,FIND("/",K591)-1))&lt;=DAY(EOMONTH(DATE(VALUE(MID(MID(K591,FIND("/",K591)+1,10),FIND("/",MID(K591,FIND("/",K591)+1,10))+1,4)),VALUE(LEFT(MID(K591,FIND("/",K591)+1,10),FIND("/",MID(K591,FIND("/",K591)+1,10))-1)),1),0))),0,1),1)+IFERROR(IF(M591&gt;=0,0,1),1)+IFERROR(IF(ISNUMBER(MATCH(N591,Lists!$B$2:$B$7,0)),0,1),1))=0,"OK","ERROR"))</f>
        <v/>
      </c>
      <c r="Q591" s="3" t="str">
        <f aca="false">IF(D591="","",TRIM(IF(IFERROR(IF(AND(TRIM(D591)=D591,LEN(D591)&gt;0),0,1),1)=1,"Name; ","")&amp;IF(IFERROR(IF(AND(LEN(E591)=10,ISNUMBER(VALUE(E591))),0,1),1)=1,"Phone; ","")&amp;IF(IFERROR(IF(AND(ISNUMBER(SEARCH("@",F591)),ISNUMBER(SEARCH(".",F591))),0,1),1)=1,"Email; ","")&amp;IF(IFERROR(IF(AND(LEN(J591)=6,ISNUMBER(VALUE(J591))),0,1),1)=1,"Pincode; ","")&amp;IF(IFERROR(IF(ISNUMBER(MATCH(TRIM(I591),Lists!$A$2:$A$20,0)),0,1),1)=1,"State; ","")&amp;IF(IFERROR(IF(AND(LEN(K591)=10,VALUE(LEFT(K591,FIND("/",K591)-1))&gt;=1,VALUE(LEFT(K591,FIND("/",K591)-1))&lt;=31,VALUE(LEFT(MID(K591,FIND("/",K591)+1,10),FIND("/",MID(K591,FIND("/",K591)+1,10))-1))&gt;=1,VALUE(LEFT(MID(K591,FIND("/",K591)+1,10),FIND("/",MID(K591,FIND("/",K591)+1,10))-1))&lt;=12,VALUE(LEFT(K591,FIND("/",K591)-1))&lt;=DAY(EOMONTH(DATE(VALUE(MID(MID(K591,FIND("/",K591)+1,10),FIND("/",MID(K591,FIND("/",K591)+1,10))+1,4)),VALUE(LEFT(MID(K591,FIND("/",K591)+1,10),FIND("/",MID(K591,FIND("/",K591)+1,10))-1)),1),0))),0,1),1)=1,"Date; ","")&amp;IF(IFERROR(IF(M591&gt;=0,0,1),1)=1,"Amount; ","")&amp;IF(IFERROR(IF(ISNUMBER(MATCH(N591,Lists!$B$2:$B$7,0)),0,1),1)=1,"Payment; ","")))</f>
        <v/>
      </c>
      <c r="R591" s="3" t="str">
        <f aca="false">IF(D591="","",IF(COUNTIFS($D$2:$D$701,D591,$E$2:$E$701,E591)&gt;1,"DUPLICATE","Unique"))</f>
        <v/>
      </c>
    </row>
    <row r="592" customFormat="false" ht="15" hidden="false" customHeight="false" outlineLevel="0" collapsed="false">
      <c r="A592" s="3" t="n">
        <v>591</v>
      </c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3" t="n">
        <f aca="false">IFERROR(LEN(C592&amp;D592&amp;E592&amp;F592&amp;G592&amp;H592&amp;I592&amp;J592&amp;K592&amp;L592&amp;M592&amp;N592)/5,0)</f>
        <v>0</v>
      </c>
      <c r="P592" s="3" t="str">
        <f aca="false">IF(OR(D592="",C592=""),"",IF((IFERROR(IF(AND(TRIM(D592)=D592,LEN(D592)&gt;0),0,1),1)+IFERROR(IF(AND(LEN(E592)=10,ISNUMBER(VALUE(E592))),0,1),1)+IFERROR(IF(AND(ISNUMBER(SEARCH("@",F592)),ISNUMBER(SEARCH(".",F592))),0,1),1)+IFERROR(IF(AND(LEN(J592)=6,ISNUMBER(VALUE(J592))),0,1),1)+IFERROR(IF(ISNUMBER(MATCH(TRIM(I592),Lists!$A$2:$A$20,0)),0,1),1)+IFERROR(IF(AND(LEN(K592)=10,VALUE(LEFT(K592,FIND("/",K592)-1))&gt;=1,VALUE(LEFT(K592,FIND("/",K592)-1))&lt;=31,VALUE(LEFT(MID(K592,FIND("/",K592)+1,10),FIND("/",MID(K592,FIND("/",K592)+1,10))-1))&gt;=1,VALUE(LEFT(MID(K592,FIND("/",K592)+1,10),FIND("/",MID(K592,FIND("/",K592)+1,10))-1))&lt;=12,VALUE(LEFT(K592,FIND("/",K592)-1))&lt;=DAY(EOMONTH(DATE(VALUE(MID(MID(K592,FIND("/",K592)+1,10),FIND("/",MID(K592,FIND("/",K592)+1,10))+1,4)),VALUE(LEFT(MID(K592,FIND("/",K592)+1,10),FIND("/",MID(K592,FIND("/",K592)+1,10))-1)),1),0))),0,1),1)+IFERROR(IF(M592&gt;=0,0,1),1)+IFERROR(IF(ISNUMBER(MATCH(N592,Lists!$B$2:$B$7,0)),0,1),1))=0,"OK","ERROR"))</f>
        <v/>
      </c>
      <c r="Q592" s="3" t="str">
        <f aca="false">IF(D592="","",TRIM(IF(IFERROR(IF(AND(TRIM(D592)=D592,LEN(D592)&gt;0),0,1),1)=1,"Name; ","")&amp;IF(IFERROR(IF(AND(LEN(E592)=10,ISNUMBER(VALUE(E592))),0,1),1)=1,"Phone; ","")&amp;IF(IFERROR(IF(AND(ISNUMBER(SEARCH("@",F592)),ISNUMBER(SEARCH(".",F592))),0,1),1)=1,"Email; ","")&amp;IF(IFERROR(IF(AND(LEN(J592)=6,ISNUMBER(VALUE(J592))),0,1),1)=1,"Pincode; ","")&amp;IF(IFERROR(IF(ISNUMBER(MATCH(TRIM(I592),Lists!$A$2:$A$20,0)),0,1),1)=1,"State; ","")&amp;IF(IFERROR(IF(AND(LEN(K592)=10,VALUE(LEFT(K592,FIND("/",K592)-1))&gt;=1,VALUE(LEFT(K592,FIND("/",K592)-1))&lt;=31,VALUE(LEFT(MID(K592,FIND("/",K592)+1,10),FIND("/",MID(K592,FIND("/",K592)+1,10))-1))&gt;=1,VALUE(LEFT(MID(K592,FIND("/",K592)+1,10),FIND("/",MID(K592,FIND("/",K592)+1,10))-1))&lt;=12,VALUE(LEFT(K592,FIND("/",K592)-1))&lt;=DAY(EOMONTH(DATE(VALUE(MID(MID(K592,FIND("/",K592)+1,10),FIND("/",MID(K592,FIND("/",K592)+1,10))+1,4)),VALUE(LEFT(MID(K592,FIND("/",K592)+1,10),FIND("/",MID(K592,FIND("/",K592)+1,10))-1)),1),0))),0,1),1)=1,"Date; ","")&amp;IF(IFERROR(IF(M592&gt;=0,0,1),1)=1,"Amount; ","")&amp;IF(IFERROR(IF(ISNUMBER(MATCH(N592,Lists!$B$2:$B$7,0)),0,1),1)=1,"Payment; ","")))</f>
        <v/>
      </c>
      <c r="R592" s="3" t="str">
        <f aca="false">IF(D592="","",IF(COUNTIFS($D$2:$D$701,D592,$E$2:$E$701,E592)&gt;1,"DUPLICATE","Unique"))</f>
        <v/>
      </c>
    </row>
    <row r="593" customFormat="false" ht="15" hidden="false" customHeight="false" outlineLevel="0" collapsed="false">
      <c r="A593" s="3" t="n">
        <v>592</v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3" t="n">
        <f aca="false">IFERROR(LEN(C593&amp;D593&amp;E593&amp;F593&amp;G593&amp;H593&amp;I593&amp;J593&amp;K593&amp;L593&amp;M593&amp;N593)/5,0)</f>
        <v>0</v>
      </c>
      <c r="P593" s="3" t="str">
        <f aca="false">IF(OR(D593="",C593=""),"",IF((IFERROR(IF(AND(TRIM(D593)=D593,LEN(D593)&gt;0),0,1),1)+IFERROR(IF(AND(LEN(E593)=10,ISNUMBER(VALUE(E593))),0,1),1)+IFERROR(IF(AND(ISNUMBER(SEARCH("@",F593)),ISNUMBER(SEARCH(".",F593))),0,1),1)+IFERROR(IF(AND(LEN(J593)=6,ISNUMBER(VALUE(J593))),0,1),1)+IFERROR(IF(ISNUMBER(MATCH(TRIM(I593),Lists!$A$2:$A$20,0)),0,1),1)+IFERROR(IF(AND(LEN(K593)=10,VALUE(LEFT(K593,FIND("/",K593)-1))&gt;=1,VALUE(LEFT(K593,FIND("/",K593)-1))&lt;=31,VALUE(LEFT(MID(K593,FIND("/",K593)+1,10),FIND("/",MID(K593,FIND("/",K593)+1,10))-1))&gt;=1,VALUE(LEFT(MID(K593,FIND("/",K593)+1,10),FIND("/",MID(K593,FIND("/",K593)+1,10))-1))&lt;=12,VALUE(LEFT(K593,FIND("/",K593)-1))&lt;=DAY(EOMONTH(DATE(VALUE(MID(MID(K593,FIND("/",K593)+1,10),FIND("/",MID(K593,FIND("/",K593)+1,10))+1,4)),VALUE(LEFT(MID(K593,FIND("/",K593)+1,10),FIND("/",MID(K593,FIND("/",K593)+1,10))-1)),1),0))),0,1),1)+IFERROR(IF(M593&gt;=0,0,1),1)+IFERROR(IF(ISNUMBER(MATCH(N593,Lists!$B$2:$B$7,0)),0,1),1))=0,"OK","ERROR"))</f>
        <v/>
      </c>
      <c r="Q593" s="3" t="str">
        <f aca="false">IF(D593="","",TRIM(IF(IFERROR(IF(AND(TRIM(D593)=D593,LEN(D593)&gt;0),0,1),1)=1,"Name; ","")&amp;IF(IFERROR(IF(AND(LEN(E593)=10,ISNUMBER(VALUE(E593))),0,1),1)=1,"Phone; ","")&amp;IF(IFERROR(IF(AND(ISNUMBER(SEARCH("@",F593)),ISNUMBER(SEARCH(".",F593))),0,1),1)=1,"Email; ","")&amp;IF(IFERROR(IF(AND(LEN(J593)=6,ISNUMBER(VALUE(J593))),0,1),1)=1,"Pincode; ","")&amp;IF(IFERROR(IF(ISNUMBER(MATCH(TRIM(I593),Lists!$A$2:$A$20,0)),0,1),1)=1,"State; ","")&amp;IF(IFERROR(IF(AND(LEN(K593)=10,VALUE(LEFT(K593,FIND("/",K593)-1))&gt;=1,VALUE(LEFT(K593,FIND("/",K593)-1))&lt;=31,VALUE(LEFT(MID(K593,FIND("/",K593)+1,10),FIND("/",MID(K593,FIND("/",K593)+1,10))-1))&gt;=1,VALUE(LEFT(MID(K593,FIND("/",K593)+1,10),FIND("/",MID(K593,FIND("/",K593)+1,10))-1))&lt;=12,VALUE(LEFT(K593,FIND("/",K593)-1))&lt;=DAY(EOMONTH(DATE(VALUE(MID(MID(K593,FIND("/",K593)+1,10),FIND("/",MID(K593,FIND("/",K593)+1,10))+1,4)),VALUE(LEFT(MID(K593,FIND("/",K593)+1,10),FIND("/",MID(K593,FIND("/",K593)+1,10))-1)),1),0))),0,1),1)=1,"Date; ","")&amp;IF(IFERROR(IF(M593&gt;=0,0,1),1)=1,"Amount; ","")&amp;IF(IFERROR(IF(ISNUMBER(MATCH(N593,Lists!$B$2:$B$7,0)),0,1),1)=1,"Payment; ","")))</f>
        <v/>
      </c>
      <c r="R593" s="3" t="str">
        <f aca="false">IF(D593="","",IF(COUNTIFS($D$2:$D$701,D593,$E$2:$E$701,E593)&gt;1,"DUPLICATE","Unique"))</f>
        <v/>
      </c>
    </row>
    <row r="594" customFormat="false" ht="15" hidden="false" customHeight="false" outlineLevel="0" collapsed="false">
      <c r="A594" s="3" t="n">
        <v>593</v>
      </c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3" t="n">
        <f aca="false">IFERROR(LEN(C594&amp;D594&amp;E594&amp;F594&amp;G594&amp;H594&amp;I594&amp;J594&amp;K594&amp;L594&amp;M594&amp;N594)/5,0)</f>
        <v>0</v>
      </c>
      <c r="P594" s="3" t="str">
        <f aca="false">IF(OR(D594="",C594=""),"",IF((IFERROR(IF(AND(TRIM(D594)=D594,LEN(D594)&gt;0),0,1),1)+IFERROR(IF(AND(LEN(E594)=10,ISNUMBER(VALUE(E594))),0,1),1)+IFERROR(IF(AND(ISNUMBER(SEARCH("@",F594)),ISNUMBER(SEARCH(".",F594))),0,1),1)+IFERROR(IF(AND(LEN(J594)=6,ISNUMBER(VALUE(J594))),0,1),1)+IFERROR(IF(ISNUMBER(MATCH(TRIM(I594),Lists!$A$2:$A$20,0)),0,1),1)+IFERROR(IF(AND(LEN(K594)=10,VALUE(LEFT(K594,FIND("/",K594)-1))&gt;=1,VALUE(LEFT(K594,FIND("/",K594)-1))&lt;=31,VALUE(LEFT(MID(K594,FIND("/",K594)+1,10),FIND("/",MID(K594,FIND("/",K594)+1,10))-1))&gt;=1,VALUE(LEFT(MID(K594,FIND("/",K594)+1,10),FIND("/",MID(K594,FIND("/",K594)+1,10))-1))&lt;=12,VALUE(LEFT(K594,FIND("/",K594)-1))&lt;=DAY(EOMONTH(DATE(VALUE(MID(MID(K594,FIND("/",K594)+1,10),FIND("/",MID(K594,FIND("/",K594)+1,10))+1,4)),VALUE(LEFT(MID(K594,FIND("/",K594)+1,10),FIND("/",MID(K594,FIND("/",K594)+1,10))-1)),1),0))),0,1),1)+IFERROR(IF(M594&gt;=0,0,1),1)+IFERROR(IF(ISNUMBER(MATCH(N594,Lists!$B$2:$B$7,0)),0,1),1))=0,"OK","ERROR"))</f>
        <v/>
      </c>
      <c r="Q594" s="3" t="str">
        <f aca="false">IF(D594="","",TRIM(IF(IFERROR(IF(AND(TRIM(D594)=D594,LEN(D594)&gt;0),0,1),1)=1,"Name; ","")&amp;IF(IFERROR(IF(AND(LEN(E594)=10,ISNUMBER(VALUE(E594))),0,1),1)=1,"Phone; ","")&amp;IF(IFERROR(IF(AND(ISNUMBER(SEARCH("@",F594)),ISNUMBER(SEARCH(".",F594))),0,1),1)=1,"Email; ","")&amp;IF(IFERROR(IF(AND(LEN(J594)=6,ISNUMBER(VALUE(J594))),0,1),1)=1,"Pincode; ","")&amp;IF(IFERROR(IF(ISNUMBER(MATCH(TRIM(I594),Lists!$A$2:$A$20,0)),0,1),1)=1,"State; ","")&amp;IF(IFERROR(IF(AND(LEN(K594)=10,VALUE(LEFT(K594,FIND("/",K594)-1))&gt;=1,VALUE(LEFT(K594,FIND("/",K594)-1))&lt;=31,VALUE(LEFT(MID(K594,FIND("/",K594)+1,10),FIND("/",MID(K594,FIND("/",K594)+1,10))-1))&gt;=1,VALUE(LEFT(MID(K594,FIND("/",K594)+1,10),FIND("/",MID(K594,FIND("/",K594)+1,10))-1))&lt;=12,VALUE(LEFT(K594,FIND("/",K594)-1))&lt;=DAY(EOMONTH(DATE(VALUE(MID(MID(K594,FIND("/",K594)+1,10),FIND("/",MID(K594,FIND("/",K594)+1,10))+1,4)),VALUE(LEFT(MID(K594,FIND("/",K594)+1,10),FIND("/",MID(K594,FIND("/",K594)+1,10))-1)),1),0))),0,1),1)=1,"Date; ","")&amp;IF(IFERROR(IF(M594&gt;=0,0,1),1)=1,"Amount; ","")&amp;IF(IFERROR(IF(ISNUMBER(MATCH(N594,Lists!$B$2:$B$7,0)),0,1),1)=1,"Payment; ","")))</f>
        <v/>
      </c>
      <c r="R594" s="3" t="str">
        <f aca="false">IF(D594="","",IF(COUNTIFS($D$2:$D$701,D594,$E$2:$E$701,E594)&gt;1,"DUPLICATE","Unique"))</f>
        <v/>
      </c>
    </row>
    <row r="595" customFormat="false" ht="15" hidden="false" customHeight="false" outlineLevel="0" collapsed="false">
      <c r="A595" s="3" t="n">
        <v>594</v>
      </c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3" t="n">
        <f aca="false">IFERROR(LEN(C595&amp;D595&amp;E595&amp;F595&amp;G595&amp;H595&amp;I595&amp;J595&amp;K595&amp;L595&amp;M595&amp;N595)/5,0)</f>
        <v>0</v>
      </c>
      <c r="P595" s="3" t="str">
        <f aca="false">IF(OR(D595="",C595=""),"",IF((IFERROR(IF(AND(TRIM(D595)=D595,LEN(D595)&gt;0),0,1),1)+IFERROR(IF(AND(LEN(E595)=10,ISNUMBER(VALUE(E595))),0,1),1)+IFERROR(IF(AND(ISNUMBER(SEARCH("@",F595)),ISNUMBER(SEARCH(".",F595))),0,1),1)+IFERROR(IF(AND(LEN(J595)=6,ISNUMBER(VALUE(J595))),0,1),1)+IFERROR(IF(ISNUMBER(MATCH(TRIM(I595),Lists!$A$2:$A$20,0)),0,1),1)+IFERROR(IF(AND(LEN(K595)=10,VALUE(LEFT(K595,FIND("/",K595)-1))&gt;=1,VALUE(LEFT(K595,FIND("/",K595)-1))&lt;=31,VALUE(LEFT(MID(K595,FIND("/",K595)+1,10),FIND("/",MID(K595,FIND("/",K595)+1,10))-1))&gt;=1,VALUE(LEFT(MID(K595,FIND("/",K595)+1,10),FIND("/",MID(K595,FIND("/",K595)+1,10))-1))&lt;=12,VALUE(LEFT(K595,FIND("/",K595)-1))&lt;=DAY(EOMONTH(DATE(VALUE(MID(MID(K595,FIND("/",K595)+1,10),FIND("/",MID(K595,FIND("/",K595)+1,10))+1,4)),VALUE(LEFT(MID(K595,FIND("/",K595)+1,10),FIND("/",MID(K595,FIND("/",K595)+1,10))-1)),1),0))),0,1),1)+IFERROR(IF(M595&gt;=0,0,1),1)+IFERROR(IF(ISNUMBER(MATCH(N595,Lists!$B$2:$B$7,0)),0,1),1))=0,"OK","ERROR"))</f>
        <v/>
      </c>
      <c r="Q595" s="3" t="str">
        <f aca="false">IF(D595="","",TRIM(IF(IFERROR(IF(AND(TRIM(D595)=D595,LEN(D595)&gt;0),0,1),1)=1,"Name; ","")&amp;IF(IFERROR(IF(AND(LEN(E595)=10,ISNUMBER(VALUE(E595))),0,1),1)=1,"Phone; ","")&amp;IF(IFERROR(IF(AND(ISNUMBER(SEARCH("@",F595)),ISNUMBER(SEARCH(".",F595))),0,1),1)=1,"Email; ","")&amp;IF(IFERROR(IF(AND(LEN(J595)=6,ISNUMBER(VALUE(J595))),0,1),1)=1,"Pincode; ","")&amp;IF(IFERROR(IF(ISNUMBER(MATCH(TRIM(I595),Lists!$A$2:$A$20,0)),0,1),1)=1,"State; ","")&amp;IF(IFERROR(IF(AND(LEN(K595)=10,VALUE(LEFT(K595,FIND("/",K595)-1))&gt;=1,VALUE(LEFT(K595,FIND("/",K595)-1))&lt;=31,VALUE(LEFT(MID(K595,FIND("/",K595)+1,10),FIND("/",MID(K595,FIND("/",K595)+1,10))-1))&gt;=1,VALUE(LEFT(MID(K595,FIND("/",K595)+1,10),FIND("/",MID(K595,FIND("/",K595)+1,10))-1))&lt;=12,VALUE(LEFT(K595,FIND("/",K595)-1))&lt;=DAY(EOMONTH(DATE(VALUE(MID(MID(K595,FIND("/",K595)+1,10),FIND("/",MID(K595,FIND("/",K595)+1,10))+1,4)),VALUE(LEFT(MID(K595,FIND("/",K595)+1,10),FIND("/",MID(K595,FIND("/",K595)+1,10))-1)),1),0))),0,1),1)=1,"Date; ","")&amp;IF(IFERROR(IF(M595&gt;=0,0,1),1)=1,"Amount; ","")&amp;IF(IFERROR(IF(ISNUMBER(MATCH(N595,Lists!$B$2:$B$7,0)),0,1),1)=1,"Payment; ","")))</f>
        <v/>
      </c>
      <c r="R595" s="3" t="str">
        <f aca="false">IF(D595="","",IF(COUNTIFS($D$2:$D$701,D595,$E$2:$E$701,E595)&gt;1,"DUPLICATE","Unique"))</f>
        <v/>
      </c>
    </row>
    <row r="596" customFormat="false" ht="15" hidden="false" customHeight="false" outlineLevel="0" collapsed="false">
      <c r="A596" s="3" t="n">
        <v>595</v>
      </c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3" t="n">
        <f aca="false">IFERROR(LEN(C596&amp;D596&amp;E596&amp;F596&amp;G596&amp;H596&amp;I596&amp;J596&amp;K596&amp;L596&amp;M596&amp;N596)/5,0)</f>
        <v>0</v>
      </c>
      <c r="P596" s="3" t="str">
        <f aca="false">IF(OR(D596="",C596=""),"",IF((IFERROR(IF(AND(TRIM(D596)=D596,LEN(D596)&gt;0),0,1),1)+IFERROR(IF(AND(LEN(E596)=10,ISNUMBER(VALUE(E596))),0,1),1)+IFERROR(IF(AND(ISNUMBER(SEARCH("@",F596)),ISNUMBER(SEARCH(".",F596))),0,1),1)+IFERROR(IF(AND(LEN(J596)=6,ISNUMBER(VALUE(J596))),0,1),1)+IFERROR(IF(ISNUMBER(MATCH(TRIM(I596),Lists!$A$2:$A$20,0)),0,1),1)+IFERROR(IF(AND(LEN(K596)=10,VALUE(LEFT(K596,FIND("/",K596)-1))&gt;=1,VALUE(LEFT(K596,FIND("/",K596)-1))&lt;=31,VALUE(LEFT(MID(K596,FIND("/",K596)+1,10),FIND("/",MID(K596,FIND("/",K596)+1,10))-1))&gt;=1,VALUE(LEFT(MID(K596,FIND("/",K596)+1,10),FIND("/",MID(K596,FIND("/",K596)+1,10))-1))&lt;=12,VALUE(LEFT(K596,FIND("/",K596)-1))&lt;=DAY(EOMONTH(DATE(VALUE(MID(MID(K596,FIND("/",K596)+1,10),FIND("/",MID(K596,FIND("/",K596)+1,10))+1,4)),VALUE(LEFT(MID(K596,FIND("/",K596)+1,10),FIND("/",MID(K596,FIND("/",K596)+1,10))-1)),1),0))),0,1),1)+IFERROR(IF(M596&gt;=0,0,1),1)+IFERROR(IF(ISNUMBER(MATCH(N596,Lists!$B$2:$B$7,0)),0,1),1))=0,"OK","ERROR"))</f>
        <v/>
      </c>
      <c r="Q596" s="3" t="str">
        <f aca="false">IF(D596="","",TRIM(IF(IFERROR(IF(AND(TRIM(D596)=D596,LEN(D596)&gt;0),0,1),1)=1,"Name; ","")&amp;IF(IFERROR(IF(AND(LEN(E596)=10,ISNUMBER(VALUE(E596))),0,1),1)=1,"Phone; ","")&amp;IF(IFERROR(IF(AND(ISNUMBER(SEARCH("@",F596)),ISNUMBER(SEARCH(".",F596))),0,1),1)=1,"Email; ","")&amp;IF(IFERROR(IF(AND(LEN(J596)=6,ISNUMBER(VALUE(J596))),0,1),1)=1,"Pincode; ","")&amp;IF(IFERROR(IF(ISNUMBER(MATCH(TRIM(I596),Lists!$A$2:$A$20,0)),0,1),1)=1,"State; ","")&amp;IF(IFERROR(IF(AND(LEN(K596)=10,VALUE(LEFT(K596,FIND("/",K596)-1))&gt;=1,VALUE(LEFT(K596,FIND("/",K596)-1))&lt;=31,VALUE(LEFT(MID(K596,FIND("/",K596)+1,10),FIND("/",MID(K596,FIND("/",K596)+1,10))-1))&gt;=1,VALUE(LEFT(MID(K596,FIND("/",K596)+1,10),FIND("/",MID(K596,FIND("/",K596)+1,10))-1))&lt;=12,VALUE(LEFT(K596,FIND("/",K596)-1))&lt;=DAY(EOMONTH(DATE(VALUE(MID(MID(K596,FIND("/",K596)+1,10),FIND("/",MID(K596,FIND("/",K596)+1,10))+1,4)),VALUE(LEFT(MID(K596,FIND("/",K596)+1,10),FIND("/",MID(K596,FIND("/",K596)+1,10))-1)),1),0))),0,1),1)=1,"Date; ","")&amp;IF(IFERROR(IF(M596&gt;=0,0,1),1)=1,"Amount; ","")&amp;IF(IFERROR(IF(ISNUMBER(MATCH(N596,Lists!$B$2:$B$7,0)),0,1),1)=1,"Payment; ","")))</f>
        <v/>
      </c>
      <c r="R596" s="3" t="str">
        <f aca="false">IF(D596="","",IF(COUNTIFS($D$2:$D$701,D596,$E$2:$E$701,E596)&gt;1,"DUPLICATE","Unique"))</f>
        <v/>
      </c>
    </row>
    <row r="597" customFormat="false" ht="15" hidden="false" customHeight="false" outlineLevel="0" collapsed="false">
      <c r="A597" s="3" t="n">
        <v>596</v>
      </c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3" t="n">
        <f aca="false">IFERROR(LEN(C597&amp;D597&amp;E597&amp;F597&amp;G597&amp;H597&amp;I597&amp;J597&amp;K597&amp;L597&amp;M597&amp;N597)/5,0)</f>
        <v>0</v>
      </c>
      <c r="P597" s="3" t="str">
        <f aca="false">IF(OR(D597="",C597=""),"",IF((IFERROR(IF(AND(TRIM(D597)=D597,LEN(D597)&gt;0),0,1),1)+IFERROR(IF(AND(LEN(E597)=10,ISNUMBER(VALUE(E597))),0,1),1)+IFERROR(IF(AND(ISNUMBER(SEARCH("@",F597)),ISNUMBER(SEARCH(".",F597))),0,1),1)+IFERROR(IF(AND(LEN(J597)=6,ISNUMBER(VALUE(J597))),0,1),1)+IFERROR(IF(ISNUMBER(MATCH(TRIM(I597),Lists!$A$2:$A$20,0)),0,1),1)+IFERROR(IF(AND(LEN(K597)=10,VALUE(LEFT(K597,FIND("/",K597)-1))&gt;=1,VALUE(LEFT(K597,FIND("/",K597)-1))&lt;=31,VALUE(LEFT(MID(K597,FIND("/",K597)+1,10),FIND("/",MID(K597,FIND("/",K597)+1,10))-1))&gt;=1,VALUE(LEFT(MID(K597,FIND("/",K597)+1,10),FIND("/",MID(K597,FIND("/",K597)+1,10))-1))&lt;=12,VALUE(LEFT(K597,FIND("/",K597)-1))&lt;=DAY(EOMONTH(DATE(VALUE(MID(MID(K597,FIND("/",K597)+1,10),FIND("/",MID(K597,FIND("/",K597)+1,10))+1,4)),VALUE(LEFT(MID(K597,FIND("/",K597)+1,10),FIND("/",MID(K597,FIND("/",K597)+1,10))-1)),1),0))),0,1),1)+IFERROR(IF(M597&gt;=0,0,1),1)+IFERROR(IF(ISNUMBER(MATCH(N597,Lists!$B$2:$B$7,0)),0,1),1))=0,"OK","ERROR"))</f>
        <v/>
      </c>
      <c r="Q597" s="3" t="str">
        <f aca="false">IF(D597="","",TRIM(IF(IFERROR(IF(AND(TRIM(D597)=D597,LEN(D597)&gt;0),0,1),1)=1,"Name; ","")&amp;IF(IFERROR(IF(AND(LEN(E597)=10,ISNUMBER(VALUE(E597))),0,1),1)=1,"Phone; ","")&amp;IF(IFERROR(IF(AND(ISNUMBER(SEARCH("@",F597)),ISNUMBER(SEARCH(".",F597))),0,1),1)=1,"Email; ","")&amp;IF(IFERROR(IF(AND(LEN(J597)=6,ISNUMBER(VALUE(J597))),0,1),1)=1,"Pincode; ","")&amp;IF(IFERROR(IF(ISNUMBER(MATCH(TRIM(I597),Lists!$A$2:$A$20,0)),0,1),1)=1,"State; ","")&amp;IF(IFERROR(IF(AND(LEN(K597)=10,VALUE(LEFT(K597,FIND("/",K597)-1))&gt;=1,VALUE(LEFT(K597,FIND("/",K597)-1))&lt;=31,VALUE(LEFT(MID(K597,FIND("/",K597)+1,10),FIND("/",MID(K597,FIND("/",K597)+1,10))-1))&gt;=1,VALUE(LEFT(MID(K597,FIND("/",K597)+1,10),FIND("/",MID(K597,FIND("/",K597)+1,10))-1))&lt;=12,VALUE(LEFT(K597,FIND("/",K597)-1))&lt;=DAY(EOMONTH(DATE(VALUE(MID(MID(K597,FIND("/",K597)+1,10),FIND("/",MID(K597,FIND("/",K597)+1,10))+1,4)),VALUE(LEFT(MID(K597,FIND("/",K597)+1,10),FIND("/",MID(K597,FIND("/",K597)+1,10))-1)),1),0))),0,1),1)=1,"Date; ","")&amp;IF(IFERROR(IF(M597&gt;=0,0,1),1)=1,"Amount; ","")&amp;IF(IFERROR(IF(ISNUMBER(MATCH(N597,Lists!$B$2:$B$7,0)),0,1),1)=1,"Payment; ","")))</f>
        <v/>
      </c>
      <c r="R597" s="3" t="str">
        <f aca="false">IF(D597="","",IF(COUNTIFS($D$2:$D$701,D597,$E$2:$E$701,E597)&gt;1,"DUPLICATE","Unique"))</f>
        <v/>
      </c>
    </row>
    <row r="598" customFormat="false" ht="15" hidden="false" customHeight="false" outlineLevel="0" collapsed="false">
      <c r="A598" s="3" t="n">
        <v>597</v>
      </c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3" t="n">
        <f aca="false">IFERROR(LEN(C598&amp;D598&amp;E598&amp;F598&amp;G598&amp;H598&amp;I598&amp;J598&amp;K598&amp;L598&amp;M598&amp;N598)/5,0)</f>
        <v>0</v>
      </c>
      <c r="P598" s="3" t="str">
        <f aca="false">IF(OR(D598="",C598=""),"",IF((IFERROR(IF(AND(TRIM(D598)=D598,LEN(D598)&gt;0),0,1),1)+IFERROR(IF(AND(LEN(E598)=10,ISNUMBER(VALUE(E598))),0,1),1)+IFERROR(IF(AND(ISNUMBER(SEARCH("@",F598)),ISNUMBER(SEARCH(".",F598))),0,1),1)+IFERROR(IF(AND(LEN(J598)=6,ISNUMBER(VALUE(J598))),0,1),1)+IFERROR(IF(ISNUMBER(MATCH(TRIM(I598),Lists!$A$2:$A$20,0)),0,1),1)+IFERROR(IF(AND(LEN(K598)=10,VALUE(LEFT(K598,FIND("/",K598)-1))&gt;=1,VALUE(LEFT(K598,FIND("/",K598)-1))&lt;=31,VALUE(LEFT(MID(K598,FIND("/",K598)+1,10),FIND("/",MID(K598,FIND("/",K598)+1,10))-1))&gt;=1,VALUE(LEFT(MID(K598,FIND("/",K598)+1,10),FIND("/",MID(K598,FIND("/",K598)+1,10))-1))&lt;=12,VALUE(LEFT(K598,FIND("/",K598)-1))&lt;=DAY(EOMONTH(DATE(VALUE(MID(MID(K598,FIND("/",K598)+1,10),FIND("/",MID(K598,FIND("/",K598)+1,10))+1,4)),VALUE(LEFT(MID(K598,FIND("/",K598)+1,10),FIND("/",MID(K598,FIND("/",K598)+1,10))-1)),1),0))),0,1),1)+IFERROR(IF(M598&gt;=0,0,1),1)+IFERROR(IF(ISNUMBER(MATCH(N598,Lists!$B$2:$B$7,0)),0,1),1))=0,"OK","ERROR"))</f>
        <v/>
      </c>
      <c r="Q598" s="3" t="str">
        <f aca="false">IF(D598="","",TRIM(IF(IFERROR(IF(AND(TRIM(D598)=D598,LEN(D598)&gt;0),0,1),1)=1,"Name; ","")&amp;IF(IFERROR(IF(AND(LEN(E598)=10,ISNUMBER(VALUE(E598))),0,1),1)=1,"Phone; ","")&amp;IF(IFERROR(IF(AND(ISNUMBER(SEARCH("@",F598)),ISNUMBER(SEARCH(".",F598))),0,1),1)=1,"Email; ","")&amp;IF(IFERROR(IF(AND(LEN(J598)=6,ISNUMBER(VALUE(J598))),0,1),1)=1,"Pincode; ","")&amp;IF(IFERROR(IF(ISNUMBER(MATCH(TRIM(I598),Lists!$A$2:$A$20,0)),0,1),1)=1,"State; ","")&amp;IF(IFERROR(IF(AND(LEN(K598)=10,VALUE(LEFT(K598,FIND("/",K598)-1))&gt;=1,VALUE(LEFT(K598,FIND("/",K598)-1))&lt;=31,VALUE(LEFT(MID(K598,FIND("/",K598)+1,10),FIND("/",MID(K598,FIND("/",K598)+1,10))-1))&gt;=1,VALUE(LEFT(MID(K598,FIND("/",K598)+1,10),FIND("/",MID(K598,FIND("/",K598)+1,10))-1))&lt;=12,VALUE(LEFT(K598,FIND("/",K598)-1))&lt;=DAY(EOMONTH(DATE(VALUE(MID(MID(K598,FIND("/",K598)+1,10),FIND("/",MID(K598,FIND("/",K598)+1,10))+1,4)),VALUE(LEFT(MID(K598,FIND("/",K598)+1,10),FIND("/",MID(K598,FIND("/",K598)+1,10))-1)),1),0))),0,1),1)=1,"Date; ","")&amp;IF(IFERROR(IF(M598&gt;=0,0,1),1)=1,"Amount; ","")&amp;IF(IFERROR(IF(ISNUMBER(MATCH(N598,Lists!$B$2:$B$7,0)),0,1),1)=1,"Payment; ","")))</f>
        <v/>
      </c>
      <c r="R598" s="3" t="str">
        <f aca="false">IF(D598="","",IF(COUNTIFS($D$2:$D$701,D598,$E$2:$E$701,E598)&gt;1,"DUPLICATE","Unique"))</f>
        <v/>
      </c>
    </row>
    <row r="599" customFormat="false" ht="15" hidden="false" customHeight="false" outlineLevel="0" collapsed="false">
      <c r="A599" s="3" t="n">
        <v>598</v>
      </c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3" t="n">
        <f aca="false">IFERROR(LEN(C599&amp;D599&amp;E599&amp;F599&amp;G599&amp;H599&amp;I599&amp;J599&amp;K599&amp;L599&amp;M599&amp;N599)/5,0)</f>
        <v>0</v>
      </c>
      <c r="P599" s="3" t="str">
        <f aca="false">IF(OR(D599="",C599=""),"",IF((IFERROR(IF(AND(TRIM(D599)=D599,LEN(D599)&gt;0),0,1),1)+IFERROR(IF(AND(LEN(E599)=10,ISNUMBER(VALUE(E599))),0,1),1)+IFERROR(IF(AND(ISNUMBER(SEARCH("@",F599)),ISNUMBER(SEARCH(".",F599))),0,1),1)+IFERROR(IF(AND(LEN(J599)=6,ISNUMBER(VALUE(J599))),0,1),1)+IFERROR(IF(ISNUMBER(MATCH(TRIM(I599),Lists!$A$2:$A$20,0)),0,1),1)+IFERROR(IF(AND(LEN(K599)=10,VALUE(LEFT(K599,FIND("/",K599)-1))&gt;=1,VALUE(LEFT(K599,FIND("/",K599)-1))&lt;=31,VALUE(LEFT(MID(K599,FIND("/",K599)+1,10),FIND("/",MID(K599,FIND("/",K599)+1,10))-1))&gt;=1,VALUE(LEFT(MID(K599,FIND("/",K599)+1,10),FIND("/",MID(K599,FIND("/",K599)+1,10))-1))&lt;=12,VALUE(LEFT(K599,FIND("/",K599)-1))&lt;=DAY(EOMONTH(DATE(VALUE(MID(MID(K599,FIND("/",K599)+1,10),FIND("/",MID(K599,FIND("/",K599)+1,10))+1,4)),VALUE(LEFT(MID(K599,FIND("/",K599)+1,10),FIND("/",MID(K599,FIND("/",K599)+1,10))-1)),1),0))),0,1),1)+IFERROR(IF(M599&gt;=0,0,1),1)+IFERROR(IF(ISNUMBER(MATCH(N599,Lists!$B$2:$B$7,0)),0,1),1))=0,"OK","ERROR"))</f>
        <v/>
      </c>
      <c r="Q599" s="3" t="str">
        <f aca="false">IF(D599="","",TRIM(IF(IFERROR(IF(AND(TRIM(D599)=D599,LEN(D599)&gt;0),0,1),1)=1,"Name; ","")&amp;IF(IFERROR(IF(AND(LEN(E599)=10,ISNUMBER(VALUE(E599))),0,1),1)=1,"Phone; ","")&amp;IF(IFERROR(IF(AND(ISNUMBER(SEARCH("@",F599)),ISNUMBER(SEARCH(".",F599))),0,1),1)=1,"Email; ","")&amp;IF(IFERROR(IF(AND(LEN(J599)=6,ISNUMBER(VALUE(J599))),0,1),1)=1,"Pincode; ","")&amp;IF(IFERROR(IF(ISNUMBER(MATCH(TRIM(I599),Lists!$A$2:$A$20,0)),0,1),1)=1,"State; ","")&amp;IF(IFERROR(IF(AND(LEN(K599)=10,VALUE(LEFT(K599,FIND("/",K599)-1))&gt;=1,VALUE(LEFT(K599,FIND("/",K599)-1))&lt;=31,VALUE(LEFT(MID(K599,FIND("/",K599)+1,10),FIND("/",MID(K599,FIND("/",K599)+1,10))-1))&gt;=1,VALUE(LEFT(MID(K599,FIND("/",K599)+1,10),FIND("/",MID(K599,FIND("/",K599)+1,10))-1))&lt;=12,VALUE(LEFT(K599,FIND("/",K599)-1))&lt;=DAY(EOMONTH(DATE(VALUE(MID(MID(K599,FIND("/",K599)+1,10),FIND("/",MID(K599,FIND("/",K599)+1,10))+1,4)),VALUE(LEFT(MID(K599,FIND("/",K599)+1,10),FIND("/",MID(K599,FIND("/",K599)+1,10))-1)),1),0))),0,1),1)=1,"Date; ","")&amp;IF(IFERROR(IF(M599&gt;=0,0,1),1)=1,"Amount; ","")&amp;IF(IFERROR(IF(ISNUMBER(MATCH(N599,Lists!$B$2:$B$7,0)),0,1),1)=1,"Payment; ","")))</f>
        <v/>
      </c>
      <c r="R599" s="3" t="str">
        <f aca="false">IF(D599="","",IF(COUNTIFS($D$2:$D$701,D599,$E$2:$E$701,E599)&gt;1,"DUPLICATE","Unique"))</f>
        <v/>
      </c>
    </row>
    <row r="600" customFormat="false" ht="15" hidden="false" customHeight="false" outlineLevel="0" collapsed="false">
      <c r="A600" s="3" t="n">
        <v>599</v>
      </c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3" t="n">
        <f aca="false">IFERROR(LEN(C600&amp;D600&amp;E600&amp;F600&amp;G600&amp;H600&amp;I600&amp;J600&amp;K600&amp;L600&amp;M600&amp;N600)/5,0)</f>
        <v>0</v>
      </c>
      <c r="P600" s="3" t="str">
        <f aca="false">IF(OR(D600="",C600=""),"",IF((IFERROR(IF(AND(TRIM(D600)=D600,LEN(D600)&gt;0),0,1),1)+IFERROR(IF(AND(LEN(E600)=10,ISNUMBER(VALUE(E600))),0,1),1)+IFERROR(IF(AND(ISNUMBER(SEARCH("@",F600)),ISNUMBER(SEARCH(".",F600))),0,1),1)+IFERROR(IF(AND(LEN(J600)=6,ISNUMBER(VALUE(J600))),0,1),1)+IFERROR(IF(ISNUMBER(MATCH(TRIM(I600),Lists!$A$2:$A$20,0)),0,1),1)+IFERROR(IF(AND(LEN(K600)=10,VALUE(LEFT(K600,FIND("/",K600)-1))&gt;=1,VALUE(LEFT(K600,FIND("/",K600)-1))&lt;=31,VALUE(LEFT(MID(K600,FIND("/",K600)+1,10),FIND("/",MID(K600,FIND("/",K600)+1,10))-1))&gt;=1,VALUE(LEFT(MID(K600,FIND("/",K600)+1,10),FIND("/",MID(K600,FIND("/",K600)+1,10))-1))&lt;=12,VALUE(LEFT(K600,FIND("/",K600)-1))&lt;=DAY(EOMONTH(DATE(VALUE(MID(MID(K600,FIND("/",K600)+1,10),FIND("/",MID(K600,FIND("/",K600)+1,10))+1,4)),VALUE(LEFT(MID(K600,FIND("/",K600)+1,10),FIND("/",MID(K600,FIND("/",K600)+1,10))-1)),1),0))),0,1),1)+IFERROR(IF(M600&gt;=0,0,1),1)+IFERROR(IF(ISNUMBER(MATCH(N600,Lists!$B$2:$B$7,0)),0,1),1))=0,"OK","ERROR"))</f>
        <v/>
      </c>
      <c r="Q600" s="3" t="str">
        <f aca="false">IF(D600="","",TRIM(IF(IFERROR(IF(AND(TRIM(D600)=D600,LEN(D600)&gt;0),0,1),1)=1,"Name; ","")&amp;IF(IFERROR(IF(AND(LEN(E600)=10,ISNUMBER(VALUE(E600))),0,1),1)=1,"Phone; ","")&amp;IF(IFERROR(IF(AND(ISNUMBER(SEARCH("@",F600)),ISNUMBER(SEARCH(".",F600))),0,1),1)=1,"Email; ","")&amp;IF(IFERROR(IF(AND(LEN(J600)=6,ISNUMBER(VALUE(J600))),0,1),1)=1,"Pincode; ","")&amp;IF(IFERROR(IF(ISNUMBER(MATCH(TRIM(I600),Lists!$A$2:$A$20,0)),0,1),1)=1,"State; ","")&amp;IF(IFERROR(IF(AND(LEN(K600)=10,VALUE(LEFT(K600,FIND("/",K600)-1))&gt;=1,VALUE(LEFT(K600,FIND("/",K600)-1))&lt;=31,VALUE(LEFT(MID(K600,FIND("/",K600)+1,10),FIND("/",MID(K600,FIND("/",K600)+1,10))-1))&gt;=1,VALUE(LEFT(MID(K600,FIND("/",K600)+1,10),FIND("/",MID(K600,FIND("/",K600)+1,10))-1))&lt;=12,VALUE(LEFT(K600,FIND("/",K600)-1))&lt;=DAY(EOMONTH(DATE(VALUE(MID(MID(K600,FIND("/",K600)+1,10),FIND("/",MID(K600,FIND("/",K600)+1,10))+1,4)),VALUE(LEFT(MID(K600,FIND("/",K600)+1,10),FIND("/",MID(K600,FIND("/",K600)+1,10))-1)),1),0))),0,1),1)=1,"Date; ","")&amp;IF(IFERROR(IF(M600&gt;=0,0,1),1)=1,"Amount; ","")&amp;IF(IFERROR(IF(ISNUMBER(MATCH(N600,Lists!$B$2:$B$7,0)),0,1),1)=1,"Payment; ","")))</f>
        <v/>
      </c>
      <c r="R600" s="3" t="str">
        <f aca="false">IF(D600="","",IF(COUNTIFS($D$2:$D$701,D600,$E$2:$E$701,E600)&gt;1,"DUPLICATE","Unique"))</f>
        <v/>
      </c>
    </row>
    <row r="601" customFormat="false" ht="15" hidden="false" customHeight="false" outlineLevel="0" collapsed="false">
      <c r="A601" s="3" t="n">
        <v>600</v>
      </c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3" t="n">
        <f aca="false">IFERROR(LEN(C601&amp;D601&amp;E601&amp;F601&amp;G601&amp;H601&amp;I601&amp;J601&amp;K601&amp;L601&amp;M601&amp;N601)/5,0)</f>
        <v>0</v>
      </c>
      <c r="P601" s="3" t="str">
        <f aca="false">IF(OR(D601="",C601=""),"",IF((IFERROR(IF(AND(TRIM(D601)=D601,LEN(D601)&gt;0),0,1),1)+IFERROR(IF(AND(LEN(E601)=10,ISNUMBER(VALUE(E601))),0,1),1)+IFERROR(IF(AND(ISNUMBER(SEARCH("@",F601)),ISNUMBER(SEARCH(".",F601))),0,1),1)+IFERROR(IF(AND(LEN(J601)=6,ISNUMBER(VALUE(J601))),0,1),1)+IFERROR(IF(ISNUMBER(MATCH(TRIM(I601),Lists!$A$2:$A$20,0)),0,1),1)+IFERROR(IF(AND(LEN(K601)=10,VALUE(LEFT(K601,FIND("/",K601)-1))&gt;=1,VALUE(LEFT(K601,FIND("/",K601)-1))&lt;=31,VALUE(LEFT(MID(K601,FIND("/",K601)+1,10),FIND("/",MID(K601,FIND("/",K601)+1,10))-1))&gt;=1,VALUE(LEFT(MID(K601,FIND("/",K601)+1,10),FIND("/",MID(K601,FIND("/",K601)+1,10))-1))&lt;=12,VALUE(LEFT(K601,FIND("/",K601)-1))&lt;=DAY(EOMONTH(DATE(VALUE(MID(MID(K601,FIND("/",K601)+1,10),FIND("/",MID(K601,FIND("/",K601)+1,10))+1,4)),VALUE(LEFT(MID(K601,FIND("/",K601)+1,10),FIND("/",MID(K601,FIND("/",K601)+1,10))-1)),1),0))),0,1),1)+IFERROR(IF(M601&gt;=0,0,1),1)+IFERROR(IF(ISNUMBER(MATCH(N601,Lists!$B$2:$B$7,0)),0,1),1))=0,"OK","ERROR"))</f>
        <v/>
      </c>
      <c r="Q601" s="3" t="str">
        <f aca="false">IF(D601="","",TRIM(IF(IFERROR(IF(AND(TRIM(D601)=D601,LEN(D601)&gt;0),0,1),1)=1,"Name; ","")&amp;IF(IFERROR(IF(AND(LEN(E601)=10,ISNUMBER(VALUE(E601))),0,1),1)=1,"Phone; ","")&amp;IF(IFERROR(IF(AND(ISNUMBER(SEARCH("@",F601)),ISNUMBER(SEARCH(".",F601))),0,1),1)=1,"Email; ","")&amp;IF(IFERROR(IF(AND(LEN(J601)=6,ISNUMBER(VALUE(J601))),0,1),1)=1,"Pincode; ","")&amp;IF(IFERROR(IF(ISNUMBER(MATCH(TRIM(I601),Lists!$A$2:$A$20,0)),0,1),1)=1,"State; ","")&amp;IF(IFERROR(IF(AND(LEN(K601)=10,VALUE(LEFT(K601,FIND("/",K601)-1))&gt;=1,VALUE(LEFT(K601,FIND("/",K601)-1))&lt;=31,VALUE(LEFT(MID(K601,FIND("/",K601)+1,10),FIND("/",MID(K601,FIND("/",K601)+1,10))-1))&gt;=1,VALUE(LEFT(MID(K601,FIND("/",K601)+1,10),FIND("/",MID(K601,FIND("/",K601)+1,10))-1))&lt;=12,VALUE(LEFT(K601,FIND("/",K601)-1))&lt;=DAY(EOMONTH(DATE(VALUE(MID(MID(K601,FIND("/",K601)+1,10),FIND("/",MID(K601,FIND("/",K601)+1,10))+1,4)),VALUE(LEFT(MID(K601,FIND("/",K601)+1,10),FIND("/",MID(K601,FIND("/",K601)+1,10))-1)),1),0))),0,1),1)=1,"Date; ","")&amp;IF(IFERROR(IF(M601&gt;=0,0,1),1)=1,"Amount; ","")&amp;IF(IFERROR(IF(ISNUMBER(MATCH(N601,Lists!$B$2:$B$7,0)),0,1),1)=1,"Payment; ","")))</f>
        <v/>
      </c>
      <c r="R601" s="3" t="str">
        <f aca="false">IF(D601="","",IF(COUNTIFS($D$2:$D$701,D601,$E$2:$E$701,E601)&gt;1,"DUPLICATE","Unique"))</f>
        <v/>
      </c>
    </row>
    <row r="602" customFormat="false" ht="15" hidden="false" customHeight="false" outlineLevel="0" collapsed="false">
      <c r="A602" s="3" t="n">
        <v>601</v>
      </c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3" t="n">
        <f aca="false">IFERROR(LEN(C602&amp;D602&amp;E602&amp;F602&amp;G602&amp;H602&amp;I602&amp;J602&amp;K602&amp;L602&amp;M602&amp;N602)/5,0)</f>
        <v>0</v>
      </c>
      <c r="P602" s="3" t="str">
        <f aca="false">IF(OR(D602="",C602=""),"",IF((IFERROR(IF(AND(TRIM(D602)=D602,LEN(D602)&gt;0),0,1),1)+IFERROR(IF(AND(LEN(E602)=10,ISNUMBER(VALUE(E602))),0,1),1)+IFERROR(IF(AND(ISNUMBER(SEARCH("@",F602)),ISNUMBER(SEARCH(".",F602))),0,1),1)+IFERROR(IF(AND(LEN(J602)=6,ISNUMBER(VALUE(J602))),0,1),1)+IFERROR(IF(ISNUMBER(MATCH(TRIM(I602),Lists!$A$2:$A$20,0)),0,1),1)+IFERROR(IF(AND(LEN(K602)=10,VALUE(LEFT(K602,FIND("/",K602)-1))&gt;=1,VALUE(LEFT(K602,FIND("/",K602)-1))&lt;=31,VALUE(LEFT(MID(K602,FIND("/",K602)+1,10),FIND("/",MID(K602,FIND("/",K602)+1,10))-1))&gt;=1,VALUE(LEFT(MID(K602,FIND("/",K602)+1,10),FIND("/",MID(K602,FIND("/",K602)+1,10))-1))&lt;=12,VALUE(LEFT(K602,FIND("/",K602)-1))&lt;=DAY(EOMONTH(DATE(VALUE(MID(MID(K602,FIND("/",K602)+1,10),FIND("/",MID(K602,FIND("/",K602)+1,10))+1,4)),VALUE(LEFT(MID(K602,FIND("/",K602)+1,10),FIND("/",MID(K602,FIND("/",K602)+1,10))-1)),1),0))),0,1),1)+IFERROR(IF(M602&gt;=0,0,1),1)+IFERROR(IF(ISNUMBER(MATCH(N602,Lists!$B$2:$B$7,0)),0,1),1))=0,"OK","ERROR"))</f>
        <v/>
      </c>
      <c r="Q602" s="3" t="str">
        <f aca="false">IF(D602="","",TRIM(IF(IFERROR(IF(AND(TRIM(D602)=D602,LEN(D602)&gt;0),0,1),1)=1,"Name; ","")&amp;IF(IFERROR(IF(AND(LEN(E602)=10,ISNUMBER(VALUE(E602))),0,1),1)=1,"Phone; ","")&amp;IF(IFERROR(IF(AND(ISNUMBER(SEARCH("@",F602)),ISNUMBER(SEARCH(".",F602))),0,1),1)=1,"Email; ","")&amp;IF(IFERROR(IF(AND(LEN(J602)=6,ISNUMBER(VALUE(J602))),0,1),1)=1,"Pincode; ","")&amp;IF(IFERROR(IF(ISNUMBER(MATCH(TRIM(I602),Lists!$A$2:$A$20,0)),0,1),1)=1,"State; ","")&amp;IF(IFERROR(IF(AND(LEN(K602)=10,VALUE(LEFT(K602,FIND("/",K602)-1))&gt;=1,VALUE(LEFT(K602,FIND("/",K602)-1))&lt;=31,VALUE(LEFT(MID(K602,FIND("/",K602)+1,10),FIND("/",MID(K602,FIND("/",K602)+1,10))-1))&gt;=1,VALUE(LEFT(MID(K602,FIND("/",K602)+1,10),FIND("/",MID(K602,FIND("/",K602)+1,10))-1))&lt;=12,VALUE(LEFT(K602,FIND("/",K602)-1))&lt;=DAY(EOMONTH(DATE(VALUE(MID(MID(K602,FIND("/",K602)+1,10),FIND("/",MID(K602,FIND("/",K602)+1,10))+1,4)),VALUE(LEFT(MID(K602,FIND("/",K602)+1,10),FIND("/",MID(K602,FIND("/",K602)+1,10))-1)),1),0))),0,1),1)=1,"Date; ","")&amp;IF(IFERROR(IF(M602&gt;=0,0,1),1)=1,"Amount; ","")&amp;IF(IFERROR(IF(ISNUMBER(MATCH(N602,Lists!$B$2:$B$7,0)),0,1),1)=1,"Payment; ","")))</f>
        <v/>
      </c>
      <c r="R602" s="3" t="str">
        <f aca="false">IF(D602="","",IF(COUNTIFS($D$2:$D$701,D602,$E$2:$E$701,E602)&gt;1,"DUPLICATE","Unique"))</f>
        <v/>
      </c>
    </row>
    <row r="603" customFormat="false" ht="15" hidden="false" customHeight="false" outlineLevel="0" collapsed="false">
      <c r="A603" s="3" t="n">
        <v>602</v>
      </c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3" t="n">
        <f aca="false">IFERROR(LEN(C603&amp;D603&amp;E603&amp;F603&amp;G603&amp;H603&amp;I603&amp;J603&amp;K603&amp;L603&amp;M603&amp;N603)/5,0)</f>
        <v>0</v>
      </c>
      <c r="P603" s="3" t="str">
        <f aca="false">IF(OR(D603="",C603=""),"",IF((IFERROR(IF(AND(TRIM(D603)=D603,LEN(D603)&gt;0),0,1),1)+IFERROR(IF(AND(LEN(E603)=10,ISNUMBER(VALUE(E603))),0,1),1)+IFERROR(IF(AND(ISNUMBER(SEARCH("@",F603)),ISNUMBER(SEARCH(".",F603))),0,1),1)+IFERROR(IF(AND(LEN(J603)=6,ISNUMBER(VALUE(J603))),0,1),1)+IFERROR(IF(ISNUMBER(MATCH(TRIM(I603),Lists!$A$2:$A$20,0)),0,1),1)+IFERROR(IF(AND(LEN(K603)=10,VALUE(LEFT(K603,FIND("/",K603)-1))&gt;=1,VALUE(LEFT(K603,FIND("/",K603)-1))&lt;=31,VALUE(LEFT(MID(K603,FIND("/",K603)+1,10),FIND("/",MID(K603,FIND("/",K603)+1,10))-1))&gt;=1,VALUE(LEFT(MID(K603,FIND("/",K603)+1,10),FIND("/",MID(K603,FIND("/",K603)+1,10))-1))&lt;=12,VALUE(LEFT(K603,FIND("/",K603)-1))&lt;=DAY(EOMONTH(DATE(VALUE(MID(MID(K603,FIND("/",K603)+1,10),FIND("/",MID(K603,FIND("/",K603)+1,10))+1,4)),VALUE(LEFT(MID(K603,FIND("/",K603)+1,10),FIND("/",MID(K603,FIND("/",K603)+1,10))-1)),1),0))),0,1),1)+IFERROR(IF(M603&gt;=0,0,1),1)+IFERROR(IF(ISNUMBER(MATCH(N603,Lists!$B$2:$B$7,0)),0,1),1))=0,"OK","ERROR"))</f>
        <v/>
      </c>
      <c r="Q603" s="3" t="str">
        <f aca="false">IF(D603="","",TRIM(IF(IFERROR(IF(AND(TRIM(D603)=D603,LEN(D603)&gt;0),0,1),1)=1,"Name; ","")&amp;IF(IFERROR(IF(AND(LEN(E603)=10,ISNUMBER(VALUE(E603))),0,1),1)=1,"Phone; ","")&amp;IF(IFERROR(IF(AND(ISNUMBER(SEARCH("@",F603)),ISNUMBER(SEARCH(".",F603))),0,1),1)=1,"Email; ","")&amp;IF(IFERROR(IF(AND(LEN(J603)=6,ISNUMBER(VALUE(J603))),0,1),1)=1,"Pincode; ","")&amp;IF(IFERROR(IF(ISNUMBER(MATCH(TRIM(I603),Lists!$A$2:$A$20,0)),0,1),1)=1,"State; ","")&amp;IF(IFERROR(IF(AND(LEN(K603)=10,VALUE(LEFT(K603,FIND("/",K603)-1))&gt;=1,VALUE(LEFT(K603,FIND("/",K603)-1))&lt;=31,VALUE(LEFT(MID(K603,FIND("/",K603)+1,10),FIND("/",MID(K603,FIND("/",K603)+1,10))-1))&gt;=1,VALUE(LEFT(MID(K603,FIND("/",K603)+1,10),FIND("/",MID(K603,FIND("/",K603)+1,10))-1))&lt;=12,VALUE(LEFT(K603,FIND("/",K603)-1))&lt;=DAY(EOMONTH(DATE(VALUE(MID(MID(K603,FIND("/",K603)+1,10),FIND("/",MID(K603,FIND("/",K603)+1,10))+1,4)),VALUE(LEFT(MID(K603,FIND("/",K603)+1,10),FIND("/",MID(K603,FIND("/",K603)+1,10))-1)),1),0))),0,1),1)=1,"Date; ","")&amp;IF(IFERROR(IF(M603&gt;=0,0,1),1)=1,"Amount; ","")&amp;IF(IFERROR(IF(ISNUMBER(MATCH(N603,Lists!$B$2:$B$7,0)),0,1),1)=1,"Payment; ","")))</f>
        <v/>
      </c>
      <c r="R603" s="3" t="str">
        <f aca="false">IF(D603="","",IF(COUNTIFS($D$2:$D$701,D603,$E$2:$E$701,E603)&gt;1,"DUPLICATE","Unique"))</f>
        <v/>
      </c>
    </row>
    <row r="604" customFormat="false" ht="15" hidden="false" customHeight="false" outlineLevel="0" collapsed="false">
      <c r="A604" s="3" t="n">
        <v>603</v>
      </c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3" t="n">
        <f aca="false">IFERROR(LEN(C604&amp;D604&amp;E604&amp;F604&amp;G604&amp;H604&amp;I604&amp;J604&amp;K604&amp;L604&amp;M604&amp;N604)/5,0)</f>
        <v>0</v>
      </c>
      <c r="P604" s="3" t="str">
        <f aca="false">IF(OR(D604="",C604=""),"",IF((IFERROR(IF(AND(TRIM(D604)=D604,LEN(D604)&gt;0),0,1),1)+IFERROR(IF(AND(LEN(E604)=10,ISNUMBER(VALUE(E604))),0,1),1)+IFERROR(IF(AND(ISNUMBER(SEARCH("@",F604)),ISNUMBER(SEARCH(".",F604))),0,1),1)+IFERROR(IF(AND(LEN(J604)=6,ISNUMBER(VALUE(J604))),0,1),1)+IFERROR(IF(ISNUMBER(MATCH(TRIM(I604),Lists!$A$2:$A$20,0)),0,1),1)+IFERROR(IF(AND(LEN(K604)=10,VALUE(LEFT(K604,FIND("/",K604)-1))&gt;=1,VALUE(LEFT(K604,FIND("/",K604)-1))&lt;=31,VALUE(LEFT(MID(K604,FIND("/",K604)+1,10),FIND("/",MID(K604,FIND("/",K604)+1,10))-1))&gt;=1,VALUE(LEFT(MID(K604,FIND("/",K604)+1,10),FIND("/",MID(K604,FIND("/",K604)+1,10))-1))&lt;=12,VALUE(LEFT(K604,FIND("/",K604)-1))&lt;=DAY(EOMONTH(DATE(VALUE(MID(MID(K604,FIND("/",K604)+1,10),FIND("/",MID(K604,FIND("/",K604)+1,10))+1,4)),VALUE(LEFT(MID(K604,FIND("/",K604)+1,10),FIND("/",MID(K604,FIND("/",K604)+1,10))-1)),1),0))),0,1),1)+IFERROR(IF(M604&gt;=0,0,1),1)+IFERROR(IF(ISNUMBER(MATCH(N604,Lists!$B$2:$B$7,0)),0,1),1))=0,"OK","ERROR"))</f>
        <v/>
      </c>
      <c r="Q604" s="3" t="str">
        <f aca="false">IF(D604="","",TRIM(IF(IFERROR(IF(AND(TRIM(D604)=D604,LEN(D604)&gt;0),0,1),1)=1,"Name; ","")&amp;IF(IFERROR(IF(AND(LEN(E604)=10,ISNUMBER(VALUE(E604))),0,1),1)=1,"Phone; ","")&amp;IF(IFERROR(IF(AND(ISNUMBER(SEARCH("@",F604)),ISNUMBER(SEARCH(".",F604))),0,1),1)=1,"Email; ","")&amp;IF(IFERROR(IF(AND(LEN(J604)=6,ISNUMBER(VALUE(J604))),0,1),1)=1,"Pincode; ","")&amp;IF(IFERROR(IF(ISNUMBER(MATCH(TRIM(I604),Lists!$A$2:$A$20,0)),0,1),1)=1,"State; ","")&amp;IF(IFERROR(IF(AND(LEN(K604)=10,VALUE(LEFT(K604,FIND("/",K604)-1))&gt;=1,VALUE(LEFT(K604,FIND("/",K604)-1))&lt;=31,VALUE(LEFT(MID(K604,FIND("/",K604)+1,10),FIND("/",MID(K604,FIND("/",K604)+1,10))-1))&gt;=1,VALUE(LEFT(MID(K604,FIND("/",K604)+1,10),FIND("/",MID(K604,FIND("/",K604)+1,10))-1))&lt;=12,VALUE(LEFT(K604,FIND("/",K604)-1))&lt;=DAY(EOMONTH(DATE(VALUE(MID(MID(K604,FIND("/",K604)+1,10),FIND("/",MID(K604,FIND("/",K604)+1,10))+1,4)),VALUE(LEFT(MID(K604,FIND("/",K604)+1,10),FIND("/",MID(K604,FIND("/",K604)+1,10))-1)),1),0))),0,1),1)=1,"Date; ","")&amp;IF(IFERROR(IF(M604&gt;=0,0,1),1)=1,"Amount; ","")&amp;IF(IFERROR(IF(ISNUMBER(MATCH(N604,Lists!$B$2:$B$7,0)),0,1),1)=1,"Payment; ","")))</f>
        <v/>
      </c>
      <c r="R604" s="3" t="str">
        <f aca="false">IF(D604="","",IF(COUNTIFS($D$2:$D$701,D604,$E$2:$E$701,E604)&gt;1,"DUPLICATE","Unique"))</f>
        <v/>
      </c>
    </row>
    <row r="605" customFormat="false" ht="15" hidden="false" customHeight="false" outlineLevel="0" collapsed="false">
      <c r="A605" s="3" t="n">
        <v>604</v>
      </c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3" t="n">
        <f aca="false">IFERROR(LEN(C605&amp;D605&amp;E605&amp;F605&amp;G605&amp;H605&amp;I605&amp;J605&amp;K605&amp;L605&amp;M605&amp;N605)/5,0)</f>
        <v>0</v>
      </c>
      <c r="P605" s="3" t="str">
        <f aca="false">IF(OR(D605="",C605=""),"",IF((IFERROR(IF(AND(TRIM(D605)=D605,LEN(D605)&gt;0),0,1),1)+IFERROR(IF(AND(LEN(E605)=10,ISNUMBER(VALUE(E605))),0,1),1)+IFERROR(IF(AND(ISNUMBER(SEARCH("@",F605)),ISNUMBER(SEARCH(".",F605))),0,1),1)+IFERROR(IF(AND(LEN(J605)=6,ISNUMBER(VALUE(J605))),0,1),1)+IFERROR(IF(ISNUMBER(MATCH(TRIM(I605),Lists!$A$2:$A$20,0)),0,1),1)+IFERROR(IF(AND(LEN(K605)=10,VALUE(LEFT(K605,FIND("/",K605)-1))&gt;=1,VALUE(LEFT(K605,FIND("/",K605)-1))&lt;=31,VALUE(LEFT(MID(K605,FIND("/",K605)+1,10),FIND("/",MID(K605,FIND("/",K605)+1,10))-1))&gt;=1,VALUE(LEFT(MID(K605,FIND("/",K605)+1,10),FIND("/",MID(K605,FIND("/",K605)+1,10))-1))&lt;=12,VALUE(LEFT(K605,FIND("/",K605)-1))&lt;=DAY(EOMONTH(DATE(VALUE(MID(MID(K605,FIND("/",K605)+1,10),FIND("/",MID(K605,FIND("/",K605)+1,10))+1,4)),VALUE(LEFT(MID(K605,FIND("/",K605)+1,10),FIND("/",MID(K605,FIND("/",K605)+1,10))-1)),1),0))),0,1),1)+IFERROR(IF(M605&gt;=0,0,1),1)+IFERROR(IF(ISNUMBER(MATCH(N605,Lists!$B$2:$B$7,0)),0,1),1))=0,"OK","ERROR"))</f>
        <v/>
      </c>
      <c r="Q605" s="3" t="str">
        <f aca="false">IF(D605="","",TRIM(IF(IFERROR(IF(AND(TRIM(D605)=D605,LEN(D605)&gt;0),0,1),1)=1,"Name; ","")&amp;IF(IFERROR(IF(AND(LEN(E605)=10,ISNUMBER(VALUE(E605))),0,1),1)=1,"Phone; ","")&amp;IF(IFERROR(IF(AND(ISNUMBER(SEARCH("@",F605)),ISNUMBER(SEARCH(".",F605))),0,1),1)=1,"Email; ","")&amp;IF(IFERROR(IF(AND(LEN(J605)=6,ISNUMBER(VALUE(J605))),0,1),1)=1,"Pincode; ","")&amp;IF(IFERROR(IF(ISNUMBER(MATCH(TRIM(I605),Lists!$A$2:$A$20,0)),0,1),1)=1,"State; ","")&amp;IF(IFERROR(IF(AND(LEN(K605)=10,VALUE(LEFT(K605,FIND("/",K605)-1))&gt;=1,VALUE(LEFT(K605,FIND("/",K605)-1))&lt;=31,VALUE(LEFT(MID(K605,FIND("/",K605)+1,10),FIND("/",MID(K605,FIND("/",K605)+1,10))-1))&gt;=1,VALUE(LEFT(MID(K605,FIND("/",K605)+1,10),FIND("/",MID(K605,FIND("/",K605)+1,10))-1))&lt;=12,VALUE(LEFT(K605,FIND("/",K605)-1))&lt;=DAY(EOMONTH(DATE(VALUE(MID(MID(K605,FIND("/",K605)+1,10),FIND("/",MID(K605,FIND("/",K605)+1,10))+1,4)),VALUE(LEFT(MID(K605,FIND("/",K605)+1,10),FIND("/",MID(K605,FIND("/",K605)+1,10))-1)),1),0))),0,1),1)=1,"Date; ","")&amp;IF(IFERROR(IF(M605&gt;=0,0,1),1)=1,"Amount; ","")&amp;IF(IFERROR(IF(ISNUMBER(MATCH(N605,Lists!$B$2:$B$7,0)),0,1),1)=1,"Payment; ","")))</f>
        <v/>
      </c>
      <c r="R605" s="3" t="str">
        <f aca="false">IF(D605="","",IF(COUNTIFS($D$2:$D$701,D605,$E$2:$E$701,E605)&gt;1,"DUPLICATE","Unique"))</f>
        <v/>
      </c>
    </row>
    <row r="606" customFormat="false" ht="15" hidden="false" customHeight="false" outlineLevel="0" collapsed="false">
      <c r="A606" s="3" t="n">
        <v>605</v>
      </c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3" t="n">
        <f aca="false">IFERROR(LEN(C606&amp;D606&amp;E606&amp;F606&amp;G606&amp;H606&amp;I606&amp;J606&amp;K606&amp;L606&amp;M606&amp;N606)/5,0)</f>
        <v>0</v>
      </c>
      <c r="P606" s="3" t="str">
        <f aca="false">IF(OR(D606="",C606=""),"",IF((IFERROR(IF(AND(TRIM(D606)=D606,LEN(D606)&gt;0),0,1),1)+IFERROR(IF(AND(LEN(E606)=10,ISNUMBER(VALUE(E606))),0,1),1)+IFERROR(IF(AND(ISNUMBER(SEARCH("@",F606)),ISNUMBER(SEARCH(".",F606))),0,1),1)+IFERROR(IF(AND(LEN(J606)=6,ISNUMBER(VALUE(J606))),0,1),1)+IFERROR(IF(ISNUMBER(MATCH(TRIM(I606),Lists!$A$2:$A$20,0)),0,1),1)+IFERROR(IF(AND(LEN(K606)=10,VALUE(LEFT(K606,FIND("/",K606)-1))&gt;=1,VALUE(LEFT(K606,FIND("/",K606)-1))&lt;=31,VALUE(LEFT(MID(K606,FIND("/",K606)+1,10),FIND("/",MID(K606,FIND("/",K606)+1,10))-1))&gt;=1,VALUE(LEFT(MID(K606,FIND("/",K606)+1,10),FIND("/",MID(K606,FIND("/",K606)+1,10))-1))&lt;=12,VALUE(LEFT(K606,FIND("/",K606)-1))&lt;=DAY(EOMONTH(DATE(VALUE(MID(MID(K606,FIND("/",K606)+1,10),FIND("/",MID(K606,FIND("/",K606)+1,10))+1,4)),VALUE(LEFT(MID(K606,FIND("/",K606)+1,10),FIND("/",MID(K606,FIND("/",K606)+1,10))-1)),1),0))),0,1),1)+IFERROR(IF(M606&gt;=0,0,1),1)+IFERROR(IF(ISNUMBER(MATCH(N606,Lists!$B$2:$B$7,0)),0,1),1))=0,"OK","ERROR"))</f>
        <v/>
      </c>
      <c r="Q606" s="3" t="str">
        <f aca="false">IF(D606="","",TRIM(IF(IFERROR(IF(AND(TRIM(D606)=D606,LEN(D606)&gt;0),0,1),1)=1,"Name; ","")&amp;IF(IFERROR(IF(AND(LEN(E606)=10,ISNUMBER(VALUE(E606))),0,1),1)=1,"Phone; ","")&amp;IF(IFERROR(IF(AND(ISNUMBER(SEARCH("@",F606)),ISNUMBER(SEARCH(".",F606))),0,1),1)=1,"Email; ","")&amp;IF(IFERROR(IF(AND(LEN(J606)=6,ISNUMBER(VALUE(J606))),0,1),1)=1,"Pincode; ","")&amp;IF(IFERROR(IF(ISNUMBER(MATCH(TRIM(I606),Lists!$A$2:$A$20,0)),0,1),1)=1,"State; ","")&amp;IF(IFERROR(IF(AND(LEN(K606)=10,VALUE(LEFT(K606,FIND("/",K606)-1))&gt;=1,VALUE(LEFT(K606,FIND("/",K606)-1))&lt;=31,VALUE(LEFT(MID(K606,FIND("/",K606)+1,10),FIND("/",MID(K606,FIND("/",K606)+1,10))-1))&gt;=1,VALUE(LEFT(MID(K606,FIND("/",K606)+1,10),FIND("/",MID(K606,FIND("/",K606)+1,10))-1))&lt;=12,VALUE(LEFT(K606,FIND("/",K606)-1))&lt;=DAY(EOMONTH(DATE(VALUE(MID(MID(K606,FIND("/",K606)+1,10),FIND("/",MID(K606,FIND("/",K606)+1,10))+1,4)),VALUE(LEFT(MID(K606,FIND("/",K606)+1,10),FIND("/",MID(K606,FIND("/",K606)+1,10))-1)),1),0))),0,1),1)=1,"Date; ","")&amp;IF(IFERROR(IF(M606&gt;=0,0,1),1)=1,"Amount; ","")&amp;IF(IFERROR(IF(ISNUMBER(MATCH(N606,Lists!$B$2:$B$7,0)),0,1),1)=1,"Payment; ","")))</f>
        <v/>
      </c>
      <c r="R606" s="3" t="str">
        <f aca="false">IF(D606="","",IF(COUNTIFS($D$2:$D$701,D606,$E$2:$E$701,E606)&gt;1,"DUPLICATE","Unique"))</f>
        <v/>
      </c>
    </row>
    <row r="607" customFormat="false" ht="15" hidden="false" customHeight="false" outlineLevel="0" collapsed="false">
      <c r="A607" s="3" t="n">
        <v>606</v>
      </c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3" t="n">
        <f aca="false">IFERROR(LEN(C607&amp;D607&amp;E607&amp;F607&amp;G607&amp;H607&amp;I607&amp;J607&amp;K607&amp;L607&amp;M607&amp;N607)/5,0)</f>
        <v>0</v>
      </c>
      <c r="P607" s="3" t="str">
        <f aca="false">IF(OR(D607="",C607=""),"",IF((IFERROR(IF(AND(TRIM(D607)=D607,LEN(D607)&gt;0),0,1),1)+IFERROR(IF(AND(LEN(E607)=10,ISNUMBER(VALUE(E607))),0,1),1)+IFERROR(IF(AND(ISNUMBER(SEARCH("@",F607)),ISNUMBER(SEARCH(".",F607))),0,1),1)+IFERROR(IF(AND(LEN(J607)=6,ISNUMBER(VALUE(J607))),0,1),1)+IFERROR(IF(ISNUMBER(MATCH(TRIM(I607),Lists!$A$2:$A$20,0)),0,1),1)+IFERROR(IF(AND(LEN(K607)=10,VALUE(LEFT(K607,FIND("/",K607)-1))&gt;=1,VALUE(LEFT(K607,FIND("/",K607)-1))&lt;=31,VALUE(LEFT(MID(K607,FIND("/",K607)+1,10),FIND("/",MID(K607,FIND("/",K607)+1,10))-1))&gt;=1,VALUE(LEFT(MID(K607,FIND("/",K607)+1,10),FIND("/",MID(K607,FIND("/",K607)+1,10))-1))&lt;=12,VALUE(LEFT(K607,FIND("/",K607)-1))&lt;=DAY(EOMONTH(DATE(VALUE(MID(MID(K607,FIND("/",K607)+1,10),FIND("/",MID(K607,FIND("/",K607)+1,10))+1,4)),VALUE(LEFT(MID(K607,FIND("/",K607)+1,10),FIND("/",MID(K607,FIND("/",K607)+1,10))-1)),1),0))),0,1),1)+IFERROR(IF(M607&gt;=0,0,1),1)+IFERROR(IF(ISNUMBER(MATCH(N607,Lists!$B$2:$B$7,0)),0,1),1))=0,"OK","ERROR"))</f>
        <v/>
      </c>
      <c r="Q607" s="3" t="str">
        <f aca="false">IF(D607="","",TRIM(IF(IFERROR(IF(AND(TRIM(D607)=D607,LEN(D607)&gt;0),0,1),1)=1,"Name; ","")&amp;IF(IFERROR(IF(AND(LEN(E607)=10,ISNUMBER(VALUE(E607))),0,1),1)=1,"Phone; ","")&amp;IF(IFERROR(IF(AND(ISNUMBER(SEARCH("@",F607)),ISNUMBER(SEARCH(".",F607))),0,1),1)=1,"Email; ","")&amp;IF(IFERROR(IF(AND(LEN(J607)=6,ISNUMBER(VALUE(J607))),0,1),1)=1,"Pincode; ","")&amp;IF(IFERROR(IF(ISNUMBER(MATCH(TRIM(I607),Lists!$A$2:$A$20,0)),0,1),1)=1,"State; ","")&amp;IF(IFERROR(IF(AND(LEN(K607)=10,VALUE(LEFT(K607,FIND("/",K607)-1))&gt;=1,VALUE(LEFT(K607,FIND("/",K607)-1))&lt;=31,VALUE(LEFT(MID(K607,FIND("/",K607)+1,10),FIND("/",MID(K607,FIND("/",K607)+1,10))-1))&gt;=1,VALUE(LEFT(MID(K607,FIND("/",K607)+1,10),FIND("/",MID(K607,FIND("/",K607)+1,10))-1))&lt;=12,VALUE(LEFT(K607,FIND("/",K607)-1))&lt;=DAY(EOMONTH(DATE(VALUE(MID(MID(K607,FIND("/",K607)+1,10),FIND("/",MID(K607,FIND("/",K607)+1,10))+1,4)),VALUE(LEFT(MID(K607,FIND("/",K607)+1,10),FIND("/",MID(K607,FIND("/",K607)+1,10))-1)),1),0))),0,1),1)=1,"Date; ","")&amp;IF(IFERROR(IF(M607&gt;=0,0,1),1)=1,"Amount; ","")&amp;IF(IFERROR(IF(ISNUMBER(MATCH(N607,Lists!$B$2:$B$7,0)),0,1),1)=1,"Payment; ","")))</f>
        <v/>
      </c>
      <c r="R607" s="3" t="str">
        <f aca="false">IF(D607="","",IF(COUNTIFS($D$2:$D$701,D607,$E$2:$E$701,E607)&gt;1,"DUPLICATE","Unique"))</f>
        <v/>
      </c>
    </row>
    <row r="608" customFormat="false" ht="15" hidden="false" customHeight="false" outlineLevel="0" collapsed="false">
      <c r="A608" s="3" t="n">
        <v>607</v>
      </c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3" t="n">
        <f aca="false">IFERROR(LEN(C608&amp;D608&amp;E608&amp;F608&amp;G608&amp;H608&amp;I608&amp;J608&amp;K608&amp;L608&amp;M608&amp;N608)/5,0)</f>
        <v>0</v>
      </c>
      <c r="P608" s="3" t="str">
        <f aca="false">IF(OR(D608="",C608=""),"",IF((IFERROR(IF(AND(TRIM(D608)=D608,LEN(D608)&gt;0),0,1),1)+IFERROR(IF(AND(LEN(E608)=10,ISNUMBER(VALUE(E608))),0,1),1)+IFERROR(IF(AND(ISNUMBER(SEARCH("@",F608)),ISNUMBER(SEARCH(".",F608))),0,1),1)+IFERROR(IF(AND(LEN(J608)=6,ISNUMBER(VALUE(J608))),0,1),1)+IFERROR(IF(ISNUMBER(MATCH(TRIM(I608),Lists!$A$2:$A$20,0)),0,1),1)+IFERROR(IF(AND(LEN(K608)=10,VALUE(LEFT(K608,FIND("/",K608)-1))&gt;=1,VALUE(LEFT(K608,FIND("/",K608)-1))&lt;=31,VALUE(LEFT(MID(K608,FIND("/",K608)+1,10),FIND("/",MID(K608,FIND("/",K608)+1,10))-1))&gt;=1,VALUE(LEFT(MID(K608,FIND("/",K608)+1,10),FIND("/",MID(K608,FIND("/",K608)+1,10))-1))&lt;=12,VALUE(LEFT(K608,FIND("/",K608)-1))&lt;=DAY(EOMONTH(DATE(VALUE(MID(MID(K608,FIND("/",K608)+1,10),FIND("/",MID(K608,FIND("/",K608)+1,10))+1,4)),VALUE(LEFT(MID(K608,FIND("/",K608)+1,10),FIND("/",MID(K608,FIND("/",K608)+1,10))-1)),1),0))),0,1),1)+IFERROR(IF(M608&gt;=0,0,1),1)+IFERROR(IF(ISNUMBER(MATCH(N608,Lists!$B$2:$B$7,0)),0,1),1))=0,"OK","ERROR"))</f>
        <v/>
      </c>
      <c r="Q608" s="3" t="str">
        <f aca="false">IF(D608="","",TRIM(IF(IFERROR(IF(AND(TRIM(D608)=D608,LEN(D608)&gt;0),0,1),1)=1,"Name; ","")&amp;IF(IFERROR(IF(AND(LEN(E608)=10,ISNUMBER(VALUE(E608))),0,1),1)=1,"Phone; ","")&amp;IF(IFERROR(IF(AND(ISNUMBER(SEARCH("@",F608)),ISNUMBER(SEARCH(".",F608))),0,1),1)=1,"Email; ","")&amp;IF(IFERROR(IF(AND(LEN(J608)=6,ISNUMBER(VALUE(J608))),0,1),1)=1,"Pincode; ","")&amp;IF(IFERROR(IF(ISNUMBER(MATCH(TRIM(I608),Lists!$A$2:$A$20,0)),0,1),1)=1,"State; ","")&amp;IF(IFERROR(IF(AND(LEN(K608)=10,VALUE(LEFT(K608,FIND("/",K608)-1))&gt;=1,VALUE(LEFT(K608,FIND("/",K608)-1))&lt;=31,VALUE(LEFT(MID(K608,FIND("/",K608)+1,10),FIND("/",MID(K608,FIND("/",K608)+1,10))-1))&gt;=1,VALUE(LEFT(MID(K608,FIND("/",K608)+1,10),FIND("/",MID(K608,FIND("/",K608)+1,10))-1))&lt;=12,VALUE(LEFT(K608,FIND("/",K608)-1))&lt;=DAY(EOMONTH(DATE(VALUE(MID(MID(K608,FIND("/",K608)+1,10),FIND("/",MID(K608,FIND("/",K608)+1,10))+1,4)),VALUE(LEFT(MID(K608,FIND("/",K608)+1,10),FIND("/",MID(K608,FIND("/",K608)+1,10))-1)),1),0))),0,1),1)=1,"Date; ","")&amp;IF(IFERROR(IF(M608&gt;=0,0,1),1)=1,"Amount; ","")&amp;IF(IFERROR(IF(ISNUMBER(MATCH(N608,Lists!$B$2:$B$7,0)),0,1),1)=1,"Payment; ","")))</f>
        <v/>
      </c>
      <c r="R608" s="3" t="str">
        <f aca="false">IF(D608="","",IF(COUNTIFS($D$2:$D$701,D608,$E$2:$E$701,E608)&gt;1,"DUPLICATE","Unique"))</f>
        <v/>
      </c>
    </row>
    <row r="609" customFormat="false" ht="15" hidden="false" customHeight="false" outlineLevel="0" collapsed="false">
      <c r="A609" s="3" t="n">
        <v>608</v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3" t="n">
        <f aca="false">IFERROR(LEN(C609&amp;D609&amp;E609&amp;F609&amp;G609&amp;H609&amp;I609&amp;J609&amp;K609&amp;L609&amp;M609&amp;N609)/5,0)</f>
        <v>0</v>
      </c>
      <c r="P609" s="3" t="str">
        <f aca="false">IF(OR(D609="",C609=""),"",IF((IFERROR(IF(AND(TRIM(D609)=D609,LEN(D609)&gt;0),0,1),1)+IFERROR(IF(AND(LEN(E609)=10,ISNUMBER(VALUE(E609))),0,1),1)+IFERROR(IF(AND(ISNUMBER(SEARCH("@",F609)),ISNUMBER(SEARCH(".",F609))),0,1),1)+IFERROR(IF(AND(LEN(J609)=6,ISNUMBER(VALUE(J609))),0,1),1)+IFERROR(IF(ISNUMBER(MATCH(TRIM(I609),Lists!$A$2:$A$20,0)),0,1),1)+IFERROR(IF(AND(LEN(K609)=10,VALUE(LEFT(K609,FIND("/",K609)-1))&gt;=1,VALUE(LEFT(K609,FIND("/",K609)-1))&lt;=31,VALUE(LEFT(MID(K609,FIND("/",K609)+1,10),FIND("/",MID(K609,FIND("/",K609)+1,10))-1))&gt;=1,VALUE(LEFT(MID(K609,FIND("/",K609)+1,10),FIND("/",MID(K609,FIND("/",K609)+1,10))-1))&lt;=12,VALUE(LEFT(K609,FIND("/",K609)-1))&lt;=DAY(EOMONTH(DATE(VALUE(MID(MID(K609,FIND("/",K609)+1,10),FIND("/",MID(K609,FIND("/",K609)+1,10))+1,4)),VALUE(LEFT(MID(K609,FIND("/",K609)+1,10),FIND("/",MID(K609,FIND("/",K609)+1,10))-1)),1),0))),0,1),1)+IFERROR(IF(M609&gt;=0,0,1),1)+IFERROR(IF(ISNUMBER(MATCH(N609,Lists!$B$2:$B$7,0)),0,1),1))=0,"OK","ERROR"))</f>
        <v/>
      </c>
      <c r="Q609" s="3" t="str">
        <f aca="false">IF(D609="","",TRIM(IF(IFERROR(IF(AND(TRIM(D609)=D609,LEN(D609)&gt;0),0,1),1)=1,"Name; ","")&amp;IF(IFERROR(IF(AND(LEN(E609)=10,ISNUMBER(VALUE(E609))),0,1),1)=1,"Phone; ","")&amp;IF(IFERROR(IF(AND(ISNUMBER(SEARCH("@",F609)),ISNUMBER(SEARCH(".",F609))),0,1),1)=1,"Email; ","")&amp;IF(IFERROR(IF(AND(LEN(J609)=6,ISNUMBER(VALUE(J609))),0,1),1)=1,"Pincode; ","")&amp;IF(IFERROR(IF(ISNUMBER(MATCH(TRIM(I609),Lists!$A$2:$A$20,0)),0,1),1)=1,"State; ","")&amp;IF(IFERROR(IF(AND(LEN(K609)=10,VALUE(LEFT(K609,FIND("/",K609)-1))&gt;=1,VALUE(LEFT(K609,FIND("/",K609)-1))&lt;=31,VALUE(LEFT(MID(K609,FIND("/",K609)+1,10),FIND("/",MID(K609,FIND("/",K609)+1,10))-1))&gt;=1,VALUE(LEFT(MID(K609,FIND("/",K609)+1,10),FIND("/",MID(K609,FIND("/",K609)+1,10))-1))&lt;=12,VALUE(LEFT(K609,FIND("/",K609)-1))&lt;=DAY(EOMONTH(DATE(VALUE(MID(MID(K609,FIND("/",K609)+1,10),FIND("/",MID(K609,FIND("/",K609)+1,10))+1,4)),VALUE(LEFT(MID(K609,FIND("/",K609)+1,10),FIND("/",MID(K609,FIND("/",K609)+1,10))-1)),1),0))),0,1),1)=1,"Date; ","")&amp;IF(IFERROR(IF(M609&gt;=0,0,1),1)=1,"Amount; ","")&amp;IF(IFERROR(IF(ISNUMBER(MATCH(N609,Lists!$B$2:$B$7,0)),0,1),1)=1,"Payment; ","")))</f>
        <v/>
      </c>
      <c r="R609" s="3" t="str">
        <f aca="false">IF(D609="","",IF(COUNTIFS($D$2:$D$701,D609,$E$2:$E$701,E609)&gt;1,"DUPLICATE","Unique"))</f>
        <v/>
      </c>
    </row>
    <row r="610" customFormat="false" ht="15" hidden="false" customHeight="false" outlineLevel="0" collapsed="false">
      <c r="A610" s="3" t="n">
        <v>609</v>
      </c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3" t="n">
        <f aca="false">IFERROR(LEN(C610&amp;D610&amp;E610&amp;F610&amp;G610&amp;H610&amp;I610&amp;J610&amp;K610&amp;L610&amp;M610&amp;N610)/5,0)</f>
        <v>0</v>
      </c>
      <c r="P610" s="3" t="str">
        <f aca="false">IF(OR(D610="",C610=""),"",IF((IFERROR(IF(AND(TRIM(D610)=D610,LEN(D610)&gt;0),0,1),1)+IFERROR(IF(AND(LEN(E610)=10,ISNUMBER(VALUE(E610))),0,1),1)+IFERROR(IF(AND(ISNUMBER(SEARCH("@",F610)),ISNUMBER(SEARCH(".",F610))),0,1),1)+IFERROR(IF(AND(LEN(J610)=6,ISNUMBER(VALUE(J610))),0,1),1)+IFERROR(IF(ISNUMBER(MATCH(TRIM(I610),Lists!$A$2:$A$20,0)),0,1),1)+IFERROR(IF(AND(LEN(K610)=10,VALUE(LEFT(K610,FIND("/",K610)-1))&gt;=1,VALUE(LEFT(K610,FIND("/",K610)-1))&lt;=31,VALUE(LEFT(MID(K610,FIND("/",K610)+1,10),FIND("/",MID(K610,FIND("/",K610)+1,10))-1))&gt;=1,VALUE(LEFT(MID(K610,FIND("/",K610)+1,10),FIND("/",MID(K610,FIND("/",K610)+1,10))-1))&lt;=12,VALUE(LEFT(K610,FIND("/",K610)-1))&lt;=DAY(EOMONTH(DATE(VALUE(MID(MID(K610,FIND("/",K610)+1,10),FIND("/",MID(K610,FIND("/",K610)+1,10))+1,4)),VALUE(LEFT(MID(K610,FIND("/",K610)+1,10),FIND("/",MID(K610,FIND("/",K610)+1,10))-1)),1),0))),0,1),1)+IFERROR(IF(M610&gt;=0,0,1),1)+IFERROR(IF(ISNUMBER(MATCH(N610,Lists!$B$2:$B$7,0)),0,1),1))=0,"OK","ERROR"))</f>
        <v/>
      </c>
      <c r="Q610" s="3" t="str">
        <f aca="false">IF(D610="","",TRIM(IF(IFERROR(IF(AND(TRIM(D610)=D610,LEN(D610)&gt;0),0,1),1)=1,"Name; ","")&amp;IF(IFERROR(IF(AND(LEN(E610)=10,ISNUMBER(VALUE(E610))),0,1),1)=1,"Phone; ","")&amp;IF(IFERROR(IF(AND(ISNUMBER(SEARCH("@",F610)),ISNUMBER(SEARCH(".",F610))),0,1),1)=1,"Email; ","")&amp;IF(IFERROR(IF(AND(LEN(J610)=6,ISNUMBER(VALUE(J610))),0,1),1)=1,"Pincode; ","")&amp;IF(IFERROR(IF(ISNUMBER(MATCH(TRIM(I610),Lists!$A$2:$A$20,0)),0,1),1)=1,"State; ","")&amp;IF(IFERROR(IF(AND(LEN(K610)=10,VALUE(LEFT(K610,FIND("/",K610)-1))&gt;=1,VALUE(LEFT(K610,FIND("/",K610)-1))&lt;=31,VALUE(LEFT(MID(K610,FIND("/",K610)+1,10),FIND("/",MID(K610,FIND("/",K610)+1,10))-1))&gt;=1,VALUE(LEFT(MID(K610,FIND("/",K610)+1,10),FIND("/",MID(K610,FIND("/",K610)+1,10))-1))&lt;=12,VALUE(LEFT(K610,FIND("/",K610)-1))&lt;=DAY(EOMONTH(DATE(VALUE(MID(MID(K610,FIND("/",K610)+1,10),FIND("/",MID(K610,FIND("/",K610)+1,10))+1,4)),VALUE(LEFT(MID(K610,FIND("/",K610)+1,10),FIND("/",MID(K610,FIND("/",K610)+1,10))-1)),1),0))),0,1),1)=1,"Date; ","")&amp;IF(IFERROR(IF(M610&gt;=0,0,1),1)=1,"Amount; ","")&amp;IF(IFERROR(IF(ISNUMBER(MATCH(N610,Lists!$B$2:$B$7,0)),0,1),1)=1,"Payment; ","")))</f>
        <v/>
      </c>
      <c r="R610" s="3" t="str">
        <f aca="false">IF(D610="","",IF(COUNTIFS($D$2:$D$701,D610,$E$2:$E$701,E610)&gt;1,"DUPLICATE","Unique"))</f>
        <v/>
      </c>
    </row>
    <row r="611" customFormat="false" ht="15" hidden="false" customHeight="false" outlineLevel="0" collapsed="false">
      <c r="A611" s="3" t="n">
        <v>610</v>
      </c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3" t="n">
        <f aca="false">IFERROR(LEN(C611&amp;D611&amp;E611&amp;F611&amp;G611&amp;H611&amp;I611&amp;J611&amp;K611&amp;L611&amp;M611&amp;N611)/5,0)</f>
        <v>0</v>
      </c>
      <c r="P611" s="3" t="str">
        <f aca="false">IF(OR(D611="",C611=""),"",IF((IFERROR(IF(AND(TRIM(D611)=D611,LEN(D611)&gt;0),0,1),1)+IFERROR(IF(AND(LEN(E611)=10,ISNUMBER(VALUE(E611))),0,1),1)+IFERROR(IF(AND(ISNUMBER(SEARCH("@",F611)),ISNUMBER(SEARCH(".",F611))),0,1),1)+IFERROR(IF(AND(LEN(J611)=6,ISNUMBER(VALUE(J611))),0,1),1)+IFERROR(IF(ISNUMBER(MATCH(TRIM(I611),Lists!$A$2:$A$20,0)),0,1),1)+IFERROR(IF(AND(LEN(K611)=10,VALUE(LEFT(K611,FIND("/",K611)-1))&gt;=1,VALUE(LEFT(K611,FIND("/",K611)-1))&lt;=31,VALUE(LEFT(MID(K611,FIND("/",K611)+1,10),FIND("/",MID(K611,FIND("/",K611)+1,10))-1))&gt;=1,VALUE(LEFT(MID(K611,FIND("/",K611)+1,10),FIND("/",MID(K611,FIND("/",K611)+1,10))-1))&lt;=12,VALUE(LEFT(K611,FIND("/",K611)-1))&lt;=DAY(EOMONTH(DATE(VALUE(MID(MID(K611,FIND("/",K611)+1,10),FIND("/",MID(K611,FIND("/",K611)+1,10))+1,4)),VALUE(LEFT(MID(K611,FIND("/",K611)+1,10),FIND("/",MID(K611,FIND("/",K611)+1,10))-1)),1),0))),0,1),1)+IFERROR(IF(M611&gt;=0,0,1),1)+IFERROR(IF(ISNUMBER(MATCH(N611,Lists!$B$2:$B$7,0)),0,1),1))=0,"OK","ERROR"))</f>
        <v/>
      </c>
      <c r="Q611" s="3" t="str">
        <f aca="false">IF(D611="","",TRIM(IF(IFERROR(IF(AND(TRIM(D611)=D611,LEN(D611)&gt;0),0,1),1)=1,"Name; ","")&amp;IF(IFERROR(IF(AND(LEN(E611)=10,ISNUMBER(VALUE(E611))),0,1),1)=1,"Phone; ","")&amp;IF(IFERROR(IF(AND(ISNUMBER(SEARCH("@",F611)),ISNUMBER(SEARCH(".",F611))),0,1),1)=1,"Email; ","")&amp;IF(IFERROR(IF(AND(LEN(J611)=6,ISNUMBER(VALUE(J611))),0,1),1)=1,"Pincode; ","")&amp;IF(IFERROR(IF(ISNUMBER(MATCH(TRIM(I611),Lists!$A$2:$A$20,0)),0,1),1)=1,"State; ","")&amp;IF(IFERROR(IF(AND(LEN(K611)=10,VALUE(LEFT(K611,FIND("/",K611)-1))&gt;=1,VALUE(LEFT(K611,FIND("/",K611)-1))&lt;=31,VALUE(LEFT(MID(K611,FIND("/",K611)+1,10),FIND("/",MID(K611,FIND("/",K611)+1,10))-1))&gt;=1,VALUE(LEFT(MID(K611,FIND("/",K611)+1,10),FIND("/",MID(K611,FIND("/",K611)+1,10))-1))&lt;=12,VALUE(LEFT(K611,FIND("/",K611)-1))&lt;=DAY(EOMONTH(DATE(VALUE(MID(MID(K611,FIND("/",K611)+1,10),FIND("/",MID(K611,FIND("/",K611)+1,10))+1,4)),VALUE(LEFT(MID(K611,FIND("/",K611)+1,10),FIND("/",MID(K611,FIND("/",K611)+1,10))-1)),1),0))),0,1),1)=1,"Date; ","")&amp;IF(IFERROR(IF(M611&gt;=0,0,1),1)=1,"Amount; ","")&amp;IF(IFERROR(IF(ISNUMBER(MATCH(N611,Lists!$B$2:$B$7,0)),0,1),1)=1,"Payment; ","")))</f>
        <v/>
      </c>
      <c r="R611" s="3" t="str">
        <f aca="false">IF(D611="","",IF(COUNTIFS($D$2:$D$701,D611,$E$2:$E$701,E611)&gt;1,"DUPLICATE","Unique"))</f>
        <v/>
      </c>
    </row>
    <row r="612" customFormat="false" ht="15" hidden="false" customHeight="false" outlineLevel="0" collapsed="false">
      <c r="A612" s="3" t="n">
        <v>611</v>
      </c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3" t="n">
        <f aca="false">IFERROR(LEN(C612&amp;D612&amp;E612&amp;F612&amp;G612&amp;H612&amp;I612&amp;J612&amp;K612&amp;L612&amp;M612&amp;N612)/5,0)</f>
        <v>0</v>
      </c>
      <c r="P612" s="3" t="str">
        <f aca="false">IF(OR(D612="",C612=""),"",IF((IFERROR(IF(AND(TRIM(D612)=D612,LEN(D612)&gt;0),0,1),1)+IFERROR(IF(AND(LEN(E612)=10,ISNUMBER(VALUE(E612))),0,1),1)+IFERROR(IF(AND(ISNUMBER(SEARCH("@",F612)),ISNUMBER(SEARCH(".",F612))),0,1),1)+IFERROR(IF(AND(LEN(J612)=6,ISNUMBER(VALUE(J612))),0,1),1)+IFERROR(IF(ISNUMBER(MATCH(TRIM(I612),Lists!$A$2:$A$20,0)),0,1),1)+IFERROR(IF(AND(LEN(K612)=10,VALUE(LEFT(K612,FIND("/",K612)-1))&gt;=1,VALUE(LEFT(K612,FIND("/",K612)-1))&lt;=31,VALUE(LEFT(MID(K612,FIND("/",K612)+1,10),FIND("/",MID(K612,FIND("/",K612)+1,10))-1))&gt;=1,VALUE(LEFT(MID(K612,FIND("/",K612)+1,10),FIND("/",MID(K612,FIND("/",K612)+1,10))-1))&lt;=12,VALUE(LEFT(K612,FIND("/",K612)-1))&lt;=DAY(EOMONTH(DATE(VALUE(MID(MID(K612,FIND("/",K612)+1,10),FIND("/",MID(K612,FIND("/",K612)+1,10))+1,4)),VALUE(LEFT(MID(K612,FIND("/",K612)+1,10),FIND("/",MID(K612,FIND("/",K612)+1,10))-1)),1),0))),0,1),1)+IFERROR(IF(M612&gt;=0,0,1),1)+IFERROR(IF(ISNUMBER(MATCH(N612,Lists!$B$2:$B$7,0)),0,1),1))=0,"OK","ERROR"))</f>
        <v/>
      </c>
      <c r="Q612" s="3" t="str">
        <f aca="false">IF(D612="","",TRIM(IF(IFERROR(IF(AND(TRIM(D612)=D612,LEN(D612)&gt;0),0,1),1)=1,"Name; ","")&amp;IF(IFERROR(IF(AND(LEN(E612)=10,ISNUMBER(VALUE(E612))),0,1),1)=1,"Phone; ","")&amp;IF(IFERROR(IF(AND(ISNUMBER(SEARCH("@",F612)),ISNUMBER(SEARCH(".",F612))),0,1),1)=1,"Email; ","")&amp;IF(IFERROR(IF(AND(LEN(J612)=6,ISNUMBER(VALUE(J612))),0,1),1)=1,"Pincode; ","")&amp;IF(IFERROR(IF(ISNUMBER(MATCH(TRIM(I612),Lists!$A$2:$A$20,0)),0,1),1)=1,"State; ","")&amp;IF(IFERROR(IF(AND(LEN(K612)=10,VALUE(LEFT(K612,FIND("/",K612)-1))&gt;=1,VALUE(LEFT(K612,FIND("/",K612)-1))&lt;=31,VALUE(LEFT(MID(K612,FIND("/",K612)+1,10),FIND("/",MID(K612,FIND("/",K612)+1,10))-1))&gt;=1,VALUE(LEFT(MID(K612,FIND("/",K612)+1,10),FIND("/",MID(K612,FIND("/",K612)+1,10))-1))&lt;=12,VALUE(LEFT(K612,FIND("/",K612)-1))&lt;=DAY(EOMONTH(DATE(VALUE(MID(MID(K612,FIND("/",K612)+1,10),FIND("/",MID(K612,FIND("/",K612)+1,10))+1,4)),VALUE(LEFT(MID(K612,FIND("/",K612)+1,10),FIND("/",MID(K612,FIND("/",K612)+1,10))-1)),1),0))),0,1),1)=1,"Date; ","")&amp;IF(IFERROR(IF(M612&gt;=0,0,1),1)=1,"Amount; ","")&amp;IF(IFERROR(IF(ISNUMBER(MATCH(N612,Lists!$B$2:$B$7,0)),0,1),1)=1,"Payment; ","")))</f>
        <v/>
      </c>
      <c r="R612" s="3" t="str">
        <f aca="false">IF(D612="","",IF(COUNTIFS($D$2:$D$701,D612,$E$2:$E$701,E612)&gt;1,"DUPLICATE","Unique"))</f>
        <v/>
      </c>
    </row>
    <row r="613" customFormat="false" ht="15" hidden="false" customHeight="false" outlineLevel="0" collapsed="false">
      <c r="A613" s="3" t="n">
        <v>612</v>
      </c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3" t="n">
        <f aca="false">IFERROR(LEN(C613&amp;D613&amp;E613&amp;F613&amp;G613&amp;H613&amp;I613&amp;J613&amp;K613&amp;L613&amp;M613&amp;N613)/5,0)</f>
        <v>0</v>
      </c>
      <c r="P613" s="3" t="str">
        <f aca="false">IF(OR(D613="",C613=""),"",IF((IFERROR(IF(AND(TRIM(D613)=D613,LEN(D613)&gt;0),0,1),1)+IFERROR(IF(AND(LEN(E613)=10,ISNUMBER(VALUE(E613))),0,1),1)+IFERROR(IF(AND(ISNUMBER(SEARCH("@",F613)),ISNUMBER(SEARCH(".",F613))),0,1),1)+IFERROR(IF(AND(LEN(J613)=6,ISNUMBER(VALUE(J613))),0,1),1)+IFERROR(IF(ISNUMBER(MATCH(TRIM(I613),Lists!$A$2:$A$20,0)),0,1),1)+IFERROR(IF(AND(LEN(K613)=10,VALUE(LEFT(K613,FIND("/",K613)-1))&gt;=1,VALUE(LEFT(K613,FIND("/",K613)-1))&lt;=31,VALUE(LEFT(MID(K613,FIND("/",K613)+1,10),FIND("/",MID(K613,FIND("/",K613)+1,10))-1))&gt;=1,VALUE(LEFT(MID(K613,FIND("/",K613)+1,10),FIND("/",MID(K613,FIND("/",K613)+1,10))-1))&lt;=12,VALUE(LEFT(K613,FIND("/",K613)-1))&lt;=DAY(EOMONTH(DATE(VALUE(MID(MID(K613,FIND("/",K613)+1,10),FIND("/",MID(K613,FIND("/",K613)+1,10))+1,4)),VALUE(LEFT(MID(K613,FIND("/",K613)+1,10),FIND("/",MID(K613,FIND("/",K613)+1,10))-1)),1),0))),0,1),1)+IFERROR(IF(M613&gt;=0,0,1),1)+IFERROR(IF(ISNUMBER(MATCH(N613,Lists!$B$2:$B$7,0)),0,1),1))=0,"OK","ERROR"))</f>
        <v/>
      </c>
      <c r="Q613" s="3" t="str">
        <f aca="false">IF(D613="","",TRIM(IF(IFERROR(IF(AND(TRIM(D613)=D613,LEN(D613)&gt;0),0,1),1)=1,"Name; ","")&amp;IF(IFERROR(IF(AND(LEN(E613)=10,ISNUMBER(VALUE(E613))),0,1),1)=1,"Phone; ","")&amp;IF(IFERROR(IF(AND(ISNUMBER(SEARCH("@",F613)),ISNUMBER(SEARCH(".",F613))),0,1),1)=1,"Email; ","")&amp;IF(IFERROR(IF(AND(LEN(J613)=6,ISNUMBER(VALUE(J613))),0,1),1)=1,"Pincode; ","")&amp;IF(IFERROR(IF(ISNUMBER(MATCH(TRIM(I613),Lists!$A$2:$A$20,0)),0,1),1)=1,"State; ","")&amp;IF(IFERROR(IF(AND(LEN(K613)=10,VALUE(LEFT(K613,FIND("/",K613)-1))&gt;=1,VALUE(LEFT(K613,FIND("/",K613)-1))&lt;=31,VALUE(LEFT(MID(K613,FIND("/",K613)+1,10),FIND("/",MID(K613,FIND("/",K613)+1,10))-1))&gt;=1,VALUE(LEFT(MID(K613,FIND("/",K613)+1,10),FIND("/",MID(K613,FIND("/",K613)+1,10))-1))&lt;=12,VALUE(LEFT(K613,FIND("/",K613)-1))&lt;=DAY(EOMONTH(DATE(VALUE(MID(MID(K613,FIND("/",K613)+1,10),FIND("/",MID(K613,FIND("/",K613)+1,10))+1,4)),VALUE(LEFT(MID(K613,FIND("/",K613)+1,10),FIND("/",MID(K613,FIND("/",K613)+1,10))-1)),1),0))),0,1),1)=1,"Date; ","")&amp;IF(IFERROR(IF(M613&gt;=0,0,1),1)=1,"Amount; ","")&amp;IF(IFERROR(IF(ISNUMBER(MATCH(N613,Lists!$B$2:$B$7,0)),0,1),1)=1,"Payment; ","")))</f>
        <v/>
      </c>
      <c r="R613" s="3" t="str">
        <f aca="false">IF(D613="","",IF(COUNTIFS($D$2:$D$701,D613,$E$2:$E$701,E613)&gt;1,"DUPLICATE","Unique"))</f>
        <v/>
      </c>
    </row>
    <row r="614" customFormat="false" ht="15" hidden="false" customHeight="false" outlineLevel="0" collapsed="false">
      <c r="A614" s="3" t="n">
        <v>613</v>
      </c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3" t="n">
        <f aca="false">IFERROR(LEN(C614&amp;D614&amp;E614&amp;F614&amp;G614&amp;H614&amp;I614&amp;J614&amp;K614&amp;L614&amp;M614&amp;N614)/5,0)</f>
        <v>0</v>
      </c>
      <c r="P614" s="3" t="str">
        <f aca="false">IF(OR(D614="",C614=""),"",IF((IFERROR(IF(AND(TRIM(D614)=D614,LEN(D614)&gt;0),0,1),1)+IFERROR(IF(AND(LEN(E614)=10,ISNUMBER(VALUE(E614))),0,1),1)+IFERROR(IF(AND(ISNUMBER(SEARCH("@",F614)),ISNUMBER(SEARCH(".",F614))),0,1),1)+IFERROR(IF(AND(LEN(J614)=6,ISNUMBER(VALUE(J614))),0,1),1)+IFERROR(IF(ISNUMBER(MATCH(TRIM(I614),Lists!$A$2:$A$20,0)),0,1),1)+IFERROR(IF(AND(LEN(K614)=10,VALUE(LEFT(K614,FIND("/",K614)-1))&gt;=1,VALUE(LEFT(K614,FIND("/",K614)-1))&lt;=31,VALUE(LEFT(MID(K614,FIND("/",K614)+1,10),FIND("/",MID(K614,FIND("/",K614)+1,10))-1))&gt;=1,VALUE(LEFT(MID(K614,FIND("/",K614)+1,10),FIND("/",MID(K614,FIND("/",K614)+1,10))-1))&lt;=12,VALUE(LEFT(K614,FIND("/",K614)-1))&lt;=DAY(EOMONTH(DATE(VALUE(MID(MID(K614,FIND("/",K614)+1,10),FIND("/",MID(K614,FIND("/",K614)+1,10))+1,4)),VALUE(LEFT(MID(K614,FIND("/",K614)+1,10),FIND("/",MID(K614,FIND("/",K614)+1,10))-1)),1),0))),0,1),1)+IFERROR(IF(M614&gt;=0,0,1),1)+IFERROR(IF(ISNUMBER(MATCH(N614,Lists!$B$2:$B$7,0)),0,1),1))=0,"OK","ERROR"))</f>
        <v/>
      </c>
      <c r="Q614" s="3" t="str">
        <f aca="false">IF(D614="","",TRIM(IF(IFERROR(IF(AND(TRIM(D614)=D614,LEN(D614)&gt;0),0,1),1)=1,"Name; ","")&amp;IF(IFERROR(IF(AND(LEN(E614)=10,ISNUMBER(VALUE(E614))),0,1),1)=1,"Phone; ","")&amp;IF(IFERROR(IF(AND(ISNUMBER(SEARCH("@",F614)),ISNUMBER(SEARCH(".",F614))),0,1),1)=1,"Email; ","")&amp;IF(IFERROR(IF(AND(LEN(J614)=6,ISNUMBER(VALUE(J614))),0,1),1)=1,"Pincode; ","")&amp;IF(IFERROR(IF(ISNUMBER(MATCH(TRIM(I614),Lists!$A$2:$A$20,0)),0,1),1)=1,"State; ","")&amp;IF(IFERROR(IF(AND(LEN(K614)=10,VALUE(LEFT(K614,FIND("/",K614)-1))&gt;=1,VALUE(LEFT(K614,FIND("/",K614)-1))&lt;=31,VALUE(LEFT(MID(K614,FIND("/",K614)+1,10),FIND("/",MID(K614,FIND("/",K614)+1,10))-1))&gt;=1,VALUE(LEFT(MID(K614,FIND("/",K614)+1,10),FIND("/",MID(K614,FIND("/",K614)+1,10))-1))&lt;=12,VALUE(LEFT(K614,FIND("/",K614)-1))&lt;=DAY(EOMONTH(DATE(VALUE(MID(MID(K614,FIND("/",K614)+1,10),FIND("/",MID(K614,FIND("/",K614)+1,10))+1,4)),VALUE(LEFT(MID(K614,FIND("/",K614)+1,10),FIND("/",MID(K614,FIND("/",K614)+1,10))-1)),1),0))),0,1),1)=1,"Date; ","")&amp;IF(IFERROR(IF(M614&gt;=0,0,1),1)=1,"Amount; ","")&amp;IF(IFERROR(IF(ISNUMBER(MATCH(N614,Lists!$B$2:$B$7,0)),0,1),1)=1,"Payment; ","")))</f>
        <v/>
      </c>
      <c r="R614" s="3" t="str">
        <f aca="false">IF(D614="","",IF(COUNTIFS($D$2:$D$701,D614,$E$2:$E$701,E614)&gt;1,"DUPLICATE","Unique"))</f>
        <v/>
      </c>
    </row>
    <row r="615" customFormat="false" ht="15" hidden="false" customHeight="false" outlineLevel="0" collapsed="false">
      <c r="A615" s="3" t="n">
        <v>614</v>
      </c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3" t="n">
        <f aca="false">IFERROR(LEN(C615&amp;D615&amp;E615&amp;F615&amp;G615&amp;H615&amp;I615&amp;J615&amp;K615&amp;L615&amp;M615&amp;N615)/5,0)</f>
        <v>0</v>
      </c>
      <c r="P615" s="3" t="str">
        <f aca="false">IF(OR(D615="",C615=""),"",IF((IFERROR(IF(AND(TRIM(D615)=D615,LEN(D615)&gt;0),0,1),1)+IFERROR(IF(AND(LEN(E615)=10,ISNUMBER(VALUE(E615))),0,1),1)+IFERROR(IF(AND(ISNUMBER(SEARCH("@",F615)),ISNUMBER(SEARCH(".",F615))),0,1),1)+IFERROR(IF(AND(LEN(J615)=6,ISNUMBER(VALUE(J615))),0,1),1)+IFERROR(IF(ISNUMBER(MATCH(TRIM(I615),Lists!$A$2:$A$20,0)),0,1),1)+IFERROR(IF(AND(LEN(K615)=10,VALUE(LEFT(K615,FIND("/",K615)-1))&gt;=1,VALUE(LEFT(K615,FIND("/",K615)-1))&lt;=31,VALUE(LEFT(MID(K615,FIND("/",K615)+1,10),FIND("/",MID(K615,FIND("/",K615)+1,10))-1))&gt;=1,VALUE(LEFT(MID(K615,FIND("/",K615)+1,10),FIND("/",MID(K615,FIND("/",K615)+1,10))-1))&lt;=12,VALUE(LEFT(K615,FIND("/",K615)-1))&lt;=DAY(EOMONTH(DATE(VALUE(MID(MID(K615,FIND("/",K615)+1,10),FIND("/",MID(K615,FIND("/",K615)+1,10))+1,4)),VALUE(LEFT(MID(K615,FIND("/",K615)+1,10),FIND("/",MID(K615,FIND("/",K615)+1,10))-1)),1),0))),0,1),1)+IFERROR(IF(M615&gt;=0,0,1),1)+IFERROR(IF(ISNUMBER(MATCH(N615,Lists!$B$2:$B$7,0)),0,1),1))=0,"OK","ERROR"))</f>
        <v/>
      </c>
      <c r="Q615" s="3" t="str">
        <f aca="false">IF(D615="","",TRIM(IF(IFERROR(IF(AND(TRIM(D615)=D615,LEN(D615)&gt;0),0,1),1)=1,"Name; ","")&amp;IF(IFERROR(IF(AND(LEN(E615)=10,ISNUMBER(VALUE(E615))),0,1),1)=1,"Phone; ","")&amp;IF(IFERROR(IF(AND(ISNUMBER(SEARCH("@",F615)),ISNUMBER(SEARCH(".",F615))),0,1),1)=1,"Email; ","")&amp;IF(IFERROR(IF(AND(LEN(J615)=6,ISNUMBER(VALUE(J615))),0,1),1)=1,"Pincode; ","")&amp;IF(IFERROR(IF(ISNUMBER(MATCH(TRIM(I615),Lists!$A$2:$A$20,0)),0,1),1)=1,"State; ","")&amp;IF(IFERROR(IF(AND(LEN(K615)=10,VALUE(LEFT(K615,FIND("/",K615)-1))&gt;=1,VALUE(LEFT(K615,FIND("/",K615)-1))&lt;=31,VALUE(LEFT(MID(K615,FIND("/",K615)+1,10),FIND("/",MID(K615,FIND("/",K615)+1,10))-1))&gt;=1,VALUE(LEFT(MID(K615,FIND("/",K615)+1,10),FIND("/",MID(K615,FIND("/",K615)+1,10))-1))&lt;=12,VALUE(LEFT(K615,FIND("/",K615)-1))&lt;=DAY(EOMONTH(DATE(VALUE(MID(MID(K615,FIND("/",K615)+1,10),FIND("/",MID(K615,FIND("/",K615)+1,10))+1,4)),VALUE(LEFT(MID(K615,FIND("/",K615)+1,10),FIND("/",MID(K615,FIND("/",K615)+1,10))-1)),1),0))),0,1),1)=1,"Date; ","")&amp;IF(IFERROR(IF(M615&gt;=0,0,1),1)=1,"Amount; ","")&amp;IF(IFERROR(IF(ISNUMBER(MATCH(N615,Lists!$B$2:$B$7,0)),0,1),1)=1,"Payment; ","")))</f>
        <v/>
      </c>
      <c r="R615" s="3" t="str">
        <f aca="false">IF(D615="","",IF(COUNTIFS($D$2:$D$701,D615,$E$2:$E$701,E615)&gt;1,"DUPLICATE","Unique"))</f>
        <v/>
      </c>
    </row>
    <row r="616" customFormat="false" ht="15" hidden="false" customHeight="false" outlineLevel="0" collapsed="false">
      <c r="A616" s="3" t="n">
        <v>615</v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3" t="n">
        <f aca="false">IFERROR(LEN(C616&amp;D616&amp;E616&amp;F616&amp;G616&amp;H616&amp;I616&amp;J616&amp;K616&amp;L616&amp;M616&amp;N616)/5,0)</f>
        <v>0</v>
      </c>
      <c r="P616" s="3" t="str">
        <f aca="false">IF(OR(D616="",C616=""),"",IF((IFERROR(IF(AND(TRIM(D616)=D616,LEN(D616)&gt;0),0,1),1)+IFERROR(IF(AND(LEN(E616)=10,ISNUMBER(VALUE(E616))),0,1),1)+IFERROR(IF(AND(ISNUMBER(SEARCH("@",F616)),ISNUMBER(SEARCH(".",F616))),0,1),1)+IFERROR(IF(AND(LEN(J616)=6,ISNUMBER(VALUE(J616))),0,1),1)+IFERROR(IF(ISNUMBER(MATCH(TRIM(I616),Lists!$A$2:$A$20,0)),0,1),1)+IFERROR(IF(AND(LEN(K616)=10,VALUE(LEFT(K616,FIND("/",K616)-1))&gt;=1,VALUE(LEFT(K616,FIND("/",K616)-1))&lt;=31,VALUE(LEFT(MID(K616,FIND("/",K616)+1,10),FIND("/",MID(K616,FIND("/",K616)+1,10))-1))&gt;=1,VALUE(LEFT(MID(K616,FIND("/",K616)+1,10),FIND("/",MID(K616,FIND("/",K616)+1,10))-1))&lt;=12,VALUE(LEFT(K616,FIND("/",K616)-1))&lt;=DAY(EOMONTH(DATE(VALUE(MID(MID(K616,FIND("/",K616)+1,10),FIND("/",MID(K616,FIND("/",K616)+1,10))+1,4)),VALUE(LEFT(MID(K616,FIND("/",K616)+1,10),FIND("/",MID(K616,FIND("/",K616)+1,10))-1)),1),0))),0,1),1)+IFERROR(IF(M616&gt;=0,0,1),1)+IFERROR(IF(ISNUMBER(MATCH(N616,Lists!$B$2:$B$7,0)),0,1),1))=0,"OK","ERROR"))</f>
        <v/>
      </c>
      <c r="Q616" s="3" t="str">
        <f aca="false">IF(D616="","",TRIM(IF(IFERROR(IF(AND(TRIM(D616)=D616,LEN(D616)&gt;0),0,1),1)=1,"Name; ","")&amp;IF(IFERROR(IF(AND(LEN(E616)=10,ISNUMBER(VALUE(E616))),0,1),1)=1,"Phone; ","")&amp;IF(IFERROR(IF(AND(ISNUMBER(SEARCH("@",F616)),ISNUMBER(SEARCH(".",F616))),0,1),1)=1,"Email; ","")&amp;IF(IFERROR(IF(AND(LEN(J616)=6,ISNUMBER(VALUE(J616))),0,1),1)=1,"Pincode; ","")&amp;IF(IFERROR(IF(ISNUMBER(MATCH(TRIM(I616),Lists!$A$2:$A$20,0)),0,1),1)=1,"State; ","")&amp;IF(IFERROR(IF(AND(LEN(K616)=10,VALUE(LEFT(K616,FIND("/",K616)-1))&gt;=1,VALUE(LEFT(K616,FIND("/",K616)-1))&lt;=31,VALUE(LEFT(MID(K616,FIND("/",K616)+1,10),FIND("/",MID(K616,FIND("/",K616)+1,10))-1))&gt;=1,VALUE(LEFT(MID(K616,FIND("/",K616)+1,10),FIND("/",MID(K616,FIND("/",K616)+1,10))-1))&lt;=12,VALUE(LEFT(K616,FIND("/",K616)-1))&lt;=DAY(EOMONTH(DATE(VALUE(MID(MID(K616,FIND("/",K616)+1,10),FIND("/",MID(K616,FIND("/",K616)+1,10))+1,4)),VALUE(LEFT(MID(K616,FIND("/",K616)+1,10),FIND("/",MID(K616,FIND("/",K616)+1,10))-1)),1),0))),0,1),1)=1,"Date; ","")&amp;IF(IFERROR(IF(M616&gt;=0,0,1),1)=1,"Amount; ","")&amp;IF(IFERROR(IF(ISNUMBER(MATCH(N616,Lists!$B$2:$B$7,0)),0,1),1)=1,"Payment; ","")))</f>
        <v/>
      </c>
      <c r="R616" s="3" t="str">
        <f aca="false">IF(D616="","",IF(COUNTIFS($D$2:$D$701,D616,$E$2:$E$701,E616)&gt;1,"DUPLICATE","Unique"))</f>
        <v/>
      </c>
    </row>
    <row r="617" customFormat="false" ht="15" hidden="false" customHeight="false" outlineLevel="0" collapsed="false">
      <c r="A617" s="3" t="n">
        <v>616</v>
      </c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3" t="n">
        <f aca="false">IFERROR(LEN(C617&amp;D617&amp;E617&amp;F617&amp;G617&amp;H617&amp;I617&amp;J617&amp;K617&amp;L617&amp;M617&amp;N617)/5,0)</f>
        <v>0</v>
      </c>
      <c r="P617" s="3" t="str">
        <f aca="false">IF(OR(D617="",C617=""),"",IF((IFERROR(IF(AND(TRIM(D617)=D617,LEN(D617)&gt;0),0,1),1)+IFERROR(IF(AND(LEN(E617)=10,ISNUMBER(VALUE(E617))),0,1),1)+IFERROR(IF(AND(ISNUMBER(SEARCH("@",F617)),ISNUMBER(SEARCH(".",F617))),0,1),1)+IFERROR(IF(AND(LEN(J617)=6,ISNUMBER(VALUE(J617))),0,1),1)+IFERROR(IF(ISNUMBER(MATCH(TRIM(I617),Lists!$A$2:$A$20,0)),0,1),1)+IFERROR(IF(AND(LEN(K617)=10,VALUE(LEFT(K617,FIND("/",K617)-1))&gt;=1,VALUE(LEFT(K617,FIND("/",K617)-1))&lt;=31,VALUE(LEFT(MID(K617,FIND("/",K617)+1,10),FIND("/",MID(K617,FIND("/",K617)+1,10))-1))&gt;=1,VALUE(LEFT(MID(K617,FIND("/",K617)+1,10),FIND("/",MID(K617,FIND("/",K617)+1,10))-1))&lt;=12,VALUE(LEFT(K617,FIND("/",K617)-1))&lt;=DAY(EOMONTH(DATE(VALUE(MID(MID(K617,FIND("/",K617)+1,10),FIND("/",MID(K617,FIND("/",K617)+1,10))+1,4)),VALUE(LEFT(MID(K617,FIND("/",K617)+1,10),FIND("/",MID(K617,FIND("/",K617)+1,10))-1)),1),0))),0,1),1)+IFERROR(IF(M617&gt;=0,0,1),1)+IFERROR(IF(ISNUMBER(MATCH(N617,Lists!$B$2:$B$7,0)),0,1),1))=0,"OK","ERROR"))</f>
        <v/>
      </c>
      <c r="Q617" s="3" t="str">
        <f aca="false">IF(D617="","",TRIM(IF(IFERROR(IF(AND(TRIM(D617)=D617,LEN(D617)&gt;0),0,1),1)=1,"Name; ","")&amp;IF(IFERROR(IF(AND(LEN(E617)=10,ISNUMBER(VALUE(E617))),0,1),1)=1,"Phone; ","")&amp;IF(IFERROR(IF(AND(ISNUMBER(SEARCH("@",F617)),ISNUMBER(SEARCH(".",F617))),0,1),1)=1,"Email; ","")&amp;IF(IFERROR(IF(AND(LEN(J617)=6,ISNUMBER(VALUE(J617))),0,1),1)=1,"Pincode; ","")&amp;IF(IFERROR(IF(ISNUMBER(MATCH(TRIM(I617),Lists!$A$2:$A$20,0)),0,1),1)=1,"State; ","")&amp;IF(IFERROR(IF(AND(LEN(K617)=10,VALUE(LEFT(K617,FIND("/",K617)-1))&gt;=1,VALUE(LEFT(K617,FIND("/",K617)-1))&lt;=31,VALUE(LEFT(MID(K617,FIND("/",K617)+1,10),FIND("/",MID(K617,FIND("/",K617)+1,10))-1))&gt;=1,VALUE(LEFT(MID(K617,FIND("/",K617)+1,10),FIND("/",MID(K617,FIND("/",K617)+1,10))-1))&lt;=12,VALUE(LEFT(K617,FIND("/",K617)-1))&lt;=DAY(EOMONTH(DATE(VALUE(MID(MID(K617,FIND("/",K617)+1,10),FIND("/",MID(K617,FIND("/",K617)+1,10))+1,4)),VALUE(LEFT(MID(K617,FIND("/",K617)+1,10),FIND("/",MID(K617,FIND("/",K617)+1,10))-1)),1),0))),0,1),1)=1,"Date; ","")&amp;IF(IFERROR(IF(M617&gt;=0,0,1),1)=1,"Amount; ","")&amp;IF(IFERROR(IF(ISNUMBER(MATCH(N617,Lists!$B$2:$B$7,0)),0,1),1)=1,"Payment; ","")))</f>
        <v/>
      </c>
      <c r="R617" s="3" t="str">
        <f aca="false">IF(D617="","",IF(COUNTIFS($D$2:$D$701,D617,$E$2:$E$701,E617)&gt;1,"DUPLICATE","Unique"))</f>
        <v/>
      </c>
    </row>
    <row r="618" customFormat="false" ht="15" hidden="false" customHeight="false" outlineLevel="0" collapsed="false">
      <c r="A618" s="3" t="n">
        <v>617</v>
      </c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3" t="n">
        <f aca="false">IFERROR(LEN(C618&amp;D618&amp;E618&amp;F618&amp;G618&amp;H618&amp;I618&amp;J618&amp;K618&amp;L618&amp;M618&amp;N618)/5,0)</f>
        <v>0</v>
      </c>
      <c r="P618" s="3" t="str">
        <f aca="false">IF(OR(D618="",C618=""),"",IF((IFERROR(IF(AND(TRIM(D618)=D618,LEN(D618)&gt;0),0,1),1)+IFERROR(IF(AND(LEN(E618)=10,ISNUMBER(VALUE(E618))),0,1),1)+IFERROR(IF(AND(ISNUMBER(SEARCH("@",F618)),ISNUMBER(SEARCH(".",F618))),0,1),1)+IFERROR(IF(AND(LEN(J618)=6,ISNUMBER(VALUE(J618))),0,1),1)+IFERROR(IF(ISNUMBER(MATCH(TRIM(I618),Lists!$A$2:$A$20,0)),0,1),1)+IFERROR(IF(AND(LEN(K618)=10,VALUE(LEFT(K618,FIND("/",K618)-1))&gt;=1,VALUE(LEFT(K618,FIND("/",K618)-1))&lt;=31,VALUE(LEFT(MID(K618,FIND("/",K618)+1,10),FIND("/",MID(K618,FIND("/",K618)+1,10))-1))&gt;=1,VALUE(LEFT(MID(K618,FIND("/",K618)+1,10),FIND("/",MID(K618,FIND("/",K618)+1,10))-1))&lt;=12,VALUE(LEFT(K618,FIND("/",K618)-1))&lt;=DAY(EOMONTH(DATE(VALUE(MID(MID(K618,FIND("/",K618)+1,10),FIND("/",MID(K618,FIND("/",K618)+1,10))+1,4)),VALUE(LEFT(MID(K618,FIND("/",K618)+1,10),FIND("/",MID(K618,FIND("/",K618)+1,10))-1)),1),0))),0,1),1)+IFERROR(IF(M618&gt;=0,0,1),1)+IFERROR(IF(ISNUMBER(MATCH(N618,Lists!$B$2:$B$7,0)),0,1),1))=0,"OK","ERROR"))</f>
        <v/>
      </c>
      <c r="Q618" s="3" t="str">
        <f aca="false">IF(D618="","",TRIM(IF(IFERROR(IF(AND(TRIM(D618)=D618,LEN(D618)&gt;0),0,1),1)=1,"Name; ","")&amp;IF(IFERROR(IF(AND(LEN(E618)=10,ISNUMBER(VALUE(E618))),0,1),1)=1,"Phone; ","")&amp;IF(IFERROR(IF(AND(ISNUMBER(SEARCH("@",F618)),ISNUMBER(SEARCH(".",F618))),0,1),1)=1,"Email; ","")&amp;IF(IFERROR(IF(AND(LEN(J618)=6,ISNUMBER(VALUE(J618))),0,1),1)=1,"Pincode; ","")&amp;IF(IFERROR(IF(ISNUMBER(MATCH(TRIM(I618),Lists!$A$2:$A$20,0)),0,1),1)=1,"State; ","")&amp;IF(IFERROR(IF(AND(LEN(K618)=10,VALUE(LEFT(K618,FIND("/",K618)-1))&gt;=1,VALUE(LEFT(K618,FIND("/",K618)-1))&lt;=31,VALUE(LEFT(MID(K618,FIND("/",K618)+1,10),FIND("/",MID(K618,FIND("/",K618)+1,10))-1))&gt;=1,VALUE(LEFT(MID(K618,FIND("/",K618)+1,10),FIND("/",MID(K618,FIND("/",K618)+1,10))-1))&lt;=12,VALUE(LEFT(K618,FIND("/",K618)-1))&lt;=DAY(EOMONTH(DATE(VALUE(MID(MID(K618,FIND("/",K618)+1,10),FIND("/",MID(K618,FIND("/",K618)+1,10))+1,4)),VALUE(LEFT(MID(K618,FIND("/",K618)+1,10),FIND("/",MID(K618,FIND("/",K618)+1,10))-1)),1),0))),0,1),1)=1,"Date; ","")&amp;IF(IFERROR(IF(M618&gt;=0,0,1),1)=1,"Amount; ","")&amp;IF(IFERROR(IF(ISNUMBER(MATCH(N618,Lists!$B$2:$B$7,0)),0,1),1)=1,"Payment; ","")))</f>
        <v/>
      </c>
      <c r="R618" s="3" t="str">
        <f aca="false">IF(D618="","",IF(COUNTIFS($D$2:$D$701,D618,$E$2:$E$701,E618)&gt;1,"DUPLICATE","Unique"))</f>
        <v/>
      </c>
    </row>
    <row r="619" customFormat="false" ht="15" hidden="false" customHeight="false" outlineLevel="0" collapsed="false">
      <c r="A619" s="3" t="n">
        <v>618</v>
      </c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3" t="n">
        <f aca="false">IFERROR(LEN(C619&amp;D619&amp;E619&amp;F619&amp;G619&amp;H619&amp;I619&amp;J619&amp;K619&amp;L619&amp;M619&amp;N619)/5,0)</f>
        <v>0</v>
      </c>
      <c r="P619" s="3" t="str">
        <f aca="false">IF(OR(D619="",C619=""),"",IF((IFERROR(IF(AND(TRIM(D619)=D619,LEN(D619)&gt;0),0,1),1)+IFERROR(IF(AND(LEN(E619)=10,ISNUMBER(VALUE(E619))),0,1),1)+IFERROR(IF(AND(ISNUMBER(SEARCH("@",F619)),ISNUMBER(SEARCH(".",F619))),0,1),1)+IFERROR(IF(AND(LEN(J619)=6,ISNUMBER(VALUE(J619))),0,1),1)+IFERROR(IF(ISNUMBER(MATCH(TRIM(I619),Lists!$A$2:$A$20,0)),0,1),1)+IFERROR(IF(AND(LEN(K619)=10,VALUE(LEFT(K619,FIND("/",K619)-1))&gt;=1,VALUE(LEFT(K619,FIND("/",K619)-1))&lt;=31,VALUE(LEFT(MID(K619,FIND("/",K619)+1,10),FIND("/",MID(K619,FIND("/",K619)+1,10))-1))&gt;=1,VALUE(LEFT(MID(K619,FIND("/",K619)+1,10),FIND("/",MID(K619,FIND("/",K619)+1,10))-1))&lt;=12,VALUE(LEFT(K619,FIND("/",K619)-1))&lt;=DAY(EOMONTH(DATE(VALUE(MID(MID(K619,FIND("/",K619)+1,10),FIND("/",MID(K619,FIND("/",K619)+1,10))+1,4)),VALUE(LEFT(MID(K619,FIND("/",K619)+1,10),FIND("/",MID(K619,FIND("/",K619)+1,10))-1)),1),0))),0,1),1)+IFERROR(IF(M619&gt;=0,0,1),1)+IFERROR(IF(ISNUMBER(MATCH(N619,Lists!$B$2:$B$7,0)),0,1),1))=0,"OK","ERROR"))</f>
        <v/>
      </c>
      <c r="Q619" s="3" t="str">
        <f aca="false">IF(D619="","",TRIM(IF(IFERROR(IF(AND(TRIM(D619)=D619,LEN(D619)&gt;0),0,1),1)=1,"Name; ","")&amp;IF(IFERROR(IF(AND(LEN(E619)=10,ISNUMBER(VALUE(E619))),0,1),1)=1,"Phone; ","")&amp;IF(IFERROR(IF(AND(ISNUMBER(SEARCH("@",F619)),ISNUMBER(SEARCH(".",F619))),0,1),1)=1,"Email; ","")&amp;IF(IFERROR(IF(AND(LEN(J619)=6,ISNUMBER(VALUE(J619))),0,1),1)=1,"Pincode; ","")&amp;IF(IFERROR(IF(ISNUMBER(MATCH(TRIM(I619),Lists!$A$2:$A$20,0)),0,1),1)=1,"State; ","")&amp;IF(IFERROR(IF(AND(LEN(K619)=10,VALUE(LEFT(K619,FIND("/",K619)-1))&gt;=1,VALUE(LEFT(K619,FIND("/",K619)-1))&lt;=31,VALUE(LEFT(MID(K619,FIND("/",K619)+1,10),FIND("/",MID(K619,FIND("/",K619)+1,10))-1))&gt;=1,VALUE(LEFT(MID(K619,FIND("/",K619)+1,10),FIND("/",MID(K619,FIND("/",K619)+1,10))-1))&lt;=12,VALUE(LEFT(K619,FIND("/",K619)-1))&lt;=DAY(EOMONTH(DATE(VALUE(MID(MID(K619,FIND("/",K619)+1,10),FIND("/",MID(K619,FIND("/",K619)+1,10))+1,4)),VALUE(LEFT(MID(K619,FIND("/",K619)+1,10),FIND("/",MID(K619,FIND("/",K619)+1,10))-1)),1),0))),0,1),1)=1,"Date; ","")&amp;IF(IFERROR(IF(M619&gt;=0,0,1),1)=1,"Amount; ","")&amp;IF(IFERROR(IF(ISNUMBER(MATCH(N619,Lists!$B$2:$B$7,0)),0,1),1)=1,"Payment; ","")))</f>
        <v/>
      </c>
      <c r="R619" s="3" t="str">
        <f aca="false">IF(D619="","",IF(COUNTIFS($D$2:$D$701,D619,$E$2:$E$701,E619)&gt;1,"DUPLICATE","Unique"))</f>
        <v/>
      </c>
    </row>
    <row r="620" customFormat="false" ht="15" hidden="false" customHeight="false" outlineLevel="0" collapsed="false">
      <c r="A620" s="3" t="n">
        <v>619</v>
      </c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3" t="n">
        <f aca="false">IFERROR(LEN(C620&amp;D620&amp;E620&amp;F620&amp;G620&amp;H620&amp;I620&amp;J620&amp;K620&amp;L620&amp;M620&amp;N620)/5,0)</f>
        <v>0</v>
      </c>
      <c r="P620" s="3" t="str">
        <f aca="false">IF(OR(D620="",C620=""),"",IF((IFERROR(IF(AND(TRIM(D620)=D620,LEN(D620)&gt;0),0,1),1)+IFERROR(IF(AND(LEN(E620)=10,ISNUMBER(VALUE(E620))),0,1),1)+IFERROR(IF(AND(ISNUMBER(SEARCH("@",F620)),ISNUMBER(SEARCH(".",F620))),0,1),1)+IFERROR(IF(AND(LEN(J620)=6,ISNUMBER(VALUE(J620))),0,1),1)+IFERROR(IF(ISNUMBER(MATCH(TRIM(I620),Lists!$A$2:$A$20,0)),0,1),1)+IFERROR(IF(AND(LEN(K620)=10,VALUE(LEFT(K620,FIND("/",K620)-1))&gt;=1,VALUE(LEFT(K620,FIND("/",K620)-1))&lt;=31,VALUE(LEFT(MID(K620,FIND("/",K620)+1,10),FIND("/",MID(K620,FIND("/",K620)+1,10))-1))&gt;=1,VALUE(LEFT(MID(K620,FIND("/",K620)+1,10),FIND("/",MID(K620,FIND("/",K620)+1,10))-1))&lt;=12,VALUE(LEFT(K620,FIND("/",K620)-1))&lt;=DAY(EOMONTH(DATE(VALUE(MID(MID(K620,FIND("/",K620)+1,10),FIND("/",MID(K620,FIND("/",K620)+1,10))+1,4)),VALUE(LEFT(MID(K620,FIND("/",K620)+1,10),FIND("/",MID(K620,FIND("/",K620)+1,10))-1)),1),0))),0,1),1)+IFERROR(IF(M620&gt;=0,0,1),1)+IFERROR(IF(ISNUMBER(MATCH(N620,Lists!$B$2:$B$7,0)),0,1),1))=0,"OK","ERROR"))</f>
        <v/>
      </c>
      <c r="Q620" s="3" t="str">
        <f aca="false">IF(D620="","",TRIM(IF(IFERROR(IF(AND(TRIM(D620)=D620,LEN(D620)&gt;0),0,1),1)=1,"Name; ","")&amp;IF(IFERROR(IF(AND(LEN(E620)=10,ISNUMBER(VALUE(E620))),0,1),1)=1,"Phone; ","")&amp;IF(IFERROR(IF(AND(ISNUMBER(SEARCH("@",F620)),ISNUMBER(SEARCH(".",F620))),0,1),1)=1,"Email; ","")&amp;IF(IFERROR(IF(AND(LEN(J620)=6,ISNUMBER(VALUE(J620))),0,1),1)=1,"Pincode; ","")&amp;IF(IFERROR(IF(ISNUMBER(MATCH(TRIM(I620),Lists!$A$2:$A$20,0)),0,1),1)=1,"State; ","")&amp;IF(IFERROR(IF(AND(LEN(K620)=10,VALUE(LEFT(K620,FIND("/",K620)-1))&gt;=1,VALUE(LEFT(K620,FIND("/",K620)-1))&lt;=31,VALUE(LEFT(MID(K620,FIND("/",K620)+1,10),FIND("/",MID(K620,FIND("/",K620)+1,10))-1))&gt;=1,VALUE(LEFT(MID(K620,FIND("/",K620)+1,10),FIND("/",MID(K620,FIND("/",K620)+1,10))-1))&lt;=12,VALUE(LEFT(K620,FIND("/",K620)-1))&lt;=DAY(EOMONTH(DATE(VALUE(MID(MID(K620,FIND("/",K620)+1,10),FIND("/",MID(K620,FIND("/",K620)+1,10))+1,4)),VALUE(LEFT(MID(K620,FIND("/",K620)+1,10),FIND("/",MID(K620,FIND("/",K620)+1,10))-1)),1),0))),0,1),1)=1,"Date; ","")&amp;IF(IFERROR(IF(M620&gt;=0,0,1),1)=1,"Amount; ","")&amp;IF(IFERROR(IF(ISNUMBER(MATCH(N620,Lists!$B$2:$B$7,0)),0,1),1)=1,"Payment; ","")))</f>
        <v/>
      </c>
      <c r="R620" s="3" t="str">
        <f aca="false">IF(D620="","",IF(COUNTIFS($D$2:$D$701,D620,$E$2:$E$701,E620)&gt;1,"DUPLICATE","Unique"))</f>
        <v/>
      </c>
    </row>
    <row r="621" customFormat="false" ht="15" hidden="false" customHeight="false" outlineLevel="0" collapsed="false">
      <c r="A621" s="3" t="n">
        <v>620</v>
      </c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3" t="n">
        <f aca="false">IFERROR(LEN(C621&amp;D621&amp;E621&amp;F621&amp;G621&amp;H621&amp;I621&amp;J621&amp;K621&amp;L621&amp;M621&amp;N621)/5,0)</f>
        <v>0</v>
      </c>
      <c r="P621" s="3" t="str">
        <f aca="false">IF(OR(D621="",C621=""),"",IF((IFERROR(IF(AND(TRIM(D621)=D621,LEN(D621)&gt;0),0,1),1)+IFERROR(IF(AND(LEN(E621)=10,ISNUMBER(VALUE(E621))),0,1),1)+IFERROR(IF(AND(ISNUMBER(SEARCH("@",F621)),ISNUMBER(SEARCH(".",F621))),0,1),1)+IFERROR(IF(AND(LEN(J621)=6,ISNUMBER(VALUE(J621))),0,1),1)+IFERROR(IF(ISNUMBER(MATCH(TRIM(I621),Lists!$A$2:$A$20,0)),0,1),1)+IFERROR(IF(AND(LEN(K621)=10,VALUE(LEFT(K621,FIND("/",K621)-1))&gt;=1,VALUE(LEFT(K621,FIND("/",K621)-1))&lt;=31,VALUE(LEFT(MID(K621,FIND("/",K621)+1,10),FIND("/",MID(K621,FIND("/",K621)+1,10))-1))&gt;=1,VALUE(LEFT(MID(K621,FIND("/",K621)+1,10),FIND("/",MID(K621,FIND("/",K621)+1,10))-1))&lt;=12,VALUE(LEFT(K621,FIND("/",K621)-1))&lt;=DAY(EOMONTH(DATE(VALUE(MID(MID(K621,FIND("/",K621)+1,10),FIND("/",MID(K621,FIND("/",K621)+1,10))+1,4)),VALUE(LEFT(MID(K621,FIND("/",K621)+1,10),FIND("/",MID(K621,FIND("/",K621)+1,10))-1)),1),0))),0,1),1)+IFERROR(IF(M621&gt;=0,0,1),1)+IFERROR(IF(ISNUMBER(MATCH(N621,Lists!$B$2:$B$7,0)),0,1),1))=0,"OK","ERROR"))</f>
        <v/>
      </c>
      <c r="Q621" s="3" t="str">
        <f aca="false">IF(D621="","",TRIM(IF(IFERROR(IF(AND(TRIM(D621)=D621,LEN(D621)&gt;0),0,1),1)=1,"Name; ","")&amp;IF(IFERROR(IF(AND(LEN(E621)=10,ISNUMBER(VALUE(E621))),0,1),1)=1,"Phone; ","")&amp;IF(IFERROR(IF(AND(ISNUMBER(SEARCH("@",F621)),ISNUMBER(SEARCH(".",F621))),0,1),1)=1,"Email; ","")&amp;IF(IFERROR(IF(AND(LEN(J621)=6,ISNUMBER(VALUE(J621))),0,1),1)=1,"Pincode; ","")&amp;IF(IFERROR(IF(ISNUMBER(MATCH(TRIM(I621),Lists!$A$2:$A$20,0)),0,1),1)=1,"State; ","")&amp;IF(IFERROR(IF(AND(LEN(K621)=10,VALUE(LEFT(K621,FIND("/",K621)-1))&gt;=1,VALUE(LEFT(K621,FIND("/",K621)-1))&lt;=31,VALUE(LEFT(MID(K621,FIND("/",K621)+1,10),FIND("/",MID(K621,FIND("/",K621)+1,10))-1))&gt;=1,VALUE(LEFT(MID(K621,FIND("/",K621)+1,10),FIND("/",MID(K621,FIND("/",K621)+1,10))-1))&lt;=12,VALUE(LEFT(K621,FIND("/",K621)-1))&lt;=DAY(EOMONTH(DATE(VALUE(MID(MID(K621,FIND("/",K621)+1,10),FIND("/",MID(K621,FIND("/",K621)+1,10))+1,4)),VALUE(LEFT(MID(K621,FIND("/",K621)+1,10),FIND("/",MID(K621,FIND("/",K621)+1,10))-1)),1),0))),0,1),1)=1,"Date; ","")&amp;IF(IFERROR(IF(M621&gt;=0,0,1),1)=1,"Amount; ","")&amp;IF(IFERROR(IF(ISNUMBER(MATCH(N621,Lists!$B$2:$B$7,0)),0,1),1)=1,"Payment; ","")))</f>
        <v/>
      </c>
      <c r="R621" s="3" t="str">
        <f aca="false">IF(D621="","",IF(COUNTIFS($D$2:$D$701,D621,$E$2:$E$701,E621)&gt;1,"DUPLICATE","Unique"))</f>
        <v/>
      </c>
    </row>
    <row r="622" customFormat="false" ht="15" hidden="false" customHeight="false" outlineLevel="0" collapsed="false">
      <c r="A622" s="3" t="n">
        <v>621</v>
      </c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3" t="n">
        <f aca="false">IFERROR(LEN(C622&amp;D622&amp;E622&amp;F622&amp;G622&amp;H622&amp;I622&amp;J622&amp;K622&amp;L622&amp;M622&amp;N622)/5,0)</f>
        <v>0</v>
      </c>
      <c r="P622" s="3" t="str">
        <f aca="false">IF(OR(D622="",C622=""),"",IF((IFERROR(IF(AND(TRIM(D622)=D622,LEN(D622)&gt;0),0,1),1)+IFERROR(IF(AND(LEN(E622)=10,ISNUMBER(VALUE(E622))),0,1),1)+IFERROR(IF(AND(ISNUMBER(SEARCH("@",F622)),ISNUMBER(SEARCH(".",F622))),0,1),1)+IFERROR(IF(AND(LEN(J622)=6,ISNUMBER(VALUE(J622))),0,1),1)+IFERROR(IF(ISNUMBER(MATCH(TRIM(I622),Lists!$A$2:$A$20,0)),0,1),1)+IFERROR(IF(AND(LEN(K622)=10,VALUE(LEFT(K622,FIND("/",K622)-1))&gt;=1,VALUE(LEFT(K622,FIND("/",K622)-1))&lt;=31,VALUE(LEFT(MID(K622,FIND("/",K622)+1,10),FIND("/",MID(K622,FIND("/",K622)+1,10))-1))&gt;=1,VALUE(LEFT(MID(K622,FIND("/",K622)+1,10),FIND("/",MID(K622,FIND("/",K622)+1,10))-1))&lt;=12,VALUE(LEFT(K622,FIND("/",K622)-1))&lt;=DAY(EOMONTH(DATE(VALUE(MID(MID(K622,FIND("/",K622)+1,10),FIND("/",MID(K622,FIND("/",K622)+1,10))+1,4)),VALUE(LEFT(MID(K622,FIND("/",K622)+1,10),FIND("/",MID(K622,FIND("/",K622)+1,10))-1)),1),0))),0,1),1)+IFERROR(IF(M622&gt;=0,0,1),1)+IFERROR(IF(ISNUMBER(MATCH(N622,Lists!$B$2:$B$7,0)),0,1),1))=0,"OK","ERROR"))</f>
        <v/>
      </c>
      <c r="Q622" s="3" t="str">
        <f aca="false">IF(D622="","",TRIM(IF(IFERROR(IF(AND(TRIM(D622)=D622,LEN(D622)&gt;0),0,1),1)=1,"Name; ","")&amp;IF(IFERROR(IF(AND(LEN(E622)=10,ISNUMBER(VALUE(E622))),0,1),1)=1,"Phone; ","")&amp;IF(IFERROR(IF(AND(ISNUMBER(SEARCH("@",F622)),ISNUMBER(SEARCH(".",F622))),0,1),1)=1,"Email; ","")&amp;IF(IFERROR(IF(AND(LEN(J622)=6,ISNUMBER(VALUE(J622))),0,1),1)=1,"Pincode; ","")&amp;IF(IFERROR(IF(ISNUMBER(MATCH(TRIM(I622),Lists!$A$2:$A$20,0)),0,1),1)=1,"State; ","")&amp;IF(IFERROR(IF(AND(LEN(K622)=10,VALUE(LEFT(K622,FIND("/",K622)-1))&gt;=1,VALUE(LEFT(K622,FIND("/",K622)-1))&lt;=31,VALUE(LEFT(MID(K622,FIND("/",K622)+1,10),FIND("/",MID(K622,FIND("/",K622)+1,10))-1))&gt;=1,VALUE(LEFT(MID(K622,FIND("/",K622)+1,10),FIND("/",MID(K622,FIND("/",K622)+1,10))-1))&lt;=12,VALUE(LEFT(K622,FIND("/",K622)-1))&lt;=DAY(EOMONTH(DATE(VALUE(MID(MID(K622,FIND("/",K622)+1,10),FIND("/",MID(K622,FIND("/",K622)+1,10))+1,4)),VALUE(LEFT(MID(K622,FIND("/",K622)+1,10),FIND("/",MID(K622,FIND("/",K622)+1,10))-1)),1),0))),0,1),1)=1,"Date; ","")&amp;IF(IFERROR(IF(M622&gt;=0,0,1),1)=1,"Amount; ","")&amp;IF(IFERROR(IF(ISNUMBER(MATCH(N622,Lists!$B$2:$B$7,0)),0,1),1)=1,"Payment; ","")))</f>
        <v/>
      </c>
      <c r="R622" s="3" t="str">
        <f aca="false">IF(D622="","",IF(COUNTIFS($D$2:$D$701,D622,$E$2:$E$701,E622)&gt;1,"DUPLICATE","Unique"))</f>
        <v/>
      </c>
    </row>
    <row r="623" customFormat="false" ht="15" hidden="false" customHeight="false" outlineLevel="0" collapsed="false">
      <c r="A623" s="3" t="n">
        <v>622</v>
      </c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3" t="n">
        <f aca="false">IFERROR(LEN(C623&amp;D623&amp;E623&amp;F623&amp;G623&amp;H623&amp;I623&amp;J623&amp;K623&amp;L623&amp;M623&amp;N623)/5,0)</f>
        <v>0</v>
      </c>
      <c r="P623" s="3" t="str">
        <f aca="false">IF(OR(D623="",C623=""),"",IF((IFERROR(IF(AND(TRIM(D623)=D623,LEN(D623)&gt;0),0,1),1)+IFERROR(IF(AND(LEN(E623)=10,ISNUMBER(VALUE(E623))),0,1),1)+IFERROR(IF(AND(ISNUMBER(SEARCH("@",F623)),ISNUMBER(SEARCH(".",F623))),0,1),1)+IFERROR(IF(AND(LEN(J623)=6,ISNUMBER(VALUE(J623))),0,1),1)+IFERROR(IF(ISNUMBER(MATCH(TRIM(I623),Lists!$A$2:$A$20,0)),0,1),1)+IFERROR(IF(AND(LEN(K623)=10,VALUE(LEFT(K623,FIND("/",K623)-1))&gt;=1,VALUE(LEFT(K623,FIND("/",K623)-1))&lt;=31,VALUE(LEFT(MID(K623,FIND("/",K623)+1,10),FIND("/",MID(K623,FIND("/",K623)+1,10))-1))&gt;=1,VALUE(LEFT(MID(K623,FIND("/",K623)+1,10),FIND("/",MID(K623,FIND("/",K623)+1,10))-1))&lt;=12,VALUE(LEFT(K623,FIND("/",K623)-1))&lt;=DAY(EOMONTH(DATE(VALUE(MID(MID(K623,FIND("/",K623)+1,10),FIND("/",MID(K623,FIND("/",K623)+1,10))+1,4)),VALUE(LEFT(MID(K623,FIND("/",K623)+1,10),FIND("/",MID(K623,FIND("/",K623)+1,10))-1)),1),0))),0,1),1)+IFERROR(IF(M623&gt;=0,0,1),1)+IFERROR(IF(ISNUMBER(MATCH(N623,Lists!$B$2:$B$7,0)),0,1),1))=0,"OK","ERROR"))</f>
        <v/>
      </c>
      <c r="Q623" s="3" t="str">
        <f aca="false">IF(D623="","",TRIM(IF(IFERROR(IF(AND(TRIM(D623)=D623,LEN(D623)&gt;0),0,1),1)=1,"Name; ","")&amp;IF(IFERROR(IF(AND(LEN(E623)=10,ISNUMBER(VALUE(E623))),0,1),1)=1,"Phone; ","")&amp;IF(IFERROR(IF(AND(ISNUMBER(SEARCH("@",F623)),ISNUMBER(SEARCH(".",F623))),0,1),1)=1,"Email; ","")&amp;IF(IFERROR(IF(AND(LEN(J623)=6,ISNUMBER(VALUE(J623))),0,1),1)=1,"Pincode; ","")&amp;IF(IFERROR(IF(ISNUMBER(MATCH(TRIM(I623),Lists!$A$2:$A$20,0)),0,1),1)=1,"State; ","")&amp;IF(IFERROR(IF(AND(LEN(K623)=10,VALUE(LEFT(K623,FIND("/",K623)-1))&gt;=1,VALUE(LEFT(K623,FIND("/",K623)-1))&lt;=31,VALUE(LEFT(MID(K623,FIND("/",K623)+1,10),FIND("/",MID(K623,FIND("/",K623)+1,10))-1))&gt;=1,VALUE(LEFT(MID(K623,FIND("/",K623)+1,10),FIND("/",MID(K623,FIND("/",K623)+1,10))-1))&lt;=12,VALUE(LEFT(K623,FIND("/",K623)-1))&lt;=DAY(EOMONTH(DATE(VALUE(MID(MID(K623,FIND("/",K623)+1,10),FIND("/",MID(K623,FIND("/",K623)+1,10))+1,4)),VALUE(LEFT(MID(K623,FIND("/",K623)+1,10),FIND("/",MID(K623,FIND("/",K623)+1,10))-1)),1),0))),0,1),1)=1,"Date; ","")&amp;IF(IFERROR(IF(M623&gt;=0,0,1),1)=1,"Amount; ","")&amp;IF(IFERROR(IF(ISNUMBER(MATCH(N623,Lists!$B$2:$B$7,0)),0,1),1)=1,"Payment; ","")))</f>
        <v/>
      </c>
      <c r="R623" s="3" t="str">
        <f aca="false">IF(D623="","",IF(COUNTIFS($D$2:$D$701,D623,$E$2:$E$701,E623)&gt;1,"DUPLICATE","Unique"))</f>
        <v/>
      </c>
    </row>
    <row r="624" customFormat="false" ht="15" hidden="false" customHeight="false" outlineLevel="0" collapsed="false">
      <c r="A624" s="3" t="n">
        <v>623</v>
      </c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3" t="n">
        <f aca="false">IFERROR(LEN(C624&amp;D624&amp;E624&amp;F624&amp;G624&amp;H624&amp;I624&amp;J624&amp;K624&amp;L624&amp;M624&amp;N624)/5,0)</f>
        <v>0</v>
      </c>
      <c r="P624" s="3" t="str">
        <f aca="false">IF(OR(D624="",C624=""),"",IF((IFERROR(IF(AND(TRIM(D624)=D624,LEN(D624)&gt;0),0,1),1)+IFERROR(IF(AND(LEN(E624)=10,ISNUMBER(VALUE(E624))),0,1),1)+IFERROR(IF(AND(ISNUMBER(SEARCH("@",F624)),ISNUMBER(SEARCH(".",F624))),0,1),1)+IFERROR(IF(AND(LEN(J624)=6,ISNUMBER(VALUE(J624))),0,1),1)+IFERROR(IF(ISNUMBER(MATCH(TRIM(I624),Lists!$A$2:$A$20,0)),0,1),1)+IFERROR(IF(AND(LEN(K624)=10,VALUE(LEFT(K624,FIND("/",K624)-1))&gt;=1,VALUE(LEFT(K624,FIND("/",K624)-1))&lt;=31,VALUE(LEFT(MID(K624,FIND("/",K624)+1,10),FIND("/",MID(K624,FIND("/",K624)+1,10))-1))&gt;=1,VALUE(LEFT(MID(K624,FIND("/",K624)+1,10),FIND("/",MID(K624,FIND("/",K624)+1,10))-1))&lt;=12,VALUE(LEFT(K624,FIND("/",K624)-1))&lt;=DAY(EOMONTH(DATE(VALUE(MID(MID(K624,FIND("/",K624)+1,10),FIND("/",MID(K624,FIND("/",K624)+1,10))+1,4)),VALUE(LEFT(MID(K624,FIND("/",K624)+1,10),FIND("/",MID(K624,FIND("/",K624)+1,10))-1)),1),0))),0,1),1)+IFERROR(IF(M624&gt;=0,0,1),1)+IFERROR(IF(ISNUMBER(MATCH(N624,Lists!$B$2:$B$7,0)),0,1),1))=0,"OK","ERROR"))</f>
        <v/>
      </c>
      <c r="Q624" s="3" t="str">
        <f aca="false">IF(D624="","",TRIM(IF(IFERROR(IF(AND(TRIM(D624)=D624,LEN(D624)&gt;0),0,1),1)=1,"Name; ","")&amp;IF(IFERROR(IF(AND(LEN(E624)=10,ISNUMBER(VALUE(E624))),0,1),1)=1,"Phone; ","")&amp;IF(IFERROR(IF(AND(ISNUMBER(SEARCH("@",F624)),ISNUMBER(SEARCH(".",F624))),0,1),1)=1,"Email; ","")&amp;IF(IFERROR(IF(AND(LEN(J624)=6,ISNUMBER(VALUE(J624))),0,1),1)=1,"Pincode; ","")&amp;IF(IFERROR(IF(ISNUMBER(MATCH(TRIM(I624),Lists!$A$2:$A$20,0)),0,1),1)=1,"State; ","")&amp;IF(IFERROR(IF(AND(LEN(K624)=10,VALUE(LEFT(K624,FIND("/",K624)-1))&gt;=1,VALUE(LEFT(K624,FIND("/",K624)-1))&lt;=31,VALUE(LEFT(MID(K624,FIND("/",K624)+1,10),FIND("/",MID(K624,FIND("/",K624)+1,10))-1))&gt;=1,VALUE(LEFT(MID(K624,FIND("/",K624)+1,10),FIND("/",MID(K624,FIND("/",K624)+1,10))-1))&lt;=12,VALUE(LEFT(K624,FIND("/",K624)-1))&lt;=DAY(EOMONTH(DATE(VALUE(MID(MID(K624,FIND("/",K624)+1,10),FIND("/",MID(K624,FIND("/",K624)+1,10))+1,4)),VALUE(LEFT(MID(K624,FIND("/",K624)+1,10),FIND("/",MID(K624,FIND("/",K624)+1,10))-1)),1),0))),0,1),1)=1,"Date; ","")&amp;IF(IFERROR(IF(M624&gt;=0,0,1),1)=1,"Amount; ","")&amp;IF(IFERROR(IF(ISNUMBER(MATCH(N624,Lists!$B$2:$B$7,0)),0,1),1)=1,"Payment; ","")))</f>
        <v/>
      </c>
      <c r="R624" s="3" t="str">
        <f aca="false">IF(D624="","",IF(COUNTIFS($D$2:$D$701,D624,$E$2:$E$701,E624)&gt;1,"DUPLICATE","Unique"))</f>
        <v/>
      </c>
    </row>
    <row r="625" customFormat="false" ht="15" hidden="false" customHeight="false" outlineLevel="0" collapsed="false">
      <c r="A625" s="3" t="n">
        <v>624</v>
      </c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3" t="n">
        <f aca="false">IFERROR(LEN(C625&amp;D625&amp;E625&amp;F625&amp;G625&amp;H625&amp;I625&amp;J625&amp;K625&amp;L625&amp;M625&amp;N625)/5,0)</f>
        <v>0</v>
      </c>
      <c r="P625" s="3" t="str">
        <f aca="false">IF(OR(D625="",C625=""),"",IF((IFERROR(IF(AND(TRIM(D625)=D625,LEN(D625)&gt;0),0,1),1)+IFERROR(IF(AND(LEN(E625)=10,ISNUMBER(VALUE(E625))),0,1),1)+IFERROR(IF(AND(ISNUMBER(SEARCH("@",F625)),ISNUMBER(SEARCH(".",F625))),0,1),1)+IFERROR(IF(AND(LEN(J625)=6,ISNUMBER(VALUE(J625))),0,1),1)+IFERROR(IF(ISNUMBER(MATCH(TRIM(I625),Lists!$A$2:$A$20,0)),0,1),1)+IFERROR(IF(AND(LEN(K625)=10,VALUE(LEFT(K625,FIND("/",K625)-1))&gt;=1,VALUE(LEFT(K625,FIND("/",K625)-1))&lt;=31,VALUE(LEFT(MID(K625,FIND("/",K625)+1,10),FIND("/",MID(K625,FIND("/",K625)+1,10))-1))&gt;=1,VALUE(LEFT(MID(K625,FIND("/",K625)+1,10),FIND("/",MID(K625,FIND("/",K625)+1,10))-1))&lt;=12,VALUE(LEFT(K625,FIND("/",K625)-1))&lt;=DAY(EOMONTH(DATE(VALUE(MID(MID(K625,FIND("/",K625)+1,10),FIND("/",MID(K625,FIND("/",K625)+1,10))+1,4)),VALUE(LEFT(MID(K625,FIND("/",K625)+1,10),FIND("/",MID(K625,FIND("/",K625)+1,10))-1)),1),0))),0,1),1)+IFERROR(IF(M625&gt;=0,0,1),1)+IFERROR(IF(ISNUMBER(MATCH(N625,Lists!$B$2:$B$7,0)),0,1),1))=0,"OK","ERROR"))</f>
        <v/>
      </c>
      <c r="Q625" s="3" t="str">
        <f aca="false">IF(D625="","",TRIM(IF(IFERROR(IF(AND(TRIM(D625)=D625,LEN(D625)&gt;0),0,1),1)=1,"Name; ","")&amp;IF(IFERROR(IF(AND(LEN(E625)=10,ISNUMBER(VALUE(E625))),0,1),1)=1,"Phone; ","")&amp;IF(IFERROR(IF(AND(ISNUMBER(SEARCH("@",F625)),ISNUMBER(SEARCH(".",F625))),0,1),1)=1,"Email; ","")&amp;IF(IFERROR(IF(AND(LEN(J625)=6,ISNUMBER(VALUE(J625))),0,1),1)=1,"Pincode; ","")&amp;IF(IFERROR(IF(ISNUMBER(MATCH(TRIM(I625),Lists!$A$2:$A$20,0)),0,1),1)=1,"State; ","")&amp;IF(IFERROR(IF(AND(LEN(K625)=10,VALUE(LEFT(K625,FIND("/",K625)-1))&gt;=1,VALUE(LEFT(K625,FIND("/",K625)-1))&lt;=31,VALUE(LEFT(MID(K625,FIND("/",K625)+1,10),FIND("/",MID(K625,FIND("/",K625)+1,10))-1))&gt;=1,VALUE(LEFT(MID(K625,FIND("/",K625)+1,10),FIND("/",MID(K625,FIND("/",K625)+1,10))-1))&lt;=12,VALUE(LEFT(K625,FIND("/",K625)-1))&lt;=DAY(EOMONTH(DATE(VALUE(MID(MID(K625,FIND("/",K625)+1,10),FIND("/",MID(K625,FIND("/",K625)+1,10))+1,4)),VALUE(LEFT(MID(K625,FIND("/",K625)+1,10),FIND("/",MID(K625,FIND("/",K625)+1,10))-1)),1),0))),0,1),1)=1,"Date; ","")&amp;IF(IFERROR(IF(M625&gt;=0,0,1),1)=1,"Amount; ","")&amp;IF(IFERROR(IF(ISNUMBER(MATCH(N625,Lists!$B$2:$B$7,0)),0,1),1)=1,"Payment; ","")))</f>
        <v/>
      </c>
      <c r="R625" s="3" t="str">
        <f aca="false">IF(D625="","",IF(COUNTIFS($D$2:$D$701,D625,$E$2:$E$701,E625)&gt;1,"DUPLICATE","Unique"))</f>
        <v/>
      </c>
    </row>
    <row r="626" customFormat="false" ht="15" hidden="false" customHeight="false" outlineLevel="0" collapsed="false">
      <c r="A626" s="3" t="n">
        <v>625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3" t="n">
        <f aca="false">IFERROR(LEN(C626&amp;D626&amp;E626&amp;F626&amp;G626&amp;H626&amp;I626&amp;J626&amp;K626&amp;L626&amp;M626&amp;N626)/5,0)</f>
        <v>0</v>
      </c>
      <c r="P626" s="3" t="str">
        <f aca="false">IF(OR(D626="",C626=""),"",IF((IFERROR(IF(AND(TRIM(D626)=D626,LEN(D626)&gt;0),0,1),1)+IFERROR(IF(AND(LEN(E626)=10,ISNUMBER(VALUE(E626))),0,1),1)+IFERROR(IF(AND(ISNUMBER(SEARCH("@",F626)),ISNUMBER(SEARCH(".",F626))),0,1),1)+IFERROR(IF(AND(LEN(J626)=6,ISNUMBER(VALUE(J626))),0,1),1)+IFERROR(IF(ISNUMBER(MATCH(TRIM(I626),Lists!$A$2:$A$20,0)),0,1),1)+IFERROR(IF(AND(LEN(K626)=10,VALUE(LEFT(K626,FIND("/",K626)-1))&gt;=1,VALUE(LEFT(K626,FIND("/",K626)-1))&lt;=31,VALUE(LEFT(MID(K626,FIND("/",K626)+1,10),FIND("/",MID(K626,FIND("/",K626)+1,10))-1))&gt;=1,VALUE(LEFT(MID(K626,FIND("/",K626)+1,10),FIND("/",MID(K626,FIND("/",K626)+1,10))-1))&lt;=12,VALUE(LEFT(K626,FIND("/",K626)-1))&lt;=DAY(EOMONTH(DATE(VALUE(MID(MID(K626,FIND("/",K626)+1,10),FIND("/",MID(K626,FIND("/",K626)+1,10))+1,4)),VALUE(LEFT(MID(K626,FIND("/",K626)+1,10),FIND("/",MID(K626,FIND("/",K626)+1,10))-1)),1),0))),0,1),1)+IFERROR(IF(M626&gt;=0,0,1),1)+IFERROR(IF(ISNUMBER(MATCH(N626,Lists!$B$2:$B$7,0)),0,1),1))=0,"OK","ERROR"))</f>
        <v/>
      </c>
      <c r="Q626" s="3" t="str">
        <f aca="false">IF(D626="","",TRIM(IF(IFERROR(IF(AND(TRIM(D626)=D626,LEN(D626)&gt;0),0,1),1)=1,"Name; ","")&amp;IF(IFERROR(IF(AND(LEN(E626)=10,ISNUMBER(VALUE(E626))),0,1),1)=1,"Phone; ","")&amp;IF(IFERROR(IF(AND(ISNUMBER(SEARCH("@",F626)),ISNUMBER(SEARCH(".",F626))),0,1),1)=1,"Email; ","")&amp;IF(IFERROR(IF(AND(LEN(J626)=6,ISNUMBER(VALUE(J626))),0,1),1)=1,"Pincode; ","")&amp;IF(IFERROR(IF(ISNUMBER(MATCH(TRIM(I626),Lists!$A$2:$A$20,0)),0,1),1)=1,"State; ","")&amp;IF(IFERROR(IF(AND(LEN(K626)=10,VALUE(LEFT(K626,FIND("/",K626)-1))&gt;=1,VALUE(LEFT(K626,FIND("/",K626)-1))&lt;=31,VALUE(LEFT(MID(K626,FIND("/",K626)+1,10),FIND("/",MID(K626,FIND("/",K626)+1,10))-1))&gt;=1,VALUE(LEFT(MID(K626,FIND("/",K626)+1,10),FIND("/",MID(K626,FIND("/",K626)+1,10))-1))&lt;=12,VALUE(LEFT(K626,FIND("/",K626)-1))&lt;=DAY(EOMONTH(DATE(VALUE(MID(MID(K626,FIND("/",K626)+1,10),FIND("/",MID(K626,FIND("/",K626)+1,10))+1,4)),VALUE(LEFT(MID(K626,FIND("/",K626)+1,10),FIND("/",MID(K626,FIND("/",K626)+1,10))-1)),1),0))),0,1),1)=1,"Date; ","")&amp;IF(IFERROR(IF(M626&gt;=0,0,1),1)=1,"Amount; ","")&amp;IF(IFERROR(IF(ISNUMBER(MATCH(N626,Lists!$B$2:$B$7,0)),0,1),1)=1,"Payment; ","")))</f>
        <v/>
      </c>
      <c r="R626" s="3" t="str">
        <f aca="false">IF(D626="","",IF(COUNTIFS($D$2:$D$701,D626,$E$2:$E$701,E626)&gt;1,"DUPLICATE","Unique"))</f>
        <v/>
      </c>
    </row>
    <row r="627" customFormat="false" ht="15" hidden="false" customHeight="false" outlineLevel="0" collapsed="false">
      <c r="A627" s="3" t="n">
        <v>626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3" t="n">
        <f aca="false">IFERROR(LEN(C627&amp;D627&amp;E627&amp;F627&amp;G627&amp;H627&amp;I627&amp;J627&amp;K627&amp;L627&amp;M627&amp;N627)/5,0)</f>
        <v>0</v>
      </c>
      <c r="P627" s="3" t="str">
        <f aca="false">IF(OR(D627="",C627=""),"",IF((IFERROR(IF(AND(TRIM(D627)=D627,LEN(D627)&gt;0),0,1),1)+IFERROR(IF(AND(LEN(E627)=10,ISNUMBER(VALUE(E627))),0,1),1)+IFERROR(IF(AND(ISNUMBER(SEARCH("@",F627)),ISNUMBER(SEARCH(".",F627))),0,1),1)+IFERROR(IF(AND(LEN(J627)=6,ISNUMBER(VALUE(J627))),0,1),1)+IFERROR(IF(ISNUMBER(MATCH(TRIM(I627),Lists!$A$2:$A$20,0)),0,1),1)+IFERROR(IF(AND(LEN(K627)=10,VALUE(LEFT(K627,FIND("/",K627)-1))&gt;=1,VALUE(LEFT(K627,FIND("/",K627)-1))&lt;=31,VALUE(LEFT(MID(K627,FIND("/",K627)+1,10),FIND("/",MID(K627,FIND("/",K627)+1,10))-1))&gt;=1,VALUE(LEFT(MID(K627,FIND("/",K627)+1,10),FIND("/",MID(K627,FIND("/",K627)+1,10))-1))&lt;=12,VALUE(LEFT(K627,FIND("/",K627)-1))&lt;=DAY(EOMONTH(DATE(VALUE(MID(MID(K627,FIND("/",K627)+1,10),FIND("/",MID(K627,FIND("/",K627)+1,10))+1,4)),VALUE(LEFT(MID(K627,FIND("/",K627)+1,10),FIND("/",MID(K627,FIND("/",K627)+1,10))-1)),1),0))),0,1),1)+IFERROR(IF(M627&gt;=0,0,1),1)+IFERROR(IF(ISNUMBER(MATCH(N627,Lists!$B$2:$B$7,0)),0,1),1))=0,"OK","ERROR"))</f>
        <v/>
      </c>
      <c r="Q627" s="3" t="str">
        <f aca="false">IF(D627="","",TRIM(IF(IFERROR(IF(AND(TRIM(D627)=D627,LEN(D627)&gt;0),0,1),1)=1,"Name; ","")&amp;IF(IFERROR(IF(AND(LEN(E627)=10,ISNUMBER(VALUE(E627))),0,1),1)=1,"Phone; ","")&amp;IF(IFERROR(IF(AND(ISNUMBER(SEARCH("@",F627)),ISNUMBER(SEARCH(".",F627))),0,1),1)=1,"Email; ","")&amp;IF(IFERROR(IF(AND(LEN(J627)=6,ISNUMBER(VALUE(J627))),0,1),1)=1,"Pincode; ","")&amp;IF(IFERROR(IF(ISNUMBER(MATCH(TRIM(I627),Lists!$A$2:$A$20,0)),0,1),1)=1,"State; ","")&amp;IF(IFERROR(IF(AND(LEN(K627)=10,VALUE(LEFT(K627,FIND("/",K627)-1))&gt;=1,VALUE(LEFT(K627,FIND("/",K627)-1))&lt;=31,VALUE(LEFT(MID(K627,FIND("/",K627)+1,10),FIND("/",MID(K627,FIND("/",K627)+1,10))-1))&gt;=1,VALUE(LEFT(MID(K627,FIND("/",K627)+1,10),FIND("/",MID(K627,FIND("/",K627)+1,10))-1))&lt;=12,VALUE(LEFT(K627,FIND("/",K627)-1))&lt;=DAY(EOMONTH(DATE(VALUE(MID(MID(K627,FIND("/",K627)+1,10),FIND("/",MID(K627,FIND("/",K627)+1,10))+1,4)),VALUE(LEFT(MID(K627,FIND("/",K627)+1,10),FIND("/",MID(K627,FIND("/",K627)+1,10))-1)),1),0))),0,1),1)=1,"Date; ","")&amp;IF(IFERROR(IF(M627&gt;=0,0,1),1)=1,"Amount; ","")&amp;IF(IFERROR(IF(ISNUMBER(MATCH(N627,Lists!$B$2:$B$7,0)),0,1),1)=1,"Payment; ","")))</f>
        <v/>
      </c>
      <c r="R627" s="3" t="str">
        <f aca="false">IF(D627="","",IF(COUNTIFS($D$2:$D$701,D627,$E$2:$E$701,E627)&gt;1,"DUPLICATE","Unique"))</f>
        <v/>
      </c>
    </row>
    <row r="628" customFormat="false" ht="15" hidden="false" customHeight="false" outlineLevel="0" collapsed="false">
      <c r="A628" s="3" t="n">
        <v>627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3" t="n">
        <f aca="false">IFERROR(LEN(C628&amp;D628&amp;E628&amp;F628&amp;G628&amp;H628&amp;I628&amp;J628&amp;K628&amp;L628&amp;M628&amp;N628)/5,0)</f>
        <v>0</v>
      </c>
      <c r="P628" s="3" t="str">
        <f aca="false">IF(OR(D628="",C628=""),"",IF((IFERROR(IF(AND(TRIM(D628)=D628,LEN(D628)&gt;0),0,1),1)+IFERROR(IF(AND(LEN(E628)=10,ISNUMBER(VALUE(E628))),0,1),1)+IFERROR(IF(AND(ISNUMBER(SEARCH("@",F628)),ISNUMBER(SEARCH(".",F628))),0,1),1)+IFERROR(IF(AND(LEN(J628)=6,ISNUMBER(VALUE(J628))),0,1),1)+IFERROR(IF(ISNUMBER(MATCH(TRIM(I628),Lists!$A$2:$A$20,0)),0,1),1)+IFERROR(IF(AND(LEN(K628)=10,VALUE(LEFT(K628,FIND("/",K628)-1))&gt;=1,VALUE(LEFT(K628,FIND("/",K628)-1))&lt;=31,VALUE(LEFT(MID(K628,FIND("/",K628)+1,10),FIND("/",MID(K628,FIND("/",K628)+1,10))-1))&gt;=1,VALUE(LEFT(MID(K628,FIND("/",K628)+1,10),FIND("/",MID(K628,FIND("/",K628)+1,10))-1))&lt;=12,VALUE(LEFT(K628,FIND("/",K628)-1))&lt;=DAY(EOMONTH(DATE(VALUE(MID(MID(K628,FIND("/",K628)+1,10),FIND("/",MID(K628,FIND("/",K628)+1,10))+1,4)),VALUE(LEFT(MID(K628,FIND("/",K628)+1,10),FIND("/",MID(K628,FIND("/",K628)+1,10))-1)),1),0))),0,1),1)+IFERROR(IF(M628&gt;=0,0,1),1)+IFERROR(IF(ISNUMBER(MATCH(N628,Lists!$B$2:$B$7,0)),0,1),1))=0,"OK","ERROR"))</f>
        <v/>
      </c>
      <c r="Q628" s="3" t="str">
        <f aca="false">IF(D628="","",TRIM(IF(IFERROR(IF(AND(TRIM(D628)=D628,LEN(D628)&gt;0),0,1),1)=1,"Name; ","")&amp;IF(IFERROR(IF(AND(LEN(E628)=10,ISNUMBER(VALUE(E628))),0,1),1)=1,"Phone; ","")&amp;IF(IFERROR(IF(AND(ISNUMBER(SEARCH("@",F628)),ISNUMBER(SEARCH(".",F628))),0,1),1)=1,"Email; ","")&amp;IF(IFERROR(IF(AND(LEN(J628)=6,ISNUMBER(VALUE(J628))),0,1),1)=1,"Pincode; ","")&amp;IF(IFERROR(IF(ISNUMBER(MATCH(TRIM(I628),Lists!$A$2:$A$20,0)),0,1),1)=1,"State; ","")&amp;IF(IFERROR(IF(AND(LEN(K628)=10,VALUE(LEFT(K628,FIND("/",K628)-1))&gt;=1,VALUE(LEFT(K628,FIND("/",K628)-1))&lt;=31,VALUE(LEFT(MID(K628,FIND("/",K628)+1,10),FIND("/",MID(K628,FIND("/",K628)+1,10))-1))&gt;=1,VALUE(LEFT(MID(K628,FIND("/",K628)+1,10),FIND("/",MID(K628,FIND("/",K628)+1,10))-1))&lt;=12,VALUE(LEFT(K628,FIND("/",K628)-1))&lt;=DAY(EOMONTH(DATE(VALUE(MID(MID(K628,FIND("/",K628)+1,10),FIND("/",MID(K628,FIND("/",K628)+1,10))+1,4)),VALUE(LEFT(MID(K628,FIND("/",K628)+1,10),FIND("/",MID(K628,FIND("/",K628)+1,10))-1)),1),0))),0,1),1)=1,"Date; ","")&amp;IF(IFERROR(IF(M628&gt;=0,0,1),1)=1,"Amount; ","")&amp;IF(IFERROR(IF(ISNUMBER(MATCH(N628,Lists!$B$2:$B$7,0)),0,1),1)=1,"Payment; ","")))</f>
        <v/>
      </c>
      <c r="R628" s="3" t="str">
        <f aca="false">IF(D628="","",IF(COUNTIFS($D$2:$D$701,D628,$E$2:$E$701,E628)&gt;1,"DUPLICATE","Unique"))</f>
        <v/>
      </c>
    </row>
    <row r="629" customFormat="false" ht="15" hidden="false" customHeight="false" outlineLevel="0" collapsed="false">
      <c r="A629" s="3" t="n">
        <v>628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3" t="n">
        <f aca="false">IFERROR(LEN(C629&amp;D629&amp;E629&amp;F629&amp;G629&amp;H629&amp;I629&amp;J629&amp;K629&amp;L629&amp;M629&amp;N629)/5,0)</f>
        <v>0</v>
      </c>
      <c r="P629" s="3" t="str">
        <f aca="false">IF(OR(D629="",C629=""),"",IF((IFERROR(IF(AND(TRIM(D629)=D629,LEN(D629)&gt;0),0,1),1)+IFERROR(IF(AND(LEN(E629)=10,ISNUMBER(VALUE(E629))),0,1),1)+IFERROR(IF(AND(ISNUMBER(SEARCH("@",F629)),ISNUMBER(SEARCH(".",F629))),0,1),1)+IFERROR(IF(AND(LEN(J629)=6,ISNUMBER(VALUE(J629))),0,1),1)+IFERROR(IF(ISNUMBER(MATCH(TRIM(I629),Lists!$A$2:$A$20,0)),0,1),1)+IFERROR(IF(AND(LEN(K629)=10,VALUE(LEFT(K629,FIND("/",K629)-1))&gt;=1,VALUE(LEFT(K629,FIND("/",K629)-1))&lt;=31,VALUE(LEFT(MID(K629,FIND("/",K629)+1,10),FIND("/",MID(K629,FIND("/",K629)+1,10))-1))&gt;=1,VALUE(LEFT(MID(K629,FIND("/",K629)+1,10),FIND("/",MID(K629,FIND("/",K629)+1,10))-1))&lt;=12,VALUE(LEFT(K629,FIND("/",K629)-1))&lt;=DAY(EOMONTH(DATE(VALUE(MID(MID(K629,FIND("/",K629)+1,10),FIND("/",MID(K629,FIND("/",K629)+1,10))+1,4)),VALUE(LEFT(MID(K629,FIND("/",K629)+1,10),FIND("/",MID(K629,FIND("/",K629)+1,10))-1)),1),0))),0,1),1)+IFERROR(IF(M629&gt;=0,0,1),1)+IFERROR(IF(ISNUMBER(MATCH(N629,Lists!$B$2:$B$7,0)),0,1),1))=0,"OK","ERROR"))</f>
        <v/>
      </c>
      <c r="Q629" s="3" t="str">
        <f aca="false">IF(D629="","",TRIM(IF(IFERROR(IF(AND(TRIM(D629)=D629,LEN(D629)&gt;0),0,1),1)=1,"Name; ","")&amp;IF(IFERROR(IF(AND(LEN(E629)=10,ISNUMBER(VALUE(E629))),0,1),1)=1,"Phone; ","")&amp;IF(IFERROR(IF(AND(ISNUMBER(SEARCH("@",F629)),ISNUMBER(SEARCH(".",F629))),0,1),1)=1,"Email; ","")&amp;IF(IFERROR(IF(AND(LEN(J629)=6,ISNUMBER(VALUE(J629))),0,1),1)=1,"Pincode; ","")&amp;IF(IFERROR(IF(ISNUMBER(MATCH(TRIM(I629),Lists!$A$2:$A$20,0)),0,1),1)=1,"State; ","")&amp;IF(IFERROR(IF(AND(LEN(K629)=10,VALUE(LEFT(K629,FIND("/",K629)-1))&gt;=1,VALUE(LEFT(K629,FIND("/",K629)-1))&lt;=31,VALUE(LEFT(MID(K629,FIND("/",K629)+1,10),FIND("/",MID(K629,FIND("/",K629)+1,10))-1))&gt;=1,VALUE(LEFT(MID(K629,FIND("/",K629)+1,10),FIND("/",MID(K629,FIND("/",K629)+1,10))-1))&lt;=12,VALUE(LEFT(K629,FIND("/",K629)-1))&lt;=DAY(EOMONTH(DATE(VALUE(MID(MID(K629,FIND("/",K629)+1,10),FIND("/",MID(K629,FIND("/",K629)+1,10))+1,4)),VALUE(LEFT(MID(K629,FIND("/",K629)+1,10),FIND("/",MID(K629,FIND("/",K629)+1,10))-1)),1),0))),0,1),1)=1,"Date; ","")&amp;IF(IFERROR(IF(M629&gt;=0,0,1),1)=1,"Amount; ","")&amp;IF(IFERROR(IF(ISNUMBER(MATCH(N629,Lists!$B$2:$B$7,0)),0,1),1)=1,"Payment; ","")))</f>
        <v/>
      </c>
      <c r="R629" s="3" t="str">
        <f aca="false">IF(D629="","",IF(COUNTIFS($D$2:$D$701,D629,$E$2:$E$701,E629)&gt;1,"DUPLICATE","Unique"))</f>
        <v/>
      </c>
    </row>
    <row r="630" customFormat="false" ht="15" hidden="false" customHeight="false" outlineLevel="0" collapsed="false">
      <c r="A630" s="3" t="n">
        <v>629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3" t="n">
        <f aca="false">IFERROR(LEN(C630&amp;D630&amp;E630&amp;F630&amp;G630&amp;H630&amp;I630&amp;J630&amp;K630&amp;L630&amp;M630&amp;N630)/5,0)</f>
        <v>0</v>
      </c>
      <c r="P630" s="3" t="str">
        <f aca="false">IF(OR(D630="",C630=""),"",IF((IFERROR(IF(AND(TRIM(D630)=D630,LEN(D630)&gt;0),0,1),1)+IFERROR(IF(AND(LEN(E630)=10,ISNUMBER(VALUE(E630))),0,1),1)+IFERROR(IF(AND(ISNUMBER(SEARCH("@",F630)),ISNUMBER(SEARCH(".",F630))),0,1),1)+IFERROR(IF(AND(LEN(J630)=6,ISNUMBER(VALUE(J630))),0,1),1)+IFERROR(IF(ISNUMBER(MATCH(TRIM(I630),Lists!$A$2:$A$20,0)),0,1),1)+IFERROR(IF(AND(LEN(K630)=10,VALUE(LEFT(K630,FIND("/",K630)-1))&gt;=1,VALUE(LEFT(K630,FIND("/",K630)-1))&lt;=31,VALUE(LEFT(MID(K630,FIND("/",K630)+1,10),FIND("/",MID(K630,FIND("/",K630)+1,10))-1))&gt;=1,VALUE(LEFT(MID(K630,FIND("/",K630)+1,10),FIND("/",MID(K630,FIND("/",K630)+1,10))-1))&lt;=12,VALUE(LEFT(K630,FIND("/",K630)-1))&lt;=DAY(EOMONTH(DATE(VALUE(MID(MID(K630,FIND("/",K630)+1,10),FIND("/",MID(K630,FIND("/",K630)+1,10))+1,4)),VALUE(LEFT(MID(K630,FIND("/",K630)+1,10),FIND("/",MID(K630,FIND("/",K630)+1,10))-1)),1),0))),0,1),1)+IFERROR(IF(M630&gt;=0,0,1),1)+IFERROR(IF(ISNUMBER(MATCH(N630,Lists!$B$2:$B$7,0)),0,1),1))=0,"OK","ERROR"))</f>
        <v/>
      </c>
      <c r="Q630" s="3" t="str">
        <f aca="false">IF(D630="","",TRIM(IF(IFERROR(IF(AND(TRIM(D630)=D630,LEN(D630)&gt;0),0,1),1)=1,"Name; ","")&amp;IF(IFERROR(IF(AND(LEN(E630)=10,ISNUMBER(VALUE(E630))),0,1),1)=1,"Phone; ","")&amp;IF(IFERROR(IF(AND(ISNUMBER(SEARCH("@",F630)),ISNUMBER(SEARCH(".",F630))),0,1),1)=1,"Email; ","")&amp;IF(IFERROR(IF(AND(LEN(J630)=6,ISNUMBER(VALUE(J630))),0,1),1)=1,"Pincode; ","")&amp;IF(IFERROR(IF(ISNUMBER(MATCH(TRIM(I630),Lists!$A$2:$A$20,0)),0,1),1)=1,"State; ","")&amp;IF(IFERROR(IF(AND(LEN(K630)=10,VALUE(LEFT(K630,FIND("/",K630)-1))&gt;=1,VALUE(LEFT(K630,FIND("/",K630)-1))&lt;=31,VALUE(LEFT(MID(K630,FIND("/",K630)+1,10),FIND("/",MID(K630,FIND("/",K630)+1,10))-1))&gt;=1,VALUE(LEFT(MID(K630,FIND("/",K630)+1,10),FIND("/",MID(K630,FIND("/",K630)+1,10))-1))&lt;=12,VALUE(LEFT(K630,FIND("/",K630)-1))&lt;=DAY(EOMONTH(DATE(VALUE(MID(MID(K630,FIND("/",K630)+1,10),FIND("/",MID(K630,FIND("/",K630)+1,10))+1,4)),VALUE(LEFT(MID(K630,FIND("/",K630)+1,10),FIND("/",MID(K630,FIND("/",K630)+1,10))-1)),1),0))),0,1),1)=1,"Date; ","")&amp;IF(IFERROR(IF(M630&gt;=0,0,1),1)=1,"Amount; ","")&amp;IF(IFERROR(IF(ISNUMBER(MATCH(N630,Lists!$B$2:$B$7,0)),0,1),1)=1,"Payment; ","")))</f>
        <v/>
      </c>
      <c r="R630" s="3" t="str">
        <f aca="false">IF(D630="","",IF(COUNTIFS($D$2:$D$701,D630,$E$2:$E$701,E630)&gt;1,"DUPLICATE","Unique"))</f>
        <v/>
      </c>
    </row>
    <row r="631" customFormat="false" ht="15" hidden="false" customHeight="false" outlineLevel="0" collapsed="false">
      <c r="A631" s="3" t="n">
        <v>630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3" t="n">
        <f aca="false">IFERROR(LEN(C631&amp;D631&amp;E631&amp;F631&amp;G631&amp;H631&amp;I631&amp;J631&amp;K631&amp;L631&amp;M631&amp;N631)/5,0)</f>
        <v>0</v>
      </c>
      <c r="P631" s="3" t="str">
        <f aca="false">IF(OR(D631="",C631=""),"",IF((IFERROR(IF(AND(TRIM(D631)=D631,LEN(D631)&gt;0),0,1),1)+IFERROR(IF(AND(LEN(E631)=10,ISNUMBER(VALUE(E631))),0,1),1)+IFERROR(IF(AND(ISNUMBER(SEARCH("@",F631)),ISNUMBER(SEARCH(".",F631))),0,1),1)+IFERROR(IF(AND(LEN(J631)=6,ISNUMBER(VALUE(J631))),0,1),1)+IFERROR(IF(ISNUMBER(MATCH(TRIM(I631),Lists!$A$2:$A$20,0)),0,1),1)+IFERROR(IF(AND(LEN(K631)=10,VALUE(LEFT(K631,FIND("/",K631)-1))&gt;=1,VALUE(LEFT(K631,FIND("/",K631)-1))&lt;=31,VALUE(LEFT(MID(K631,FIND("/",K631)+1,10),FIND("/",MID(K631,FIND("/",K631)+1,10))-1))&gt;=1,VALUE(LEFT(MID(K631,FIND("/",K631)+1,10),FIND("/",MID(K631,FIND("/",K631)+1,10))-1))&lt;=12,VALUE(LEFT(K631,FIND("/",K631)-1))&lt;=DAY(EOMONTH(DATE(VALUE(MID(MID(K631,FIND("/",K631)+1,10),FIND("/",MID(K631,FIND("/",K631)+1,10))+1,4)),VALUE(LEFT(MID(K631,FIND("/",K631)+1,10),FIND("/",MID(K631,FIND("/",K631)+1,10))-1)),1),0))),0,1),1)+IFERROR(IF(M631&gt;=0,0,1),1)+IFERROR(IF(ISNUMBER(MATCH(N631,Lists!$B$2:$B$7,0)),0,1),1))=0,"OK","ERROR"))</f>
        <v/>
      </c>
      <c r="Q631" s="3" t="str">
        <f aca="false">IF(D631="","",TRIM(IF(IFERROR(IF(AND(TRIM(D631)=D631,LEN(D631)&gt;0),0,1),1)=1,"Name; ","")&amp;IF(IFERROR(IF(AND(LEN(E631)=10,ISNUMBER(VALUE(E631))),0,1),1)=1,"Phone; ","")&amp;IF(IFERROR(IF(AND(ISNUMBER(SEARCH("@",F631)),ISNUMBER(SEARCH(".",F631))),0,1),1)=1,"Email; ","")&amp;IF(IFERROR(IF(AND(LEN(J631)=6,ISNUMBER(VALUE(J631))),0,1),1)=1,"Pincode; ","")&amp;IF(IFERROR(IF(ISNUMBER(MATCH(TRIM(I631),Lists!$A$2:$A$20,0)),0,1),1)=1,"State; ","")&amp;IF(IFERROR(IF(AND(LEN(K631)=10,VALUE(LEFT(K631,FIND("/",K631)-1))&gt;=1,VALUE(LEFT(K631,FIND("/",K631)-1))&lt;=31,VALUE(LEFT(MID(K631,FIND("/",K631)+1,10),FIND("/",MID(K631,FIND("/",K631)+1,10))-1))&gt;=1,VALUE(LEFT(MID(K631,FIND("/",K631)+1,10),FIND("/",MID(K631,FIND("/",K631)+1,10))-1))&lt;=12,VALUE(LEFT(K631,FIND("/",K631)-1))&lt;=DAY(EOMONTH(DATE(VALUE(MID(MID(K631,FIND("/",K631)+1,10),FIND("/",MID(K631,FIND("/",K631)+1,10))+1,4)),VALUE(LEFT(MID(K631,FIND("/",K631)+1,10),FIND("/",MID(K631,FIND("/",K631)+1,10))-1)),1),0))),0,1),1)=1,"Date; ","")&amp;IF(IFERROR(IF(M631&gt;=0,0,1),1)=1,"Amount; ","")&amp;IF(IFERROR(IF(ISNUMBER(MATCH(N631,Lists!$B$2:$B$7,0)),0,1),1)=1,"Payment; ","")))</f>
        <v/>
      </c>
      <c r="R631" s="3" t="str">
        <f aca="false">IF(D631="","",IF(COUNTIFS($D$2:$D$701,D631,$E$2:$E$701,E631)&gt;1,"DUPLICATE","Unique"))</f>
        <v/>
      </c>
    </row>
    <row r="632" customFormat="false" ht="15" hidden="false" customHeight="false" outlineLevel="0" collapsed="false">
      <c r="A632" s="3" t="n">
        <v>631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3" t="n">
        <f aca="false">IFERROR(LEN(C632&amp;D632&amp;E632&amp;F632&amp;G632&amp;H632&amp;I632&amp;J632&amp;K632&amp;L632&amp;M632&amp;N632)/5,0)</f>
        <v>0</v>
      </c>
      <c r="P632" s="3" t="str">
        <f aca="false">IF(OR(D632="",C632=""),"",IF((IFERROR(IF(AND(TRIM(D632)=D632,LEN(D632)&gt;0),0,1),1)+IFERROR(IF(AND(LEN(E632)=10,ISNUMBER(VALUE(E632))),0,1),1)+IFERROR(IF(AND(ISNUMBER(SEARCH("@",F632)),ISNUMBER(SEARCH(".",F632))),0,1),1)+IFERROR(IF(AND(LEN(J632)=6,ISNUMBER(VALUE(J632))),0,1),1)+IFERROR(IF(ISNUMBER(MATCH(TRIM(I632),Lists!$A$2:$A$20,0)),0,1),1)+IFERROR(IF(AND(LEN(K632)=10,VALUE(LEFT(K632,FIND("/",K632)-1))&gt;=1,VALUE(LEFT(K632,FIND("/",K632)-1))&lt;=31,VALUE(LEFT(MID(K632,FIND("/",K632)+1,10),FIND("/",MID(K632,FIND("/",K632)+1,10))-1))&gt;=1,VALUE(LEFT(MID(K632,FIND("/",K632)+1,10),FIND("/",MID(K632,FIND("/",K632)+1,10))-1))&lt;=12,VALUE(LEFT(K632,FIND("/",K632)-1))&lt;=DAY(EOMONTH(DATE(VALUE(MID(MID(K632,FIND("/",K632)+1,10),FIND("/",MID(K632,FIND("/",K632)+1,10))+1,4)),VALUE(LEFT(MID(K632,FIND("/",K632)+1,10),FIND("/",MID(K632,FIND("/",K632)+1,10))-1)),1),0))),0,1),1)+IFERROR(IF(M632&gt;=0,0,1),1)+IFERROR(IF(ISNUMBER(MATCH(N632,Lists!$B$2:$B$7,0)),0,1),1))=0,"OK","ERROR"))</f>
        <v/>
      </c>
      <c r="Q632" s="3" t="str">
        <f aca="false">IF(D632="","",TRIM(IF(IFERROR(IF(AND(TRIM(D632)=D632,LEN(D632)&gt;0),0,1),1)=1,"Name; ","")&amp;IF(IFERROR(IF(AND(LEN(E632)=10,ISNUMBER(VALUE(E632))),0,1),1)=1,"Phone; ","")&amp;IF(IFERROR(IF(AND(ISNUMBER(SEARCH("@",F632)),ISNUMBER(SEARCH(".",F632))),0,1),1)=1,"Email; ","")&amp;IF(IFERROR(IF(AND(LEN(J632)=6,ISNUMBER(VALUE(J632))),0,1),1)=1,"Pincode; ","")&amp;IF(IFERROR(IF(ISNUMBER(MATCH(TRIM(I632),Lists!$A$2:$A$20,0)),0,1),1)=1,"State; ","")&amp;IF(IFERROR(IF(AND(LEN(K632)=10,VALUE(LEFT(K632,FIND("/",K632)-1))&gt;=1,VALUE(LEFT(K632,FIND("/",K632)-1))&lt;=31,VALUE(LEFT(MID(K632,FIND("/",K632)+1,10),FIND("/",MID(K632,FIND("/",K632)+1,10))-1))&gt;=1,VALUE(LEFT(MID(K632,FIND("/",K632)+1,10),FIND("/",MID(K632,FIND("/",K632)+1,10))-1))&lt;=12,VALUE(LEFT(K632,FIND("/",K632)-1))&lt;=DAY(EOMONTH(DATE(VALUE(MID(MID(K632,FIND("/",K632)+1,10),FIND("/",MID(K632,FIND("/",K632)+1,10))+1,4)),VALUE(LEFT(MID(K632,FIND("/",K632)+1,10),FIND("/",MID(K632,FIND("/",K632)+1,10))-1)),1),0))),0,1),1)=1,"Date; ","")&amp;IF(IFERROR(IF(M632&gt;=0,0,1),1)=1,"Amount; ","")&amp;IF(IFERROR(IF(ISNUMBER(MATCH(N632,Lists!$B$2:$B$7,0)),0,1),1)=1,"Payment; ","")))</f>
        <v/>
      </c>
      <c r="R632" s="3" t="str">
        <f aca="false">IF(D632="","",IF(COUNTIFS($D$2:$D$701,D632,$E$2:$E$701,E632)&gt;1,"DUPLICATE","Unique"))</f>
        <v/>
      </c>
    </row>
    <row r="633" customFormat="false" ht="15" hidden="false" customHeight="false" outlineLevel="0" collapsed="false">
      <c r="A633" s="3" t="n">
        <v>632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3" t="n">
        <f aca="false">IFERROR(LEN(C633&amp;D633&amp;E633&amp;F633&amp;G633&amp;H633&amp;I633&amp;J633&amp;K633&amp;L633&amp;M633&amp;N633)/5,0)</f>
        <v>0</v>
      </c>
      <c r="P633" s="3" t="str">
        <f aca="false">IF(OR(D633="",C633=""),"",IF((IFERROR(IF(AND(TRIM(D633)=D633,LEN(D633)&gt;0),0,1),1)+IFERROR(IF(AND(LEN(E633)=10,ISNUMBER(VALUE(E633))),0,1),1)+IFERROR(IF(AND(ISNUMBER(SEARCH("@",F633)),ISNUMBER(SEARCH(".",F633))),0,1),1)+IFERROR(IF(AND(LEN(J633)=6,ISNUMBER(VALUE(J633))),0,1),1)+IFERROR(IF(ISNUMBER(MATCH(TRIM(I633),Lists!$A$2:$A$20,0)),0,1),1)+IFERROR(IF(AND(LEN(K633)=10,VALUE(LEFT(K633,FIND("/",K633)-1))&gt;=1,VALUE(LEFT(K633,FIND("/",K633)-1))&lt;=31,VALUE(LEFT(MID(K633,FIND("/",K633)+1,10),FIND("/",MID(K633,FIND("/",K633)+1,10))-1))&gt;=1,VALUE(LEFT(MID(K633,FIND("/",K633)+1,10),FIND("/",MID(K633,FIND("/",K633)+1,10))-1))&lt;=12,VALUE(LEFT(K633,FIND("/",K633)-1))&lt;=DAY(EOMONTH(DATE(VALUE(MID(MID(K633,FIND("/",K633)+1,10),FIND("/",MID(K633,FIND("/",K633)+1,10))+1,4)),VALUE(LEFT(MID(K633,FIND("/",K633)+1,10),FIND("/",MID(K633,FIND("/",K633)+1,10))-1)),1),0))),0,1),1)+IFERROR(IF(M633&gt;=0,0,1),1)+IFERROR(IF(ISNUMBER(MATCH(N633,Lists!$B$2:$B$7,0)),0,1),1))=0,"OK","ERROR"))</f>
        <v/>
      </c>
      <c r="Q633" s="3" t="str">
        <f aca="false">IF(D633="","",TRIM(IF(IFERROR(IF(AND(TRIM(D633)=D633,LEN(D633)&gt;0),0,1),1)=1,"Name; ","")&amp;IF(IFERROR(IF(AND(LEN(E633)=10,ISNUMBER(VALUE(E633))),0,1),1)=1,"Phone; ","")&amp;IF(IFERROR(IF(AND(ISNUMBER(SEARCH("@",F633)),ISNUMBER(SEARCH(".",F633))),0,1),1)=1,"Email; ","")&amp;IF(IFERROR(IF(AND(LEN(J633)=6,ISNUMBER(VALUE(J633))),0,1),1)=1,"Pincode; ","")&amp;IF(IFERROR(IF(ISNUMBER(MATCH(TRIM(I633),Lists!$A$2:$A$20,0)),0,1),1)=1,"State; ","")&amp;IF(IFERROR(IF(AND(LEN(K633)=10,VALUE(LEFT(K633,FIND("/",K633)-1))&gt;=1,VALUE(LEFT(K633,FIND("/",K633)-1))&lt;=31,VALUE(LEFT(MID(K633,FIND("/",K633)+1,10),FIND("/",MID(K633,FIND("/",K633)+1,10))-1))&gt;=1,VALUE(LEFT(MID(K633,FIND("/",K633)+1,10),FIND("/",MID(K633,FIND("/",K633)+1,10))-1))&lt;=12,VALUE(LEFT(K633,FIND("/",K633)-1))&lt;=DAY(EOMONTH(DATE(VALUE(MID(MID(K633,FIND("/",K633)+1,10),FIND("/",MID(K633,FIND("/",K633)+1,10))+1,4)),VALUE(LEFT(MID(K633,FIND("/",K633)+1,10),FIND("/",MID(K633,FIND("/",K633)+1,10))-1)),1),0))),0,1),1)=1,"Date; ","")&amp;IF(IFERROR(IF(M633&gt;=0,0,1),1)=1,"Amount; ","")&amp;IF(IFERROR(IF(ISNUMBER(MATCH(N633,Lists!$B$2:$B$7,0)),0,1),1)=1,"Payment; ","")))</f>
        <v/>
      </c>
      <c r="R633" s="3" t="str">
        <f aca="false">IF(D633="","",IF(COUNTIFS($D$2:$D$701,D633,$E$2:$E$701,E633)&gt;1,"DUPLICATE","Unique"))</f>
        <v/>
      </c>
    </row>
    <row r="634" customFormat="false" ht="15" hidden="false" customHeight="false" outlineLevel="0" collapsed="false">
      <c r="A634" s="3" t="n">
        <v>633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3" t="n">
        <f aca="false">IFERROR(LEN(C634&amp;D634&amp;E634&amp;F634&amp;G634&amp;H634&amp;I634&amp;J634&amp;K634&amp;L634&amp;M634&amp;N634)/5,0)</f>
        <v>0</v>
      </c>
      <c r="P634" s="3" t="str">
        <f aca="false">IF(OR(D634="",C634=""),"",IF((IFERROR(IF(AND(TRIM(D634)=D634,LEN(D634)&gt;0),0,1),1)+IFERROR(IF(AND(LEN(E634)=10,ISNUMBER(VALUE(E634))),0,1),1)+IFERROR(IF(AND(ISNUMBER(SEARCH("@",F634)),ISNUMBER(SEARCH(".",F634))),0,1),1)+IFERROR(IF(AND(LEN(J634)=6,ISNUMBER(VALUE(J634))),0,1),1)+IFERROR(IF(ISNUMBER(MATCH(TRIM(I634),Lists!$A$2:$A$20,0)),0,1),1)+IFERROR(IF(AND(LEN(K634)=10,VALUE(LEFT(K634,FIND("/",K634)-1))&gt;=1,VALUE(LEFT(K634,FIND("/",K634)-1))&lt;=31,VALUE(LEFT(MID(K634,FIND("/",K634)+1,10),FIND("/",MID(K634,FIND("/",K634)+1,10))-1))&gt;=1,VALUE(LEFT(MID(K634,FIND("/",K634)+1,10),FIND("/",MID(K634,FIND("/",K634)+1,10))-1))&lt;=12,VALUE(LEFT(K634,FIND("/",K634)-1))&lt;=DAY(EOMONTH(DATE(VALUE(MID(MID(K634,FIND("/",K634)+1,10),FIND("/",MID(K634,FIND("/",K634)+1,10))+1,4)),VALUE(LEFT(MID(K634,FIND("/",K634)+1,10),FIND("/",MID(K634,FIND("/",K634)+1,10))-1)),1),0))),0,1),1)+IFERROR(IF(M634&gt;=0,0,1),1)+IFERROR(IF(ISNUMBER(MATCH(N634,Lists!$B$2:$B$7,0)),0,1),1))=0,"OK","ERROR"))</f>
        <v/>
      </c>
      <c r="Q634" s="3" t="str">
        <f aca="false">IF(D634="","",TRIM(IF(IFERROR(IF(AND(TRIM(D634)=D634,LEN(D634)&gt;0),0,1),1)=1,"Name; ","")&amp;IF(IFERROR(IF(AND(LEN(E634)=10,ISNUMBER(VALUE(E634))),0,1),1)=1,"Phone; ","")&amp;IF(IFERROR(IF(AND(ISNUMBER(SEARCH("@",F634)),ISNUMBER(SEARCH(".",F634))),0,1),1)=1,"Email; ","")&amp;IF(IFERROR(IF(AND(LEN(J634)=6,ISNUMBER(VALUE(J634))),0,1),1)=1,"Pincode; ","")&amp;IF(IFERROR(IF(ISNUMBER(MATCH(TRIM(I634),Lists!$A$2:$A$20,0)),0,1),1)=1,"State; ","")&amp;IF(IFERROR(IF(AND(LEN(K634)=10,VALUE(LEFT(K634,FIND("/",K634)-1))&gt;=1,VALUE(LEFT(K634,FIND("/",K634)-1))&lt;=31,VALUE(LEFT(MID(K634,FIND("/",K634)+1,10),FIND("/",MID(K634,FIND("/",K634)+1,10))-1))&gt;=1,VALUE(LEFT(MID(K634,FIND("/",K634)+1,10),FIND("/",MID(K634,FIND("/",K634)+1,10))-1))&lt;=12,VALUE(LEFT(K634,FIND("/",K634)-1))&lt;=DAY(EOMONTH(DATE(VALUE(MID(MID(K634,FIND("/",K634)+1,10),FIND("/",MID(K634,FIND("/",K634)+1,10))+1,4)),VALUE(LEFT(MID(K634,FIND("/",K634)+1,10),FIND("/",MID(K634,FIND("/",K634)+1,10))-1)),1),0))),0,1),1)=1,"Date; ","")&amp;IF(IFERROR(IF(M634&gt;=0,0,1),1)=1,"Amount; ","")&amp;IF(IFERROR(IF(ISNUMBER(MATCH(N634,Lists!$B$2:$B$7,0)),0,1),1)=1,"Payment; ","")))</f>
        <v/>
      </c>
      <c r="R634" s="3" t="str">
        <f aca="false">IF(D634="","",IF(COUNTIFS($D$2:$D$701,D634,$E$2:$E$701,E634)&gt;1,"DUPLICATE","Unique"))</f>
        <v/>
      </c>
    </row>
    <row r="635" customFormat="false" ht="15" hidden="false" customHeight="false" outlineLevel="0" collapsed="false">
      <c r="A635" s="3" t="n">
        <v>634</v>
      </c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3" t="n">
        <f aca="false">IFERROR(LEN(C635&amp;D635&amp;E635&amp;F635&amp;G635&amp;H635&amp;I635&amp;J635&amp;K635&amp;L635&amp;M635&amp;N635)/5,0)</f>
        <v>0</v>
      </c>
      <c r="P635" s="3" t="str">
        <f aca="false">IF(OR(D635="",C635=""),"",IF((IFERROR(IF(AND(TRIM(D635)=D635,LEN(D635)&gt;0),0,1),1)+IFERROR(IF(AND(LEN(E635)=10,ISNUMBER(VALUE(E635))),0,1),1)+IFERROR(IF(AND(ISNUMBER(SEARCH("@",F635)),ISNUMBER(SEARCH(".",F635))),0,1),1)+IFERROR(IF(AND(LEN(J635)=6,ISNUMBER(VALUE(J635))),0,1),1)+IFERROR(IF(ISNUMBER(MATCH(TRIM(I635),Lists!$A$2:$A$20,0)),0,1),1)+IFERROR(IF(AND(LEN(K635)=10,VALUE(LEFT(K635,FIND("/",K635)-1))&gt;=1,VALUE(LEFT(K635,FIND("/",K635)-1))&lt;=31,VALUE(LEFT(MID(K635,FIND("/",K635)+1,10),FIND("/",MID(K635,FIND("/",K635)+1,10))-1))&gt;=1,VALUE(LEFT(MID(K635,FIND("/",K635)+1,10),FIND("/",MID(K635,FIND("/",K635)+1,10))-1))&lt;=12,VALUE(LEFT(K635,FIND("/",K635)-1))&lt;=DAY(EOMONTH(DATE(VALUE(MID(MID(K635,FIND("/",K635)+1,10),FIND("/",MID(K635,FIND("/",K635)+1,10))+1,4)),VALUE(LEFT(MID(K635,FIND("/",K635)+1,10),FIND("/",MID(K635,FIND("/",K635)+1,10))-1)),1),0))),0,1),1)+IFERROR(IF(M635&gt;=0,0,1),1)+IFERROR(IF(ISNUMBER(MATCH(N635,Lists!$B$2:$B$7,0)),0,1),1))=0,"OK","ERROR"))</f>
        <v/>
      </c>
      <c r="Q635" s="3" t="str">
        <f aca="false">IF(D635="","",TRIM(IF(IFERROR(IF(AND(TRIM(D635)=D635,LEN(D635)&gt;0),0,1),1)=1,"Name; ","")&amp;IF(IFERROR(IF(AND(LEN(E635)=10,ISNUMBER(VALUE(E635))),0,1),1)=1,"Phone; ","")&amp;IF(IFERROR(IF(AND(ISNUMBER(SEARCH("@",F635)),ISNUMBER(SEARCH(".",F635))),0,1),1)=1,"Email; ","")&amp;IF(IFERROR(IF(AND(LEN(J635)=6,ISNUMBER(VALUE(J635))),0,1),1)=1,"Pincode; ","")&amp;IF(IFERROR(IF(ISNUMBER(MATCH(TRIM(I635),Lists!$A$2:$A$20,0)),0,1),1)=1,"State; ","")&amp;IF(IFERROR(IF(AND(LEN(K635)=10,VALUE(LEFT(K635,FIND("/",K635)-1))&gt;=1,VALUE(LEFT(K635,FIND("/",K635)-1))&lt;=31,VALUE(LEFT(MID(K635,FIND("/",K635)+1,10),FIND("/",MID(K635,FIND("/",K635)+1,10))-1))&gt;=1,VALUE(LEFT(MID(K635,FIND("/",K635)+1,10),FIND("/",MID(K635,FIND("/",K635)+1,10))-1))&lt;=12,VALUE(LEFT(K635,FIND("/",K635)-1))&lt;=DAY(EOMONTH(DATE(VALUE(MID(MID(K635,FIND("/",K635)+1,10),FIND("/",MID(K635,FIND("/",K635)+1,10))+1,4)),VALUE(LEFT(MID(K635,FIND("/",K635)+1,10),FIND("/",MID(K635,FIND("/",K635)+1,10))-1)),1),0))),0,1),1)=1,"Date; ","")&amp;IF(IFERROR(IF(M635&gt;=0,0,1),1)=1,"Amount; ","")&amp;IF(IFERROR(IF(ISNUMBER(MATCH(N635,Lists!$B$2:$B$7,0)),0,1),1)=1,"Payment; ","")))</f>
        <v/>
      </c>
      <c r="R635" s="3" t="str">
        <f aca="false">IF(D635="","",IF(COUNTIFS($D$2:$D$701,D635,$E$2:$E$701,E635)&gt;1,"DUPLICATE","Unique"))</f>
        <v/>
      </c>
    </row>
    <row r="636" customFormat="false" ht="15" hidden="false" customHeight="false" outlineLevel="0" collapsed="false">
      <c r="A636" s="3" t="n">
        <v>635</v>
      </c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3" t="n">
        <f aca="false">IFERROR(LEN(C636&amp;D636&amp;E636&amp;F636&amp;G636&amp;H636&amp;I636&amp;J636&amp;K636&amp;L636&amp;M636&amp;N636)/5,0)</f>
        <v>0</v>
      </c>
      <c r="P636" s="3" t="str">
        <f aca="false">IF(OR(D636="",C636=""),"",IF((IFERROR(IF(AND(TRIM(D636)=D636,LEN(D636)&gt;0),0,1),1)+IFERROR(IF(AND(LEN(E636)=10,ISNUMBER(VALUE(E636))),0,1),1)+IFERROR(IF(AND(ISNUMBER(SEARCH("@",F636)),ISNUMBER(SEARCH(".",F636))),0,1),1)+IFERROR(IF(AND(LEN(J636)=6,ISNUMBER(VALUE(J636))),0,1),1)+IFERROR(IF(ISNUMBER(MATCH(TRIM(I636),Lists!$A$2:$A$20,0)),0,1),1)+IFERROR(IF(AND(LEN(K636)=10,VALUE(LEFT(K636,FIND("/",K636)-1))&gt;=1,VALUE(LEFT(K636,FIND("/",K636)-1))&lt;=31,VALUE(LEFT(MID(K636,FIND("/",K636)+1,10),FIND("/",MID(K636,FIND("/",K636)+1,10))-1))&gt;=1,VALUE(LEFT(MID(K636,FIND("/",K636)+1,10),FIND("/",MID(K636,FIND("/",K636)+1,10))-1))&lt;=12,VALUE(LEFT(K636,FIND("/",K636)-1))&lt;=DAY(EOMONTH(DATE(VALUE(MID(MID(K636,FIND("/",K636)+1,10),FIND("/",MID(K636,FIND("/",K636)+1,10))+1,4)),VALUE(LEFT(MID(K636,FIND("/",K636)+1,10),FIND("/",MID(K636,FIND("/",K636)+1,10))-1)),1),0))),0,1),1)+IFERROR(IF(M636&gt;=0,0,1),1)+IFERROR(IF(ISNUMBER(MATCH(N636,Lists!$B$2:$B$7,0)),0,1),1))=0,"OK","ERROR"))</f>
        <v/>
      </c>
      <c r="Q636" s="3" t="str">
        <f aca="false">IF(D636="","",TRIM(IF(IFERROR(IF(AND(TRIM(D636)=D636,LEN(D636)&gt;0),0,1),1)=1,"Name; ","")&amp;IF(IFERROR(IF(AND(LEN(E636)=10,ISNUMBER(VALUE(E636))),0,1),1)=1,"Phone; ","")&amp;IF(IFERROR(IF(AND(ISNUMBER(SEARCH("@",F636)),ISNUMBER(SEARCH(".",F636))),0,1),1)=1,"Email; ","")&amp;IF(IFERROR(IF(AND(LEN(J636)=6,ISNUMBER(VALUE(J636))),0,1),1)=1,"Pincode; ","")&amp;IF(IFERROR(IF(ISNUMBER(MATCH(TRIM(I636),Lists!$A$2:$A$20,0)),0,1),1)=1,"State; ","")&amp;IF(IFERROR(IF(AND(LEN(K636)=10,VALUE(LEFT(K636,FIND("/",K636)-1))&gt;=1,VALUE(LEFT(K636,FIND("/",K636)-1))&lt;=31,VALUE(LEFT(MID(K636,FIND("/",K636)+1,10),FIND("/",MID(K636,FIND("/",K636)+1,10))-1))&gt;=1,VALUE(LEFT(MID(K636,FIND("/",K636)+1,10),FIND("/",MID(K636,FIND("/",K636)+1,10))-1))&lt;=12,VALUE(LEFT(K636,FIND("/",K636)-1))&lt;=DAY(EOMONTH(DATE(VALUE(MID(MID(K636,FIND("/",K636)+1,10),FIND("/",MID(K636,FIND("/",K636)+1,10))+1,4)),VALUE(LEFT(MID(K636,FIND("/",K636)+1,10),FIND("/",MID(K636,FIND("/",K636)+1,10))-1)),1),0))),0,1),1)=1,"Date; ","")&amp;IF(IFERROR(IF(M636&gt;=0,0,1),1)=1,"Amount; ","")&amp;IF(IFERROR(IF(ISNUMBER(MATCH(N636,Lists!$B$2:$B$7,0)),0,1),1)=1,"Payment; ","")))</f>
        <v/>
      </c>
      <c r="R636" s="3" t="str">
        <f aca="false">IF(D636="","",IF(COUNTIFS($D$2:$D$701,D636,$E$2:$E$701,E636)&gt;1,"DUPLICATE","Unique"))</f>
        <v/>
      </c>
    </row>
    <row r="637" customFormat="false" ht="15" hidden="false" customHeight="false" outlineLevel="0" collapsed="false">
      <c r="A637" s="3" t="n">
        <v>636</v>
      </c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3" t="n">
        <f aca="false">IFERROR(LEN(C637&amp;D637&amp;E637&amp;F637&amp;G637&amp;H637&amp;I637&amp;J637&amp;K637&amp;L637&amp;M637&amp;N637)/5,0)</f>
        <v>0</v>
      </c>
      <c r="P637" s="3" t="str">
        <f aca="false">IF(OR(D637="",C637=""),"",IF((IFERROR(IF(AND(TRIM(D637)=D637,LEN(D637)&gt;0),0,1),1)+IFERROR(IF(AND(LEN(E637)=10,ISNUMBER(VALUE(E637))),0,1),1)+IFERROR(IF(AND(ISNUMBER(SEARCH("@",F637)),ISNUMBER(SEARCH(".",F637))),0,1),1)+IFERROR(IF(AND(LEN(J637)=6,ISNUMBER(VALUE(J637))),0,1),1)+IFERROR(IF(ISNUMBER(MATCH(TRIM(I637),Lists!$A$2:$A$20,0)),0,1),1)+IFERROR(IF(AND(LEN(K637)=10,VALUE(LEFT(K637,FIND("/",K637)-1))&gt;=1,VALUE(LEFT(K637,FIND("/",K637)-1))&lt;=31,VALUE(LEFT(MID(K637,FIND("/",K637)+1,10),FIND("/",MID(K637,FIND("/",K637)+1,10))-1))&gt;=1,VALUE(LEFT(MID(K637,FIND("/",K637)+1,10),FIND("/",MID(K637,FIND("/",K637)+1,10))-1))&lt;=12,VALUE(LEFT(K637,FIND("/",K637)-1))&lt;=DAY(EOMONTH(DATE(VALUE(MID(MID(K637,FIND("/",K637)+1,10),FIND("/",MID(K637,FIND("/",K637)+1,10))+1,4)),VALUE(LEFT(MID(K637,FIND("/",K637)+1,10),FIND("/",MID(K637,FIND("/",K637)+1,10))-1)),1),0))),0,1),1)+IFERROR(IF(M637&gt;=0,0,1),1)+IFERROR(IF(ISNUMBER(MATCH(N637,Lists!$B$2:$B$7,0)),0,1),1))=0,"OK","ERROR"))</f>
        <v/>
      </c>
      <c r="Q637" s="3" t="str">
        <f aca="false">IF(D637="","",TRIM(IF(IFERROR(IF(AND(TRIM(D637)=D637,LEN(D637)&gt;0),0,1),1)=1,"Name; ","")&amp;IF(IFERROR(IF(AND(LEN(E637)=10,ISNUMBER(VALUE(E637))),0,1),1)=1,"Phone; ","")&amp;IF(IFERROR(IF(AND(ISNUMBER(SEARCH("@",F637)),ISNUMBER(SEARCH(".",F637))),0,1),1)=1,"Email; ","")&amp;IF(IFERROR(IF(AND(LEN(J637)=6,ISNUMBER(VALUE(J637))),0,1),1)=1,"Pincode; ","")&amp;IF(IFERROR(IF(ISNUMBER(MATCH(TRIM(I637),Lists!$A$2:$A$20,0)),0,1),1)=1,"State; ","")&amp;IF(IFERROR(IF(AND(LEN(K637)=10,VALUE(LEFT(K637,FIND("/",K637)-1))&gt;=1,VALUE(LEFT(K637,FIND("/",K637)-1))&lt;=31,VALUE(LEFT(MID(K637,FIND("/",K637)+1,10),FIND("/",MID(K637,FIND("/",K637)+1,10))-1))&gt;=1,VALUE(LEFT(MID(K637,FIND("/",K637)+1,10),FIND("/",MID(K637,FIND("/",K637)+1,10))-1))&lt;=12,VALUE(LEFT(K637,FIND("/",K637)-1))&lt;=DAY(EOMONTH(DATE(VALUE(MID(MID(K637,FIND("/",K637)+1,10),FIND("/",MID(K637,FIND("/",K637)+1,10))+1,4)),VALUE(LEFT(MID(K637,FIND("/",K637)+1,10),FIND("/",MID(K637,FIND("/",K637)+1,10))-1)),1),0))),0,1),1)=1,"Date; ","")&amp;IF(IFERROR(IF(M637&gt;=0,0,1),1)=1,"Amount; ","")&amp;IF(IFERROR(IF(ISNUMBER(MATCH(N637,Lists!$B$2:$B$7,0)),0,1),1)=1,"Payment; ","")))</f>
        <v/>
      </c>
      <c r="R637" s="3" t="str">
        <f aca="false">IF(D637="","",IF(COUNTIFS($D$2:$D$701,D637,$E$2:$E$701,E637)&gt;1,"DUPLICATE","Unique"))</f>
        <v/>
      </c>
    </row>
    <row r="638" customFormat="false" ht="15" hidden="false" customHeight="false" outlineLevel="0" collapsed="false">
      <c r="A638" s="3" t="n">
        <v>637</v>
      </c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3" t="n">
        <f aca="false">IFERROR(LEN(C638&amp;D638&amp;E638&amp;F638&amp;G638&amp;H638&amp;I638&amp;J638&amp;K638&amp;L638&amp;M638&amp;N638)/5,0)</f>
        <v>0</v>
      </c>
      <c r="P638" s="3" t="str">
        <f aca="false">IF(OR(D638="",C638=""),"",IF((IFERROR(IF(AND(TRIM(D638)=D638,LEN(D638)&gt;0),0,1),1)+IFERROR(IF(AND(LEN(E638)=10,ISNUMBER(VALUE(E638))),0,1),1)+IFERROR(IF(AND(ISNUMBER(SEARCH("@",F638)),ISNUMBER(SEARCH(".",F638))),0,1),1)+IFERROR(IF(AND(LEN(J638)=6,ISNUMBER(VALUE(J638))),0,1),1)+IFERROR(IF(ISNUMBER(MATCH(TRIM(I638),Lists!$A$2:$A$20,0)),0,1),1)+IFERROR(IF(AND(LEN(K638)=10,VALUE(LEFT(K638,FIND("/",K638)-1))&gt;=1,VALUE(LEFT(K638,FIND("/",K638)-1))&lt;=31,VALUE(LEFT(MID(K638,FIND("/",K638)+1,10),FIND("/",MID(K638,FIND("/",K638)+1,10))-1))&gt;=1,VALUE(LEFT(MID(K638,FIND("/",K638)+1,10),FIND("/",MID(K638,FIND("/",K638)+1,10))-1))&lt;=12,VALUE(LEFT(K638,FIND("/",K638)-1))&lt;=DAY(EOMONTH(DATE(VALUE(MID(MID(K638,FIND("/",K638)+1,10),FIND("/",MID(K638,FIND("/",K638)+1,10))+1,4)),VALUE(LEFT(MID(K638,FIND("/",K638)+1,10),FIND("/",MID(K638,FIND("/",K638)+1,10))-1)),1),0))),0,1),1)+IFERROR(IF(M638&gt;=0,0,1),1)+IFERROR(IF(ISNUMBER(MATCH(N638,Lists!$B$2:$B$7,0)),0,1),1))=0,"OK","ERROR"))</f>
        <v/>
      </c>
      <c r="Q638" s="3" t="str">
        <f aca="false">IF(D638="","",TRIM(IF(IFERROR(IF(AND(TRIM(D638)=D638,LEN(D638)&gt;0),0,1),1)=1,"Name; ","")&amp;IF(IFERROR(IF(AND(LEN(E638)=10,ISNUMBER(VALUE(E638))),0,1),1)=1,"Phone; ","")&amp;IF(IFERROR(IF(AND(ISNUMBER(SEARCH("@",F638)),ISNUMBER(SEARCH(".",F638))),0,1),1)=1,"Email; ","")&amp;IF(IFERROR(IF(AND(LEN(J638)=6,ISNUMBER(VALUE(J638))),0,1),1)=1,"Pincode; ","")&amp;IF(IFERROR(IF(ISNUMBER(MATCH(TRIM(I638),Lists!$A$2:$A$20,0)),0,1),1)=1,"State; ","")&amp;IF(IFERROR(IF(AND(LEN(K638)=10,VALUE(LEFT(K638,FIND("/",K638)-1))&gt;=1,VALUE(LEFT(K638,FIND("/",K638)-1))&lt;=31,VALUE(LEFT(MID(K638,FIND("/",K638)+1,10),FIND("/",MID(K638,FIND("/",K638)+1,10))-1))&gt;=1,VALUE(LEFT(MID(K638,FIND("/",K638)+1,10),FIND("/",MID(K638,FIND("/",K638)+1,10))-1))&lt;=12,VALUE(LEFT(K638,FIND("/",K638)-1))&lt;=DAY(EOMONTH(DATE(VALUE(MID(MID(K638,FIND("/",K638)+1,10),FIND("/",MID(K638,FIND("/",K638)+1,10))+1,4)),VALUE(LEFT(MID(K638,FIND("/",K638)+1,10),FIND("/",MID(K638,FIND("/",K638)+1,10))-1)),1),0))),0,1),1)=1,"Date; ","")&amp;IF(IFERROR(IF(M638&gt;=0,0,1),1)=1,"Amount; ","")&amp;IF(IFERROR(IF(ISNUMBER(MATCH(N638,Lists!$B$2:$B$7,0)),0,1),1)=1,"Payment; ","")))</f>
        <v/>
      </c>
      <c r="R638" s="3" t="str">
        <f aca="false">IF(D638="","",IF(COUNTIFS($D$2:$D$701,D638,$E$2:$E$701,E638)&gt;1,"DUPLICATE","Unique"))</f>
        <v/>
      </c>
    </row>
    <row r="639" customFormat="false" ht="15" hidden="false" customHeight="false" outlineLevel="0" collapsed="false">
      <c r="A639" s="3" t="n">
        <v>638</v>
      </c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3" t="n">
        <f aca="false">IFERROR(LEN(C639&amp;D639&amp;E639&amp;F639&amp;G639&amp;H639&amp;I639&amp;J639&amp;K639&amp;L639&amp;M639&amp;N639)/5,0)</f>
        <v>0</v>
      </c>
      <c r="P639" s="3" t="str">
        <f aca="false">IF(OR(D639="",C639=""),"",IF((IFERROR(IF(AND(TRIM(D639)=D639,LEN(D639)&gt;0),0,1),1)+IFERROR(IF(AND(LEN(E639)=10,ISNUMBER(VALUE(E639))),0,1),1)+IFERROR(IF(AND(ISNUMBER(SEARCH("@",F639)),ISNUMBER(SEARCH(".",F639))),0,1),1)+IFERROR(IF(AND(LEN(J639)=6,ISNUMBER(VALUE(J639))),0,1),1)+IFERROR(IF(ISNUMBER(MATCH(TRIM(I639),Lists!$A$2:$A$20,0)),0,1),1)+IFERROR(IF(AND(LEN(K639)=10,VALUE(LEFT(K639,FIND("/",K639)-1))&gt;=1,VALUE(LEFT(K639,FIND("/",K639)-1))&lt;=31,VALUE(LEFT(MID(K639,FIND("/",K639)+1,10),FIND("/",MID(K639,FIND("/",K639)+1,10))-1))&gt;=1,VALUE(LEFT(MID(K639,FIND("/",K639)+1,10),FIND("/",MID(K639,FIND("/",K639)+1,10))-1))&lt;=12,VALUE(LEFT(K639,FIND("/",K639)-1))&lt;=DAY(EOMONTH(DATE(VALUE(MID(MID(K639,FIND("/",K639)+1,10),FIND("/",MID(K639,FIND("/",K639)+1,10))+1,4)),VALUE(LEFT(MID(K639,FIND("/",K639)+1,10),FIND("/",MID(K639,FIND("/",K639)+1,10))-1)),1),0))),0,1),1)+IFERROR(IF(M639&gt;=0,0,1),1)+IFERROR(IF(ISNUMBER(MATCH(N639,Lists!$B$2:$B$7,0)),0,1),1))=0,"OK","ERROR"))</f>
        <v/>
      </c>
      <c r="Q639" s="3" t="str">
        <f aca="false">IF(D639="","",TRIM(IF(IFERROR(IF(AND(TRIM(D639)=D639,LEN(D639)&gt;0),0,1),1)=1,"Name; ","")&amp;IF(IFERROR(IF(AND(LEN(E639)=10,ISNUMBER(VALUE(E639))),0,1),1)=1,"Phone; ","")&amp;IF(IFERROR(IF(AND(ISNUMBER(SEARCH("@",F639)),ISNUMBER(SEARCH(".",F639))),0,1),1)=1,"Email; ","")&amp;IF(IFERROR(IF(AND(LEN(J639)=6,ISNUMBER(VALUE(J639))),0,1),1)=1,"Pincode; ","")&amp;IF(IFERROR(IF(ISNUMBER(MATCH(TRIM(I639),Lists!$A$2:$A$20,0)),0,1),1)=1,"State; ","")&amp;IF(IFERROR(IF(AND(LEN(K639)=10,VALUE(LEFT(K639,FIND("/",K639)-1))&gt;=1,VALUE(LEFT(K639,FIND("/",K639)-1))&lt;=31,VALUE(LEFT(MID(K639,FIND("/",K639)+1,10),FIND("/",MID(K639,FIND("/",K639)+1,10))-1))&gt;=1,VALUE(LEFT(MID(K639,FIND("/",K639)+1,10),FIND("/",MID(K639,FIND("/",K639)+1,10))-1))&lt;=12,VALUE(LEFT(K639,FIND("/",K639)-1))&lt;=DAY(EOMONTH(DATE(VALUE(MID(MID(K639,FIND("/",K639)+1,10),FIND("/",MID(K639,FIND("/",K639)+1,10))+1,4)),VALUE(LEFT(MID(K639,FIND("/",K639)+1,10),FIND("/",MID(K639,FIND("/",K639)+1,10))-1)),1),0))),0,1),1)=1,"Date; ","")&amp;IF(IFERROR(IF(M639&gt;=0,0,1),1)=1,"Amount; ","")&amp;IF(IFERROR(IF(ISNUMBER(MATCH(N639,Lists!$B$2:$B$7,0)),0,1),1)=1,"Payment; ","")))</f>
        <v/>
      </c>
      <c r="R639" s="3" t="str">
        <f aca="false">IF(D639="","",IF(COUNTIFS($D$2:$D$701,D639,$E$2:$E$701,E639)&gt;1,"DUPLICATE","Unique"))</f>
        <v/>
      </c>
    </row>
    <row r="640" customFormat="false" ht="15" hidden="false" customHeight="false" outlineLevel="0" collapsed="false">
      <c r="A640" s="3" t="n">
        <v>639</v>
      </c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3" t="n">
        <f aca="false">IFERROR(LEN(C640&amp;D640&amp;E640&amp;F640&amp;G640&amp;H640&amp;I640&amp;J640&amp;K640&amp;L640&amp;M640&amp;N640)/5,0)</f>
        <v>0</v>
      </c>
      <c r="P640" s="3" t="str">
        <f aca="false">IF(OR(D640="",C640=""),"",IF((IFERROR(IF(AND(TRIM(D640)=D640,LEN(D640)&gt;0),0,1),1)+IFERROR(IF(AND(LEN(E640)=10,ISNUMBER(VALUE(E640))),0,1),1)+IFERROR(IF(AND(ISNUMBER(SEARCH("@",F640)),ISNUMBER(SEARCH(".",F640))),0,1),1)+IFERROR(IF(AND(LEN(J640)=6,ISNUMBER(VALUE(J640))),0,1),1)+IFERROR(IF(ISNUMBER(MATCH(TRIM(I640),Lists!$A$2:$A$20,0)),0,1),1)+IFERROR(IF(AND(LEN(K640)=10,VALUE(LEFT(K640,FIND("/",K640)-1))&gt;=1,VALUE(LEFT(K640,FIND("/",K640)-1))&lt;=31,VALUE(LEFT(MID(K640,FIND("/",K640)+1,10),FIND("/",MID(K640,FIND("/",K640)+1,10))-1))&gt;=1,VALUE(LEFT(MID(K640,FIND("/",K640)+1,10),FIND("/",MID(K640,FIND("/",K640)+1,10))-1))&lt;=12,VALUE(LEFT(K640,FIND("/",K640)-1))&lt;=DAY(EOMONTH(DATE(VALUE(MID(MID(K640,FIND("/",K640)+1,10),FIND("/",MID(K640,FIND("/",K640)+1,10))+1,4)),VALUE(LEFT(MID(K640,FIND("/",K640)+1,10),FIND("/",MID(K640,FIND("/",K640)+1,10))-1)),1),0))),0,1),1)+IFERROR(IF(M640&gt;=0,0,1),1)+IFERROR(IF(ISNUMBER(MATCH(N640,Lists!$B$2:$B$7,0)),0,1),1))=0,"OK","ERROR"))</f>
        <v/>
      </c>
      <c r="Q640" s="3" t="str">
        <f aca="false">IF(D640="","",TRIM(IF(IFERROR(IF(AND(TRIM(D640)=D640,LEN(D640)&gt;0),0,1),1)=1,"Name; ","")&amp;IF(IFERROR(IF(AND(LEN(E640)=10,ISNUMBER(VALUE(E640))),0,1),1)=1,"Phone; ","")&amp;IF(IFERROR(IF(AND(ISNUMBER(SEARCH("@",F640)),ISNUMBER(SEARCH(".",F640))),0,1),1)=1,"Email; ","")&amp;IF(IFERROR(IF(AND(LEN(J640)=6,ISNUMBER(VALUE(J640))),0,1),1)=1,"Pincode; ","")&amp;IF(IFERROR(IF(ISNUMBER(MATCH(TRIM(I640),Lists!$A$2:$A$20,0)),0,1),1)=1,"State; ","")&amp;IF(IFERROR(IF(AND(LEN(K640)=10,VALUE(LEFT(K640,FIND("/",K640)-1))&gt;=1,VALUE(LEFT(K640,FIND("/",K640)-1))&lt;=31,VALUE(LEFT(MID(K640,FIND("/",K640)+1,10),FIND("/",MID(K640,FIND("/",K640)+1,10))-1))&gt;=1,VALUE(LEFT(MID(K640,FIND("/",K640)+1,10),FIND("/",MID(K640,FIND("/",K640)+1,10))-1))&lt;=12,VALUE(LEFT(K640,FIND("/",K640)-1))&lt;=DAY(EOMONTH(DATE(VALUE(MID(MID(K640,FIND("/",K640)+1,10),FIND("/",MID(K640,FIND("/",K640)+1,10))+1,4)),VALUE(LEFT(MID(K640,FIND("/",K640)+1,10),FIND("/",MID(K640,FIND("/",K640)+1,10))-1)),1),0))),0,1),1)=1,"Date; ","")&amp;IF(IFERROR(IF(M640&gt;=0,0,1),1)=1,"Amount; ","")&amp;IF(IFERROR(IF(ISNUMBER(MATCH(N640,Lists!$B$2:$B$7,0)),0,1),1)=1,"Payment; ","")))</f>
        <v/>
      </c>
      <c r="R640" s="3" t="str">
        <f aca="false">IF(D640="","",IF(COUNTIFS($D$2:$D$701,D640,$E$2:$E$701,E640)&gt;1,"DUPLICATE","Unique"))</f>
        <v/>
      </c>
    </row>
    <row r="641" customFormat="false" ht="15" hidden="false" customHeight="false" outlineLevel="0" collapsed="false">
      <c r="A641" s="3" t="n">
        <v>640</v>
      </c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3" t="n">
        <f aca="false">IFERROR(LEN(C641&amp;D641&amp;E641&amp;F641&amp;G641&amp;H641&amp;I641&amp;J641&amp;K641&amp;L641&amp;M641&amp;N641)/5,0)</f>
        <v>0</v>
      </c>
      <c r="P641" s="3" t="str">
        <f aca="false">IF(OR(D641="",C641=""),"",IF((IFERROR(IF(AND(TRIM(D641)=D641,LEN(D641)&gt;0),0,1),1)+IFERROR(IF(AND(LEN(E641)=10,ISNUMBER(VALUE(E641))),0,1),1)+IFERROR(IF(AND(ISNUMBER(SEARCH("@",F641)),ISNUMBER(SEARCH(".",F641))),0,1),1)+IFERROR(IF(AND(LEN(J641)=6,ISNUMBER(VALUE(J641))),0,1),1)+IFERROR(IF(ISNUMBER(MATCH(TRIM(I641),Lists!$A$2:$A$20,0)),0,1),1)+IFERROR(IF(AND(LEN(K641)=10,VALUE(LEFT(K641,FIND("/",K641)-1))&gt;=1,VALUE(LEFT(K641,FIND("/",K641)-1))&lt;=31,VALUE(LEFT(MID(K641,FIND("/",K641)+1,10),FIND("/",MID(K641,FIND("/",K641)+1,10))-1))&gt;=1,VALUE(LEFT(MID(K641,FIND("/",K641)+1,10),FIND("/",MID(K641,FIND("/",K641)+1,10))-1))&lt;=12,VALUE(LEFT(K641,FIND("/",K641)-1))&lt;=DAY(EOMONTH(DATE(VALUE(MID(MID(K641,FIND("/",K641)+1,10),FIND("/",MID(K641,FIND("/",K641)+1,10))+1,4)),VALUE(LEFT(MID(K641,FIND("/",K641)+1,10),FIND("/",MID(K641,FIND("/",K641)+1,10))-1)),1),0))),0,1),1)+IFERROR(IF(M641&gt;=0,0,1),1)+IFERROR(IF(ISNUMBER(MATCH(N641,Lists!$B$2:$B$7,0)),0,1),1))=0,"OK","ERROR"))</f>
        <v/>
      </c>
      <c r="Q641" s="3" t="str">
        <f aca="false">IF(D641="","",TRIM(IF(IFERROR(IF(AND(TRIM(D641)=D641,LEN(D641)&gt;0),0,1),1)=1,"Name; ","")&amp;IF(IFERROR(IF(AND(LEN(E641)=10,ISNUMBER(VALUE(E641))),0,1),1)=1,"Phone; ","")&amp;IF(IFERROR(IF(AND(ISNUMBER(SEARCH("@",F641)),ISNUMBER(SEARCH(".",F641))),0,1),1)=1,"Email; ","")&amp;IF(IFERROR(IF(AND(LEN(J641)=6,ISNUMBER(VALUE(J641))),0,1),1)=1,"Pincode; ","")&amp;IF(IFERROR(IF(ISNUMBER(MATCH(TRIM(I641),Lists!$A$2:$A$20,0)),0,1),1)=1,"State; ","")&amp;IF(IFERROR(IF(AND(LEN(K641)=10,VALUE(LEFT(K641,FIND("/",K641)-1))&gt;=1,VALUE(LEFT(K641,FIND("/",K641)-1))&lt;=31,VALUE(LEFT(MID(K641,FIND("/",K641)+1,10),FIND("/",MID(K641,FIND("/",K641)+1,10))-1))&gt;=1,VALUE(LEFT(MID(K641,FIND("/",K641)+1,10),FIND("/",MID(K641,FIND("/",K641)+1,10))-1))&lt;=12,VALUE(LEFT(K641,FIND("/",K641)-1))&lt;=DAY(EOMONTH(DATE(VALUE(MID(MID(K641,FIND("/",K641)+1,10),FIND("/",MID(K641,FIND("/",K641)+1,10))+1,4)),VALUE(LEFT(MID(K641,FIND("/",K641)+1,10),FIND("/",MID(K641,FIND("/",K641)+1,10))-1)),1),0))),0,1),1)=1,"Date; ","")&amp;IF(IFERROR(IF(M641&gt;=0,0,1),1)=1,"Amount; ","")&amp;IF(IFERROR(IF(ISNUMBER(MATCH(N641,Lists!$B$2:$B$7,0)),0,1),1)=1,"Payment; ","")))</f>
        <v/>
      </c>
      <c r="R641" s="3" t="str">
        <f aca="false">IF(D641="","",IF(COUNTIFS($D$2:$D$701,D641,$E$2:$E$701,E641)&gt;1,"DUPLICATE","Unique"))</f>
        <v/>
      </c>
    </row>
    <row r="642" customFormat="false" ht="15" hidden="false" customHeight="false" outlineLevel="0" collapsed="false">
      <c r="A642" s="3" t="n">
        <v>641</v>
      </c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3" t="n">
        <f aca="false">IFERROR(LEN(C642&amp;D642&amp;E642&amp;F642&amp;G642&amp;H642&amp;I642&amp;J642&amp;K642&amp;L642&amp;M642&amp;N642)/5,0)</f>
        <v>0</v>
      </c>
      <c r="P642" s="3" t="str">
        <f aca="false">IF(OR(D642="",C642=""),"",IF((IFERROR(IF(AND(TRIM(D642)=D642,LEN(D642)&gt;0),0,1),1)+IFERROR(IF(AND(LEN(E642)=10,ISNUMBER(VALUE(E642))),0,1),1)+IFERROR(IF(AND(ISNUMBER(SEARCH("@",F642)),ISNUMBER(SEARCH(".",F642))),0,1),1)+IFERROR(IF(AND(LEN(J642)=6,ISNUMBER(VALUE(J642))),0,1),1)+IFERROR(IF(ISNUMBER(MATCH(TRIM(I642),Lists!$A$2:$A$20,0)),0,1),1)+IFERROR(IF(AND(LEN(K642)=10,VALUE(LEFT(K642,FIND("/",K642)-1))&gt;=1,VALUE(LEFT(K642,FIND("/",K642)-1))&lt;=31,VALUE(LEFT(MID(K642,FIND("/",K642)+1,10),FIND("/",MID(K642,FIND("/",K642)+1,10))-1))&gt;=1,VALUE(LEFT(MID(K642,FIND("/",K642)+1,10),FIND("/",MID(K642,FIND("/",K642)+1,10))-1))&lt;=12,VALUE(LEFT(K642,FIND("/",K642)-1))&lt;=DAY(EOMONTH(DATE(VALUE(MID(MID(K642,FIND("/",K642)+1,10),FIND("/",MID(K642,FIND("/",K642)+1,10))+1,4)),VALUE(LEFT(MID(K642,FIND("/",K642)+1,10),FIND("/",MID(K642,FIND("/",K642)+1,10))-1)),1),0))),0,1),1)+IFERROR(IF(M642&gt;=0,0,1),1)+IFERROR(IF(ISNUMBER(MATCH(N642,Lists!$B$2:$B$7,0)),0,1),1))=0,"OK","ERROR"))</f>
        <v/>
      </c>
      <c r="Q642" s="3" t="str">
        <f aca="false">IF(D642="","",TRIM(IF(IFERROR(IF(AND(TRIM(D642)=D642,LEN(D642)&gt;0),0,1),1)=1,"Name; ","")&amp;IF(IFERROR(IF(AND(LEN(E642)=10,ISNUMBER(VALUE(E642))),0,1),1)=1,"Phone; ","")&amp;IF(IFERROR(IF(AND(ISNUMBER(SEARCH("@",F642)),ISNUMBER(SEARCH(".",F642))),0,1),1)=1,"Email; ","")&amp;IF(IFERROR(IF(AND(LEN(J642)=6,ISNUMBER(VALUE(J642))),0,1),1)=1,"Pincode; ","")&amp;IF(IFERROR(IF(ISNUMBER(MATCH(TRIM(I642),Lists!$A$2:$A$20,0)),0,1),1)=1,"State; ","")&amp;IF(IFERROR(IF(AND(LEN(K642)=10,VALUE(LEFT(K642,FIND("/",K642)-1))&gt;=1,VALUE(LEFT(K642,FIND("/",K642)-1))&lt;=31,VALUE(LEFT(MID(K642,FIND("/",K642)+1,10),FIND("/",MID(K642,FIND("/",K642)+1,10))-1))&gt;=1,VALUE(LEFT(MID(K642,FIND("/",K642)+1,10),FIND("/",MID(K642,FIND("/",K642)+1,10))-1))&lt;=12,VALUE(LEFT(K642,FIND("/",K642)-1))&lt;=DAY(EOMONTH(DATE(VALUE(MID(MID(K642,FIND("/",K642)+1,10),FIND("/",MID(K642,FIND("/",K642)+1,10))+1,4)),VALUE(LEFT(MID(K642,FIND("/",K642)+1,10),FIND("/",MID(K642,FIND("/",K642)+1,10))-1)),1),0))),0,1),1)=1,"Date; ","")&amp;IF(IFERROR(IF(M642&gt;=0,0,1),1)=1,"Amount; ","")&amp;IF(IFERROR(IF(ISNUMBER(MATCH(N642,Lists!$B$2:$B$7,0)),0,1),1)=1,"Payment; ","")))</f>
        <v/>
      </c>
      <c r="R642" s="3" t="str">
        <f aca="false">IF(D642="","",IF(COUNTIFS($D$2:$D$701,D642,$E$2:$E$701,E642)&gt;1,"DUPLICATE","Unique"))</f>
        <v/>
      </c>
    </row>
    <row r="643" customFormat="false" ht="15" hidden="false" customHeight="false" outlineLevel="0" collapsed="false">
      <c r="A643" s="3" t="n">
        <v>642</v>
      </c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3" t="n">
        <f aca="false">IFERROR(LEN(C643&amp;D643&amp;E643&amp;F643&amp;G643&amp;H643&amp;I643&amp;J643&amp;K643&amp;L643&amp;M643&amp;N643)/5,0)</f>
        <v>0</v>
      </c>
      <c r="P643" s="3" t="str">
        <f aca="false">IF(OR(D643="",C643=""),"",IF((IFERROR(IF(AND(TRIM(D643)=D643,LEN(D643)&gt;0),0,1),1)+IFERROR(IF(AND(LEN(E643)=10,ISNUMBER(VALUE(E643))),0,1),1)+IFERROR(IF(AND(ISNUMBER(SEARCH("@",F643)),ISNUMBER(SEARCH(".",F643))),0,1),1)+IFERROR(IF(AND(LEN(J643)=6,ISNUMBER(VALUE(J643))),0,1),1)+IFERROR(IF(ISNUMBER(MATCH(TRIM(I643),Lists!$A$2:$A$20,0)),0,1),1)+IFERROR(IF(AND(LEN(K643)=10,VALUE(LEFT(K643,FIND("/",K643)-1))&gt;=1,VALUE(LEFT(K643,FIND("/",K643)-1))&lt;=31,VALUE(LEFT(MID(K643,FIND("/",K643)+1,10),FIND("/",MID(K643,FIND("/",K643)+1,10))-1))&gt;=1,VALUE(LEFT(MID(K643,FIND("/",K643)+1,10),FIND("/",MID(K643,FIND("/",K643)+1,10))-1))&lt;=12,VALUE(LEFT(K643,FIND("/",K643)-1))&lt;=DAY(EOMONTH(DATE(VALUE(MID(MID(K643,FIND("/",K643)+1,10),FIND("/",MID(K643,FIND("/",K643)+1,10))+1,4)),VALUE(LEFT(MID(K643,FIND("/",K643)+1,10),FIND("/",MID(K643,FIND("/",K643)+1,10))-1)),1),0))),0,1),1)+IFERROR(IF(M643&gt;=0,0,1),1)+IFERROR(IF(ISNUMBER(MATCH(N643,Lists!$B$2:$B$7,0)),0,1),1))=0,"OK","ERROR"))</f>
        <v/>
      </c>
      <c r="Q643" s="3" t="str">
        <f aca="false">IF(D643="","",TRIM(IF(IFERROR(IF(AND(TRIM(D643)=D643,LEN(D643)&gt;0),0,1),1)=1,"Name; ","")&amp;IF(IFERROR(IF(AND(LEN(E643)=10,ISNUMBER(VALUE(E643))),0,1),1)=1,"Phone; ","")&amp;IF(IFERROR(IF(AND(ISNUMBER(SEARCH("@",F643)),ISNUMBER(SEARCH(".",F643))),0,1),1)=1,"Email; ","")&amp;IF(IFERROR(IF(AND(LEN(J643)=6,ISNUMBER(VALUE(J643))),0,1),1)=1,"Pincode; ","")&amp;IF(IFERROR(IF(ISNUMBER(MATCH(TRIM(I643),Lists!$A$2:$A$20,0)),0,1),1)=1,"State; ","")&amp;IF(IFERROR(IF(AND(LEN(K643)=10,VALUE(LEFT(K643,FIND("/",K643)-1))&gt;=1,VALUE(LEFT(K643,FIND("/",K643)-1))&lt;=31,VALUE(LEFT(MID(K643,FIND("/",K643)+1,10),FIND("/",MID(K643,FIND("/",K643)+1,10))-1))&gt;=1,VALUE(LEFT(MID(K643,FIND("/",K643)+1,10),FIND("/",MID(K643,FIND("/",K643)+1,10))-1))&lt;=12,VALUE(LEFT(K643,FIND("/",K643)-1))&lt;=DAY(EOMONTH(DATE(VALUE(MID(MID(K643,FIND("/",K643)+1,10),FIND("/",MID(K643,FIND("/",K643)+1,10))+1,4)),VALUE(LEFT(MID(K643,FIND("/",K643)+1,10),FIND("/",MID(K643,FIND("/",K643)+1,10))-1)),1),0))),0,1),1)=1,"Date; ","")&amp;IF(IFERROR(IF(M643&gt;=0,0,1),1)=1,"Amount; ","")&amp;IF(IFERROR(IF(ISNUMBER(MATCH(N643,Lists!$B$2:$B$7,0)),0,1),1)=1,"Payment; ","")))</f>
        <v/>
      </c>
      <c r="R643" s="3" t="str">
        <f aca="false">IF(D643="","",IF(COUNTIFS($D$2:$D$701,D643,$E$2:$E$701,E643)&gt;1,"DUPLICATE","Unique"))</f>
        <v/>
      </c>
    </row>
    <row r="644" customFormat="false" ht="15" hidden="false" customHeight="false" outlineLevel="0" collapsed="false">
      <c r="A644" s="3" t="n">
        <v>643</v>
      </c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3" t="n">
        <f aca="false">IFERROR(LEN(C644&amp;D644&amp;E644&amp;F644&amp;G644&amp;H644&amp;I644&amp;J644&amp;K644&amp;L644&amp;M644&amp;N644)/5,0)</f>
        <v>0</v>
      </c>
      <c r="P644" s="3" t="str">
        <f aca="false">IF(OR(D644="",C644=""),"",IF((IFERROR(IF(AND(TRIM(D644)=D644,LEN(D644)&gt;0),0,1),1)+IFERROR(IF(AND(LEN(E644)=10,ISNUMBER(VALUE(E644))),0,1),1)+IFERROR(IF(AND(ISNUMBER(SEARCH("@",F644)),ISNUMBER(SEARCH(".",F644))),0,1),1)+IFERROR(IF(AND(LEN(J644)=6,ISNUMBER(VALUE(J644))),0,1),1)+IFERROR(IF(ISNUMBER(MATCH(TRIM(I644),Lists!$A$2:$A$20,0)),0,1),1)+IFERROR(IF(AND(LEN(K644)=10,VALUE(LEFT(K644,FIND("/",K644)-1))&gt;=1,VALUE(LEFT(K644,FIND("/",K644)-1))&lt;=31,VALUE(LEFT(MID(K644,FIND("/",K644)+1,10),FIND("/",MID(K644,FIND("/",K644)+1,10))-1))&gt;=1,VALUE(LEFT(MID(K644,FIND("/",K644)+1,10),FIND("/",MID(K644,FIND("/",K644)+1,10))-1))&lt;=12,VALUE(LEFT(K644,FIND("/",K644)-1))&lt;=DAY(EOMONTH(DATE(VALUE(MID(MID(K644,FIND("/",K644)+1,10),FIND("/",MID(K644,FIND("/",K644)+1,10))+1,4)),VALUE(LEFT(MID(K644,FIND("/",K644)+1,10),FIND("/",MID(K644,FIND("/",K644)+1,10))-1)),1),0))),0,1),1)+IFERROR(IF(M644&gt;=0,0,1),1)+IFERROR(IF(ISNUMBER(MATCH(N644,Lists!$B$2:$B$7,0)),0,1),1))=0,"OK","ERROR"))</f>
        <v/>
      </c>
      <c r="Q644" s="3" t="str">
        <f aca="false">IF(D644="","",TRIM(IF(IFERROR(IF(AND(TRIM(D644)=D644,LEN(D644)&gt;0),0,1),1)=1,"Name; ","")&amp;IF(IFERROR(IF(AND(LEN(E644)=10,ISNUMBER(VALUE(E644))),0,1),1)=1,"Phone; ","")&amp;IF(IFERROR(IF(AND(ISNUMBER(SEARCH("@",F644)),ISNUMBER(SEARCH(".",F644))),0,1),1)=1,"Email; ","")&amp;IF(IFERROR(IF(AND(LEN(J644)=6,ISNUMBER(VALUE(J644))),0,1),1)=1,"Pincode; ","")&amp;IF(IFERROR(IF(ISNUMBER(MATCH(TRIM(I644),Lists!$A$2:$A$20,0)),0,1),1)=1,"State; ","")&amp;IF(IFERROR(IF(AND(LEN(K644)=10,VALUE(LEFT(K644,FIND("/",K644)-1))&gt;=1,VALUE(LEFT(K644,FIND("/",K644)-1))&lt;=31,VALUE(LEFT(MID(K644,FIND("/",K644)+1,10),FIND("/",MID(K644,FIND("/",K644)+1,10))-1))&gt;=1,VALUE(LEFT(MID(K644,FIND("/",K644)+1,10),FIND("/",MID(K644,FIND("/",K644)+1,10))-1))&lt;=12,VALUE(LEFT(K644,FIND("/",K644)-1))&lt;=DAY(EOMONTH(DATE(VALUE(MID(MID(K644,FIND("/",K644)+1,10),FIND("/",MID(K644,FIND("/",K644)+1,10))+1,4)),VALUE(LEFT(MID(K644,FIND("/",K644)+1,10),FIND("/",MID(K644,FIND("/",K644)+1,10))-1)),1),0))),0,1),1)=1,"Date; ","")&amp;IF(IFERROR(IF(M644&gt;=0,0,1),1)=1,"Amount; ","")&amp;IF(IFERROR(IF(ISNUMBER(MATCH(N644,Lists!$B$2:$B$7,0)),0,1),1)=1,"Payment; ","")))</f>
        <v/>
      </c>
      <c r="R644" s="3" t="str">
        <f aca="false">IF(D644="","",IF(COUNTIFS($D$2:$D$701,D644,$E$2:$E$701,E644)&gt;1,"DUPLICATE","Unique"))</f>
        <v/>
      </c>
    </row>
    <row r="645" customFormat="false" ht="15" hidden="false" customHeight="false" outlineLevel="0" collapsed="false">
      <c r="A645" s="3" t="n">
        <v>644</v>
      </c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3" t="n">
        <f aca="false">IFERROR(LEN(C645&amp;D645&amp;E645&amp;F645&amp;G645&amp;H645&amp;I645&amp;J645&amp;K645&amp;L645&amp;M645&amp;N645)/5,0)</f>
        <v>0</v>
      </c>
      <c r="P645" s="3" t="str">
        <f aca="false">IF(OR(D645="",C645=""),"",IF((IFERROR(IF(AND(TRIM(D645)=D645,LEN(D645)&gt;0),0,1),1)+IFERROR(IF(AND(LEN(E645)=10,ISNUMBER(VALUE(E645))),0,1),1)+IFERROR(IF(AND(ISNUMBER(SEARCH("@",F645)),ISNUMBER(SEARCH(".",F645))),0,1),1)+IFERROR(IF(AND(LEN(J645)=6,ISNUMBER(VALUE(J645))),0,1),1)+IFERROR(IF(ISNUMBER(MATCH(TRIM(I645),Lists!$A$2:$A$20,0)),0,1),1)+IFERROR(IF(AND(LEN(K645)=10,VALUE(LEFT(K645,FIND("/",K645)-1))&gt;=1,VALUE(LEFT(K645,FIND("/",K645)-1))&lt;=31,VALUE(LEFT(MID(K645,FIND("/",K645)+1,10),FIND("/",MID(K645,FIND("/",K645)+1,10))-1))&gt;=1,VALUE(LEFT(MID(K645,FIND("/",K645)+1,10),FIND("/",MID(K645,FIND("/",K645)+1,10))-1))&lt;=12,VALUE(LEFT(K645,FIND("/",K645)-1))&lt;=DAY(EOMONTH(DATE(VALUE(MID(MID(K645,FIND("/",K645)+1,10),FIND("/",MID(K645,FIND("/",K645)+1,10))+1,4)),VALUE(LEFT(MID(K645,FIND("/",K645)+1,10),FIND("/",MID(K645,FIND("/",K645)+1,10))-1)),1),0))),0,1),1)+IFERROR(IF(M645&gt;=0,0,1),1)+IFERROR(IF(ISNUMBER(MATCH(N645,Lists!$B$2:$B$7,0)),0,1),1))=0,"OK","ERROR"))</f>
        <v/>
      </c>
      <c r="Q645" s="3" t="str">
        <f aca="false">IF(D645="","",TRIM(IF(IFERROR(IF(AND(TRIM(D645)=D645,LEN(D645)&gt;0),0,1),1)=1,"Name; ","")&amp;IF(IFERROR(IF(AND(LEN(E645)=10,ISNUMBER(VALUE(E645))),0,1),1)=1,"Phone; ","")&amp;IF(IFERROR(IF(AND(ISNUMBER(SEARCH("@",F645)),ISNUMBER(SEARCH(".",F645))),0,1),1)=1,"Email; ","")&amp;IF(IFERROR(IF(AND(LEN(J645)=6,ISNUMBER(VALUE(J645))),0,1),1)=1,"Pincode; ","")&amp;IF(IFERROR(IF(ISNUMBER(MATCH(TRIM(I645),Lists!$A$2:$A$20,0)),0,1),1)=1,"State; ","")&amp;IF(IFERROR(IF(AND(LEN(K645)=10,VALUE(LEFT(K645,FIND("/",K645)-1))&gt;=1,VALUE(LEFT(K645,FIND("/",K645)-1))&lt;=31,VALUE(LEFT(MID(K645,FIND("/",K645)+1,10),FIND("/",MID(K645,FIND("/",K645)+1,10))-1))&gt;=1,VALUE(LEFT(MID(K645,FIND("/",K645)+1,10),FIND("/",MID(K645,FIND("/",K645)+1,10))-1))&lt;=12,VALUE(LEFT(K645,FIND("/",K645)-1))&lt;=DAY(EOMONTH(DATE(VALUE(MID(MID(K645,FIND("/",K645)+1,10),FIND("/",MID(K645,FIND("/",K645)+1,10))+1,4)),VALUE(LEFT(MID(K645,FIND("/",K645)+1,10),FIND("/",MID(K645,FIND("/",K645)+1,10))-1)),1),0))),0,1),1)=1,"Date; ","")&amp;IF(IFERROR(IF(M645&gt;=0,0,1),1)=1,"Amount; ","")&amp;IF(IFERROR(IF(ISNUMBER(MATCH(N645,Lists!$B$2:$B$7,0)),0,1),1)=1,"Payment; ","")))</f>
        <v/>
      </c>
      <c r="R645" s="3" t="str">
        <f aca="false">IF(D645="","",IF(COUNTIFS($D$2:$D$701,D645,$E$2:$E$701,E645)&gt;1,"DUPLICATE","Unique"))</f>
        <v/>
      </c>
    </row>
    <row r="646" customFormat="false" ht="15" hidden="false" customHeight="false" outlineLevel="0" collapsed="false">
      <c r="A646" s="3" t="n">
        <v>645</v>
      </c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3" t="n">
        <f aca="false">IFERROR(LEN(C646&amp;D646&amp;E646&amp;F646&amp;G646&amp;H646&amp;I646&amp;J646&amp;K646&amp;L646&amp;M646&amp;N646)/5,0)</f>
        <v>0</v>
      </c>
      <c r="P646" s="3" t="str">
        <f aca="false">IF(OR(D646="",C646=""),"",IF((IFERROR(IF(AND(TRIM(D646)=D646,LEN(D646)&gt;0),0,1),1)+IFERROR(IF(AND(LEN(E646)=10,ISNUMBER(VALUE(E646))),0,1),1)+IFERROR(IF(AND(ISNUMBER(SEARCH("@",F646)),ISNUMBER(SEARCH(".",F646))),0,1),1)+IFERROR(IF(AND(LEN(J646)=6,ISNUMBER(VALUE(J646))),0,1),1)+IFERROR(IF(ISNUMBER(MATCH(TRIM(I646),Lists!$A$2:$A$20,0)),0,1),1)+IFERROR(IF(AND(LEN(K646)=10,VALUE(LEFT(K646,FIND("/",K646)-1))&gt;=1,VALUE(LEFT(K646,FIND("/",K646)-1))&lt;=31,VALUE(LEFT(MID(K646,FIND("/",K646)+1,10),FIND("/",MID(K646,FIND("/",K646)+1,10))-1))&gt;=1,VALUE(LEFT(MID(K646,FIND("/",K646)+1,10),FIND("/",MID(K646,FIND("/",K646)+1,10))-1))&lt;=12,VALUE(LEFT(K646,FIND("/",K646)-1))&lt;=DAY(EOMONTH(DATE(VALUE(MID(MID(K646,FIND("/",K646)+1,10),FIND("/",MID(K646,FIND("/",K646)+1,10))+1,4)),VALUE(LEFT(MID(K646,FIND("/",K646)+1,10),FIND("/",MID(K646,FIND("/",K646)+1,10))-1)),1),0))),0,1),1)+IFERROR(IF(M646&gt;=0,0,1),1)+IFERROR(IF(ISNUMBER(MATCH(N646,Lists!$B$2:$B$7,0)),0,1),1))=0,"OK","ERROR"))</f>
        <v/>
      </c>
      <c r="Q646" s="3" t="str">
        <f aca="false">IF(D646="","",TRIM(IF(IFERROR(IF(AND(TRIM(D646)=D646,LEN(D646)&gt;0),0,1),1)=1,"Name; ","")&amp;IF(IFERROR(IF(AND(LEN(E646)=10,ISNUMBER(VALUE(E646))),0,1),1)=1,"Phone; ","")&amp;IF(IFERROR(IF(AND(ISNUMBER(SEARCH("@",F646)),ISNUMBER(SEARCH(".",F646))),0,1),1)=1,"Email; ","")&amp;IF(IFERROR(IF(AND(LEN(J646)=6,ISNUMBER(VALUE(J646))),0,1),1)=1,"Pincode; ","")&amp;IF(IFERROR(IF(ISNUMBER(MATCH(TRIM(I646),Lists!$A$2:$A$20,0)),0,1),1)=1,"State; ","")&amp;IF(IFERROR(IF(AND(LEN(K646)=10,VALUE(LEFT(K646,FIND("/",K646)-1))&gt;=1,VALUE(LEFT(K646,FIND("/",K646)-1))&lt;=31,VALUE(LEFT(MID(K646,FIND("/",K646)+1,10),FIND("/",MID(K646,FIND("/",K646)+1,10))-1))&gt;=1,VALUE(LEFT(MID(K646,FIND("/",K646)+1,10),FIND("/",MID(K646,FIND("/",K646)+1,10))-1))&lt;=12,VALUE(LEFT(K646,FIND("/",K646)-1))&lt;=DAY(EOMONTH(DATE(VALUE(MID(MID(K646,FIND("/",K646)+1,10),FIND("/",MID(K646,FIND("/",K646)+1,10))+1,4)),VALUE(LEFT(MID(K646,FIND("/",K646)+1,10),FIND("/",MID(K646,FIND("/",K646)+1,10))-1)),1),0))),0,1),1)=1,"Date; ","")&amp;IF(IFERROR(IF(M646&gt;=0,0,1),1)=1,"Amount; ","")&amp;IF(IFERROR(IF(ISNUMBER(MATCH(N646,Lists!$B$2:$B$7,0)),0,1),1)=1,"Payment; ","")))</f>
        <v/>
      </c>
      <c r="R646" s="3" t="str">
        <f aca="false">IF(D646="","",IF(COUNTIFS($D$2:$D$701,D646,$E$2:$E$701,E646)&gt;1,"DUPLICATE","Unique"))</f>
        <v/>
      </c>
    </row>
    <row r="647" customFormat="false" ht="15" hidden="false" customHeight="false" outlineLevel="0" collapsed="false">
      <c r="A647" s="3" t="n">
        <v>646</v>
      </c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3" t="n">
        <f aca="false">IFERROR(LEN(C647&amp;D647&amp;E647&amp;F647&amp;G647&amp;H647&amp;I647&amp;J647&amp;K647&amp;L647&amp;M647&amp;N647)/5,0)</f>
        <v>0</v>
      </c>
      <c r="P647" s="3" t="str">
        <f aca="false">IF(OR(D647="",C647=""),"",IF((IFERROR(IF(AND(TRIM(D647)=D647,LEN(D647)&gt;0),0,1),1)+IFERROR(IF(AND(LEN(E647)=10,ISNUMBER(VALUE(E647))),0,1),1)+IFERROR(IF(AND(ISNUMBER(SEARCH("@",F647)),ISNUMBER(SEARCH(".",F647))),0,1),1)+IFERROR(IF(AND(LEN(J647)=6,ISNUMBER(VALUE(J647))),0,1),1)+IFERROR(IF(ISNUMBER(MATCH(TRIM(I647),Lists!$A$2:$A$20,0)),0,1),1)+IFERROR(IF(AND(LEN(K647)=10,VALUE(LEFT(K647,FIND("/",K647)-1))&gt;=1,VALUE(LEFT(K647,FIND("/",K647)-1))&lt;=31,VALUE(LEFT(MID(K647,FIND("/",K647)+1,10),FIND("/",MID(K647,FIND("/",K647)+1,10))-1))&gt;=1,VALUE(LEFT(MID(K647,FIND("/",K647)+1,10),FIND("/",MID(K647,FIND("/",K647)+1,10))-1))&lt;=12,VALUE(LEFT(K647,FIND("/",K647)-1))&lt;=DAY(EOMONTH(DATE(VALUE(MID(MID(K647,FIND("/",K647)+1,10),FIND("/",MID(K647,FIND("/",K647)+1,10))+1,4)),VALUE(LEFT(MID(K647,FIND("/",K647)+1,10),FIND("/",MID(K647,FIND("/",K647)+1,10))-1)),1),0))),0,1),1)+IFERROR(IF(M647&gt;=0,0,1),1)+IFERROR(IF(ISNUMBER(MATCH(N647,Lists!$B$2:$B$7,0)),0,1),1))=0,"OK","ERROR"))</f>
        <v/>
      </c>
      <c r="Q647" s="3" t="str">
        <f aca="false">IF(D647="","",TRIM(IF(IFERROR(IF(AND(TRIM(D647)=D647,LEN(D647)&gt;0),0,1),1)=1,"Name; ","")&amp;IF(IFERROR(IF(AND(LEN(E647)=10,ISNUMBER(VALUE(E647))),0,1),1)=1,"Phone; ","")&amp;IF(IFERROR(IF(AND(ISNUMBER(SEARCH("@",F647)),ISNUMBER(SEARCH(".",F647))),0,1),1)=1,"Email; ","")&amp;IF(IFERROR(IF(AND(LEN(J647)=6,ISNUMBER(VALUE(J647))),0,1),1)=1,"Pincode; ","")&amp;IF(IFERROR(IF(ISNUMBER(MATCH(TRIM(I647),Lists!$A$2:$A$20,0)),0,1),1)=1,"State; ","")&amp;IF(IFERROR(IF(AND(LEN(K647)=10,VALUE(LEFT(K647,FIND("/",K647)-1))&gt;=1,VALUE(LEFT(K647,FIND("/",K647)-1))&lt;=31,VALUE(LEFT(MID(K647,FIND("/",K647)+1,10),FIND("/",MID(K647,FIND("/",K647)+1,10))-1))&gt;=1,VALUE(LEFT(MID(K647,FIND("/",K647)+1,10),FIND("/",MID(K647,FIND("/",K647)+1,10))-1))&lt;=12,VALUE(LEFT(K647,FIND("/",K647)-1))&lt;=DAY(EOMONTH(DATE(VALUE(MID(MID(K647,FIND("/",K647)+1,10),FIND("/",MID(K647,FIND("/",K647)+1,10))+1,4)),VALUE(LEFT(MID(K647,FIND("/",K647)+1,10),FIND("/",MID(K647,FIND("/",K647)+1,10))-1)),1),0))),0,1),1)=1,"Date; ","")&amp;IF(IFERROR(IF(M647&gt;=0,0,1),1)=1,"Amount; ","")&amp;IF(IFERROR(IF(ISNUMBER(MATCH(N647,Lists!$B$2:$B$7,0)),0,1),1)=1,"Payment; ","")))</f>
        <v/>
      </c>
      <c r="R647" s="3" t="str">
        <f aca="false">IF(D647="","",IF(COUNTIFS($D$2:$D$701,D647,$E$2:$E$701,E647)&gt;1,"DUPLICATE","Unique"))</f>
        <v/>
      </c>
    </row>
    <row r="648" customFormat="false" ht="15" hidden="false" customHeight="false" outlineLevel="0" collapsed="false">
      <c r="A648" s="3" t="n">
        <v>647</v>
      </c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3" t="n">
        <f aca="false">IFERROR(LEN(C648&amp;D648&amp;E648&amp;F648&amp;G648&amp;H648&amp;I648&amp;J648&amp;K648&amp;L648&amp;M648&amp;N648)/5,0)</f>
        <v>0</v>
      </c>
      <c r="P648" s="3" t="str">
        <f aca="false">IF(OR(D648="",C648=""),"",IF((IFERROR(IF(AND(TRIM(D648)=D648,LEN(D648)&gt;0),0,1),1)+IFERROR(IF(AND(LEN(E648)=10,ISNUMBER(VALUE(E648))),0,1),1)+IFERROR(IF(AND(ISNUMBER(SEARCH("@",F648)),ISNUMBER(SEARCH(".",F648))),0,1),1)+IFERROR(IF(AND(LEN(J648)=6,ISNUMBER(VALUE(J648))),0,1),1)+IFERROR(IF(ISNUMBER(MATCH(TRIM(I648),Lists!$A$2:$A$20,0)),0,1),1)+IFERROR(IF(AND(LEN(K648)=10,VALUE(LEFT(K648,FIND("/",K648)-1))&gt;=1,VALUE(LEFT(K648,FIND("/",K648)-1))&lt;=31,VALUE(LEFT(MID(K648,FIND("/",K648)+1,10),FIND("/",MID(K648,FIND("/",K648)+1,10))-1))&gt;=1,VALUE(LEFT(MID(K648,FIND("/",K648)+1,10),FIND("/",MID(K648,FIND("/",K648)+1,10))-1))&lt;=12,VALUE(LEFT(K648,FIND("/",K648)-1))&lt;=DAY(EOMONTH(DATE(VALUE(MID(MID(K648,FIND("/",K648)+1,10),FIND("/",MID(K648,FIND("/",K648)+1,10))+1,4)),VALUE(LEFT(MID(K648,FIND("/",K648)+1,10),FIND("/",MID(K648,FIND("/",K648)+1,10))-1)),1),0))),0,1),1)+IFERROR(IF(M648&gt;=0,0,1),1)+IFERROR(IF(ISNUMBER(MATCH(N648,Lists!$B$2:$B$7,0)),0,1),1))=0,"OK","ERROR"))</f>
        <v/>
      </c>
      <c r="Q648" s="3" t="str">
        <f aca="false">IF(D648="","",TRIM(IF(IFERROR(IF(AND(TRIM(D648)=D648,LEN(D648)&gt;0),0,1),1)=1,"Name; ","")&amp;IF(IFERROR(IF(AND(LEN(E648)=10,ISNUMBER(VALUE(E648))),0,1),1)=1,"Phone; ","")&amp;IF(IFERROR(IF(AND(ISNUMBER(SEARCH("@",F648)),ISNUMBER(SEARCH(".",F648))),0,1),1)=1,"Email; ","")&amp;IF(IFERROR(IF(AND(LEN(J648)=6,ISNUMBER(VALUE(J648))),0,1),1)=1,"Pincode; ","")&amp;IF(IFERROR(IF(ISNUMBER(MATCH(TRIM(I648),Lists!$A$2:$A$20,0)),0,1),1)=1,"State; ","")&amp;IF(IFERROR(IF(AND(LEN(K648)=10,VALUE(LEFT(K648,FIND("/",K648)-1))&gt;=1,VALUE(LEFT(K648,FIND("/",K648)-1))&lt;=31,VALUE(LEFT(MID(K648,FIND("/",K648)+1,10),FIND("/",MID(K648,FIND("/",K648)+1,10))-1))&gt;=1,VALUE(LEFT(MID(K648,FIND("/",K648)+1,10),FIND("/",MID(K648,FIND("/",K648)+1,10))-1))&lt;=12,VALUE(LEFT(K648,FIND("/",K648)-1))&lt;=DAY(EOMONTH(DATE(VALUE(MID(MID(K648,FIND("/",K648)+1,10),FIND("/",MID(K648,FIND("/",K648)+1,10))+1,4)),VALUE(LEFT(MID(K648,FIND("/",K648)+1,10),FIND("/",MID(K648,FIND("/",K648)+1,10))-1)),1),0))),0,1),1)=1,"Date; ","")&amp;IF(IFERROR(IF(M648&gt;=0,0,1),1)=1,"Amount; ","")&amp;IF(IFERROR(IF(ISNUMBER(MATCH(N648,Lists!$B$2:$B$7,0)),0,1),1)=1,"Payment; ","")))</f>
        <v/>
      </c>
      <c r="R648" s="3" t="str">
        <f aca="false">IF(D648="","",IF(COUNTIFS($D$2:$D$701,D648,$E$2:$E$701,E648)&gt;1,"DUPLICATE","Unique"))</f>
        <v/>
      </c>
    </row>
    <row r="649" customFormat="false" ht="15" hidden="false" customHeight="false" outlineLevel="0" collapsed="false">
      <c r="A649" s="3" t="n">
        <v>648</v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3" t="n">
        <f aca="false">IFERROR(LEN(C649&amp;D649&amp;E649&amp;F649&amp;G649&amp;H649&amp;I649&amp;J649&amp;K649&amp;L649&amp;M649&amp;N649)/5,0)</f>
        <v>0</v>
      </c>
      <c r="P649" s="3" t="str">
        <f aca="false">IF(OR(D649="",C649=""),"",IF((IFERROR(IF(AND(TRIM(D649)=D649,LEN(D649)&gt;0),0,1),1)+IFERROR(IF(AND(LEN(E649)=10,ISNUMBER(VALUE(E649))),0,1),1)+IFERROR(IF(AND(ISNUMBER(SEARCH("@",F649)),ISNUMBER(SEARCH(".",F649))),0,1),1)+IFERROR(IF(AND(LEN(J649)=6,ISNUMBER(VALUE(J649))),0,1),1)+IFERROR(IF(ISNUMBER(MATCH(TRIM(I649),Lists!$A$2:$A$20,0)),0,1),1)+IFERROR(IF(AND(LEN(K649)=10,VALUE(LEFT(K649,FIND("/",K649)-1))&gt;=1,VALUE(LEFT(K649,FIND("/",K649)-1))&lt;=31,VALUE(LEFT(MID(K649,FIND("/",K649)+1,10),FIND("/",MID(K649,FIND("/",K649)+1,10))-1))&gt;=1,VALUE(LEFT(MID(K649,FIND("/",K649)+1,10),FIND("/",MID(K649,FIND("/",K649)+1,10))-1))&lt;=12,VALUE(LEFT(K649,FIND("/",K649)-1))&lt;=DAY(EOMONTH(DATE(VALUE(MID(MID(K649,FIND("/",K649)+1,10),FIND("/",MID(K649,FIND("/",K649)+1,10))+1,4)),VALUE(LEFT(MID(K649,FIND("/",K649)+1,10),FIND("/",MID(K649,FIND("/",K649)+1,10))-1)),1),0))),0,1),1)+IFERROR(IF(M649&gt;=0,0,1),1)+IFERROR(IF(ISNUMBER(MATCH(N649,Lists!$B$2:$B$7,0)),0,1),1))=0,"OK","ERROR"))</f>
        <v/>
      </c>
      <c r="Q649" s="3" t="str">
        <f aca="false">IF(D649="","",TRIM(IF(IFERROR(IF(AND(TRIM(D649)=D649,LEN(D649)&gt;0),0,1),1)=1,"Name; ","")&amp;IF(IFERROR(IF(AND(LEN(E649)=10,ISNUMBER(VALUE(E649))),0,1),1)=1,"Phone; ","")&amp;IF(IFERROR(IF(AND(ISNUMBER(SEARCH("@",F649)),ISNUMBER(SEARCH(".",F649))),0,1),1)=1,"Email; ","")&amp;IF(IFERROR(IF(AND(LEN(J649)=6,ISNUMBER(VALUE(J649))),0,1),1)=1,"Pincode; ","")&amp;IF(IFERROR(IF(ISNUMBER(MATCH(TRIM(I649),Lists!$A$2:$A$20,0)),0,1),1)=1,"State; ","")&amp;IF(IFERROR(IF(AND(LEN(K649)=10,VALUE(LEFT(K649,FIND("/",K649)-1))&gt;=1,VALUE(LEFT(K649,FIND("/",K649)-1))&lt;=31,VALUE(LEFT(MID(K649,FIND("/",K649)+1,10),FIND("/",MID(K649,FIND("/",K649)+1,10))-1))&gt;=1,VALUE(LEFT(MID(K649,FIND("/",K649)+1,10),FIND("/",MID(K649,FIND("/",K649)+1,10))-1))&lt;=12,VALUE(LEFT(K649,FIND("/",K649)-1))&lt;=DAY(EOMONTH(DATE(VALUE(MID(MID(K649,FIND("/",K649)+1,10),FIND("/",MID(K649,FIND("/",K649)+1,10))+1,4)),VALUE(LEFT(MID(K649,FIND("/",K649)+1,10),FIND("/",MID(K649,FIND("/",K649)+1,10))-1)),1),0))),0,1),1)=1,"Date; ","")&amp;IF(IFERROR(IF(M649&gt;=0,0,1),1)=1,"Amount; ","")&amp;IF(IFERROR(IF(ISNUMBER(MATCH(N649,Lists!$B$2:$B$7,0)),0,1),1)=1,"Payment; ","")))</f>
        <v/>
      </c>
      <c r="R649" s="3" t="str">
        <f aca="false">IF(D649="","",IF(COUNTIFS($D$2:$D$701,D649,$E$2:$E$701,E649)&gt;1,"DUPLICATE","Unique"))</f>
        <v/>
      </c>
    </row>
    <row r="650" customFormat="false" ht="15" hidden="false" customHeight="false" outlineLevel="0" collapsed="false">
      <c r="A650" s="3" t="n">
        <v>649</v>
      </c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3" t="n">
        <f aca="false">IFERROR(LEN(C650&amp;D650&amp;E650&amp;F650&amp;G650&amp;H650&amp;I650&amp;J650&amp;K650&amp;L650&amp;M650&amp;N650)/5,0)</f>
        <v>0</v>
      </c>
      <c r="P650" s="3" t="str">
        <f aca="false">IF(OR(D650="",C650=""),"",IF((IFERROR(IF(AND(TRIM(D650)=D650,LEN(D650)&gt;0),0,1),1)+IFERROR(IF(AND(LEN(E650)=10,ISNUMBER(VALUE(E650))),0,1),1)+IFERROR(IF(AND(ISNUMBER(SEARCH("@",F650)),ISNUMBER(SEARCH(".",F650))),0,1),1)+IFERROR(IF(AND(LEN(J650)=6,ISNUMBER(VALUE(J650))),0,1),1)+IFERROR(IF(ISNUMBER(MATCH(TRIM(I650),Lists!$A$2:$A$20,0)),0,1),1)+IFERROR(IF(AND(LEN(K650)=10,VALUE(LEFT(K650,FIND("/",K650)-1))&gt;=1,VALUE(LEFT(K650,FIND("/",K650)-1))&lt;=31,VALUE(LEFT(MID(K650,FIND("/",K650)+1,10),FIND("/",MID(K650,FIND("/",K650)+1,10))-1))&gt;=1,VALUE(LEFT(MID(K650,FIND("/",K650)+1,10),FIND("/",MID(K650,FIND("/",K650)+1,10))-1))&lt;=12,VALUE(LEFT(K650,FIND("/",K650)-1))&lt;=DAY(EOMONTH(DATE(VALUE(MID(MID(K650,FIND("/",K650)+1,10),FIND("/",MID(K650,FIND("/",K650)+1,10))+1,4)),VALUE(LEFT(MID(K650,FIND("/",K650)+1,10),FIND("/",MID(K650,FIND("/",K650)+1,10))-1)),1),0))),0,1),1)+IFERROR(IF(M650&gt;=0,0,1),1)+IFERROR(IF(ISNUMBER(MATCH(N650,Lists!$B$2:$B$7,0)),0,1),1))=0,"OK","ERROR"))</f>
        <v/>
      </c>
      <c r="Q650" s="3" t="str">
        <f aca="false">IF(D650="","",TRIM(IF(IFERROR(IF(AND(TRIM(D650)=D650,LEN(D650)&gt;0),0,1),1)=1,"Name; ","")&amp;IF(IFERROR(IF(AND(LEN(E650)=10,ISNUMBER(VALUE(E650))),0,1),1)=1,"Phone; ","")&amp;IF(IFERROR(IF(AND(ISNUMBER(SEARCH("@",F650)),ISNUMBER(SEARCH(".",F650))),0,1),1)=1,"Email; ","")&amp;IF(IFERROR(IF(AND(LEN(J650)=6,ISNUMBER(VALUE(J650))),0,1),1)=1,"Pincode; ","")&amp;IF(IFERROR(IF(ISNUMBER(MATCH(TRIM(I650),Lists!$A$2:$A$20,0)),0,1),1)=1,"State; ","")&amp;IF(IFERROR(IF(AND(LEN(K650)=10,VALUE(LEFT(K650,FIND("/",K650)-1))&gt;=1,VALUE(LEFT(K650,FIND("/",K650)-1))&lt;=31,VALUE(LEFT(MID(K650,FIND("/",K650)+1,10),FIND("/",MID(K650,FIND("/",K650)+1,10))-1))&gt;=1,VALUE(LEFT(MID(K650,FIND("/",K650)+1,10),FIND("/",MID(K650,FIND("/",K650)+1,10))-1))&lt;=12,VALUE(LEFT(K650,FIND("/",K650)-1))&lt;=DAY(EOMONTH(DATE(VALUE(MID(MID(K650,FIND("/",K650)+1,10),FIND("/",MID(K650,FIND("/",K650)+1,10))+1,4)),VALUE(LEFT(MID(K650,FIND("/",K650)+1,10),FIND("/",MID(K650,FIND("/",K650)+1,10))-1)),1),0))),0,1),1)=1,"Date; ","")&amp;IF(IFERROR(IF(M650&gt;=0,0,1),1)=1,"Amount; ","")&amp;IF(IFERROR(IF(ISNUMBER(MATCH(N650,Lists!$B$2:$B$7,0)),0,1),1)=1,"Payment; ","")))</f>
        <v/>
      </c>
      <c r="R650" s="3" t="str">
        <f aca="false">IF(D650="","",IF(COUNTIFS($D$2:$D$701,D650,$E$2:$E$701,E650)&gt;1,"DUPLICATE","Unique"))</f>
        <v/>
      </c>
    </row>
    <row r="651" customFormat="false" ht="15" hidden="false" customHeight="false" outlineLevel="0" collapsed="false">
      <c r="A651" s="3" t="n">
        <v>650</v>
      </c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3" t="n">
        <f aca="false">IFERROR(LEN(C651&amp;D651&amp;E651&amp;F651&amp;G651&amp;H651&amp;I651&amp;J651&amp;K651&amp;L651&amp;M651&amp;N651)/5,0)</f>
        <v>0</v>
      </c>
      <c r="P651" s="3" t="str">
        <f aca="false">IF(OR(D651="",C651=""),"",IF((IFERROR(IF(AND(TRIM(D651)=D651,LEN(D651)&gt;0),0,1),1)+IFERROR(IF(AND(LEN(E651)=10,ISNUMBER(VALUE(E651))),0,1),1)+IFERROR(IF(AND(ISNUMBER(SEARCH("@",F651)),ISNUMBER(SEARCH(".",F651))),0,1),1)+IFERROR(IF(AND(LEN(J651)=6,ISNUMBER(VALUE(J651))),0,1),1)+IFERROR(IF(ISNUMBER(MATCH(TRIM(I651),Lists!$A$2:$A$20,0)),0,1),1)+IFERROR(IF(AND(LEN(K651)=10,VALUE(LEFT(K651,FIND("/",K651)-1))&gt;=1,VALUE(LEFT(K651,FIND("/",K651)-1))&lt;=31,VALUE(LEFT(MID(K651,FIND("/",K651)+1,10),FIND("/",MID(K651,FIND("/",K651)+1,10))-1))&gt;=1,VALUE(LEFT(MID(K651,FIND("/",K651)+1,10),FIND("/",MID(K651,FIND("/",K651)+1,10))-1))&lt;=12,VALUE(LEFT(K651,FIND("/",K651)-1))&lt;=DAY(EOMONTH(DATE(VALUE(MID(MID(K651,FIND("/",K651)+1,10),FIND("/",MID(K651,FIND("/",K651)+1,10))+1,4)),VALUE(LEFT(MID(K651,FIND("/",K651)+1,10),FIND("/",MID(K651,FIND("/",K651)+1,10))-1)),1),0))),0,1),1)+IFERROR(IF(M651&gt;=0,0,1),1)+IFERROR(IF(ISNUMBER(MATCH(N651,Lists!$B$2:$B$7,0)),0,1),1))=0,"OK","ERROR"))</f>
        <v/>
      </c>
      <c r="Q651" s="3" t="str">
        <f aca="false">IF(D651="","",TRIM(IF(IFERROR(IF(AND(TRIM(D651)=D651,LEN(D651)&gt;0),0,1),1)=1,"Name; ","")&amp;IF(IFERROR(IF(AND(LEN(E651)=10,ISNUMBER(VALUE(E651))),0,1),1)=1,"Phone; ","")&amp;IF(IFERROR(IF(AND(ISNUMBER(SEARCH("@",F651)),ISNUMBER(SEARCH(".",F651))),0,1),1)=1,"Email; ","")&amp;IF(IFERROR(IF(AND(LEN(J651)=6,ISNUMBER(VALUE(J651))),0,1),1)=1,"Pincode; ","")&amp;IF(IFERROR(IF(ISNUMBER(MATCH(TRIM(I651),Lists!$A$2:$A$20,0)),0,1),1)=1,"State; ","")&amp;IF(IFERROR(IF(AND(LEN(K651)=10,VALUE(LEFT(K651,FIND("/",K651)-1))&gt;=1,VALUE(LEFT(K651,FIND("/",K651)-1))&lt;=31,VALUE(LEFT(MID(K651,FIND("/",K651)+1,10),FIND("/",MID(K651,FIND("/",K651)+1,10))-1))&gt;=1,VALUE(LEFT(MID(K651,FIND("/",K651)+1,10),FIND("/",MID(K651,FIND("/",K651)+1,10))-1))&lt;=12,VALUE(LEFT(K651,FIND("/",K651)-1))&lt;=DAY(EOMONTH(DATE(VALUE(MID(MID(K651,FIND("/",K651)+1,10),FIND("/",MID(K651,FIND("/",K651)+1,10))+1,4)),VALUE(LEFT(MID(K651,FIND("/",K651)+1,10),FIND("/",MID(K651,FIND("/",K651)+1,10))-1)),1),0))),0,1),1)=1,"Date; ","")&amp;IF(IFERROR(IF(M651&gt;=0,0,1),1)=1,"Amount; ","")&amp;IF(IFERROR(IF(ISNUMBER(MATCH(N651,Lists!$B$2:$B$7,0)),0,1),1)=1,"Payment; ","")))</f>
        <v/>
      </c>
      <c r="R651" s="3" t="str">
        <f aca="false">IF(D651="","",IF(COUNTIFS($D$2:$D$701,D651,$E$2:$E$701,E651)&gt;1,"DUPLICATE","Unique"))</f>
        <v/>
      </c>
    </row>
    <row r="652" customFormat="false" ht="15" hidden="false" customHeight="false" outlineLevel="0" collapsed="false">
      <c r="A652" s="3" t="n">
        <v>651</v>
      </c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3" t="n">
        <f aca="false">IFERROR(LEN(C652&amp;D652&amp;E652&amp;F652&amp;G652&amp;H652&amp;I652&amp;J652&amp;K652&amp;L652&amp;M652&amp;N652)/5,0)</f>
        <v>0</v>
      </c>
      <c r="P652" s="3" t="str">
        <f aca="false">IF(OR(D652="",C652=""),"",IF((IFERROR(IF(AND(TRIM(D652)=D652,LEN(D652)&gt;0),0,1),1)+IFERROR(IF(AND(LEN(E652)=10,ISNUMBER(VALUE(E652))),0,1),1)+IFERROR(IF(AND(ISNUMBER(SEARCH("@",F652)),ISNUMBER(SEARCH(".",F652))),0,1),1)+IFERROR(IF(AND(LEN(J652)=6,ISNUMBER(VALUE(J652))),0,1),1)+IFERROR(IF(ISNUMBER(MATCH(TRIM(I652),Lists!$A$2:$A$20,0)),0,1),1)+IFERROR(IF(AND(LEN(K652)=10,VALUE(LEFT(K652,FIND("/",K652)-1))&gt;=1,VALUE(LEFT(K652,FIND("/",K652)-1))&lt;=31,VALUE(LEFT(MID(K652,FIND("/",K652)+1,10),FIND("/",MID(K652,FIND("/",K652)+1,10))-1))&gt;=1,VALUE(LEFT(MID(K652,FIND("/",K652)+1,10),FIND("/",MID(K652,FIND("/",K652)+1,10))-1))&lt;=12,VALUE(LEFT(K652,FIND("/",K652)-1))&lt;=DAY(EOMONTH(DATE(VALUE(MID(MID(K652,FIND("/",K652)+1,10),FIND("/",MID(K652,FIND("/",K652)+1,10))+1,4)),VALUE(LEFT(MID(K652,FIND("/",K652)+1,10),FIND("/",MID(K652,FIND("/",K652)+1,10))-1)),1),0))),0,1),1)+IFERROR(IF(M652&gt;=0,0,1),1)+IFERROR(IF(ISNUMBER(MATCH(N652,Lists!$B$2:$B$7,0)),0,1),1))=0,"OK","ERROR"))</f>
        <v/>
      </c>
      <c r="Q652" s="3" t="str">
        <f aca="false">IF(D652="","",TRIM(IF(IFERROR(IF(AND(TRIM(D652)=D652,LEN(D652)&gt;0),0,1),1)=1,"Name; ","")&amp;IF(IFERROR(IF(AND(LEN(E652)=10,ISNUMBER(VALUE(E652))),0,1),1)=1,"Phone; ","")&amp;IF(IFERROR(IF(AND(ISNUMBER(SEARCH("@",F652)),ISNUMBER(SEARCH(".",F652))),0,1),1)=1,"Email; ","")&amp;IF(IFERROR(IF(AND(LEN(J652)=6,ISNUMBER(VALUE(J652))),0,1),1)=1,"Pincode; ","")&amp;IF(IFERROR(IF(ISNUMBER(MATCH(TRIM(I652),Lists!$A$2:$A$20,0)),0,1),1)=1,"State; ","")&amp;IF(IFERROR(IF(AND(LEN(K652)=10,VALUE(LEFT(K652,FIND("/",K652)-1))&gt;=1,VALUE(LEFT(K652,FIND("/",K652)-1))&lt;=31,VALUE(LEFT(MID(K652,FIND("/",K652)+1,10),FIND("/",MID(K652,FIND("/",K652)+1,10))-1))&gt;=1,VALUE(LEFT(MID(K652,FIND("/",K652)+1,10),FIND("/",MID(K652,FIND("/",K652)+1,10))-1))&lt;=12,VALUE(LEFT(K652,FIND("/",K652)-1))&lt;=DAY(EOMONTH(DATE(VALUE(MID(MID(K652,FIND("/",K652)+1,10),FIND("/",MID(K652,FIND("/",K652)+1,10))+1,4)),VALUE(LEFT(MID(K652,FIND("/",K652)+1,10),FIND("/",MID(K652,FIND("/",K652)+1,10))-1)),1),0))),0,1),1)=1,"Date; ","")&amp;IF(IFERROR(IF(M652&gt;=0,0,1),1)=1,"Amount; ","")&amp;IF(IFERROR(IF(ISNUMBER(MATCH(N652,Lists!$B$2:$B$7,0)),0,1),1)=1,"Payment; ","")))</f>
        <v/>
      </c>
      <c r="R652" s="3" t="str">
        <f aca="false">IF(D652="","",IF(COUNTIFS($D$2:$D$701,D652,$E$2:$E$701,E652)&gt;1,"DUPLICATE","Unique"))</f>
        <v/>
      </c>
    </row>
    <row r="653" customFormat="false" ht="15" hidden="false" customHeight="false" outlineLevel="0" collapsed="false">
      <c r="A653" s="3" t="n">
        <v>652</v>
      </c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3" t="n">
        <f aca="false">IFERROR(LEN(C653&amp;D653&amp;E653&amp;F653&amp;G653&amp;H653&amp;I653&amp;J653&amp;K653&amp;L653&amp;M653&amp;N653)/5,0)</f>
        <v>0</v>
      </c>
      <c r="P653" s="3" t="str">
        <f aca="false">IF(OR(D653="",C653=""),"",IF((IFERROR(IF(AND(TRIM(D653)=D653,LEN(D653)&gt;0),0,1),1)+IFERROR(IF(AND(LEN(E653)=10,ISNUMBER(VALUE(E653))),0,1),1)+IFERROR(IF(AND(ISNUMBER(SEARCH("@",F653)),ISNUMBER(SEARCH(".",F653))),0,1),1)+IFERROR(IF(AND(LEN(J653)=6,ISNUMBER(VALUE(J653))),0,1),1)+IFERROR(IF(ISNUMBER(MATCH(TRIM(I653),Lists!$A$2:$A$20,0)),0,1),1)+IFERROR(IF(AND(LEN(K653)=10,VALUE(LEFT(K653,FIND("/",K653)-1))&gt;=1,VALUE(LEFT(K653,FIND("/",K653)-1))&lt;=31,VALUE(LEFT(MID(K653,FIND("/",K653)+1,10),FIND("/",MID(K653,FIND("/",K653)+1,10))-1))&gt;=1,VALUE(LEFT(MID(K653,FIND("/",K653)+1,10),FIND("/",MID(K653,FIND("/",K653)+1,10))-1))&lt;=12,VALUE(LEFT(K653,FIND("/",K653)-1))&lt;=DAY(EOMONTH(DATE(VALUE(MID(MID(K653,FIND("/",K653)+1,10),FIND("/",MID(K653,FIND("/",K653)+1,10))+1,4)),VALUE(LEFT(MID(K653,FIND("/",K653)+1,10),FIND("/",MID(K653,FIND("/",K653)+1,10))-1)),1),0))),0,1),1)+IFERROR(IF(M653&gt;=0,0,1),1)+IFERROR(IF(ISNUMBER(MATCH(N653,Lists!$B$2:$B$7,0)),0,1),1))=0,"OK","ERROR"))</f>
        <v/>
      </c>
      <c r="Q653" s="3" t="str">
        <f aca="false">IF(D653="","",TRIM(IF(IFERROR(IF(AND(TRIM(D653)=D653,LEN(D653)&gt;0),0,1),1)=1,"Name; ","")&amp;IF(IFERROR(IF(AND(LEN(E653)=10,ISNUMBER(VALUE(E653))),0,1),1)=1,"Phone; ","")&amp;IF(IFERROR(IF(AND(ISNUMBER(SEARCH("@",F653)),ISNUMBER(SEARCH(".",F653))),0,1),1)=1,"Email; ","")&amp;IF(IFERROR(IF(AND(LEN(J653)=6,ISNUMBER(VALUE(J653))),0,1),1)=1,"Pincode; ","")&amp;IF(IFERROR(IF(ISNUMBER(MATCH(TRIM(I653),Lists!$A$2:$A$20,0)),0,1),1)=1,"State; ","")&amp;IF(IFERROR(IF(AND(LEN(K653)=10,VALUE(LEFT(K653,FIND("/",K653)-1))&gt;=1,VALUE(LEFT(K653,FIND("/",K653)-1))&lt;=31,VALUE(LEFT(MID(K653,FIND("/",K653)+1,10),FIND("/",MID(K653,FIND("/",K653)+1,10))-1))&gt;=1,VALUE(LEFT(MID(K653,FIND("/",K653)+1,10),FIND("/",MID(K653,FIND("/",K653)+1,10))-1))&lt;=12,VALUE(LEFT(K653,FIND("/",K653)-1))&lt;=DAY(EOMONTH(DATE(VALUE(MID(MID(K653,FIND("/",K653)+1,10),FIND("/",MID(K653,FIND("/",K653)+1,10))+1,4)),VALUE(LEFT(MID(K653,FIND("/",K653)+1,10),FIND("/",MID(K653,FIND("/",K653)+1,10))-1)),1),0))),0,1),1)=1,"Date; ","")&amp;IF(IFERROR(IF(M653&gt;=0,0,1),1)=1,"Amount; ","")&amp;IF(IFERROR(IF(ISNUMBER(MATCH(N653,Lists!$B$2:$B$7,0)),0,1),1)=1,"Payment; ","")))</f>
        <v/>
      </c>
      <c r="R653" s="3" t="str">
        <f aca="false">IF(D653="","",IF(COUNTIFS($D$2:$D$701,D653,$E$2:$E$701,E653)&gt;1,"DUPLICATE","Unique"))</f>
        <v/>
      </c>
    </row>
    <row r="654" customFormat="false" ht="15" hidden="false" customHeight="false" outlineLevel="0" collapsed="false">
      <c r="A654" s="3" t="n">
        <v>653</v>
      </c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3" t="n">
        <f aca="false">IFERROR(LEN(C654&amp;D654&amp;E654&amp;F654&amp;G654&amp;H654&amp;I654&amp;J654&amp;K654&amp;L654&amp;M654&amp;N654)/5,0)</f>
        <v>0</v>
      </c>
      <c r="P654" s="3" t="str">
        <f aca="false">IF(OR(D654="",C654=""),"",IF((IFERROR(IF(AND(TRIM(D654)=D654,LEN(D654)&gt;0),0,1),1)+IFERROR(IF(AND(LEN(E654)=10,ISNUMBER(VALUE(E654))),0,1),1)+IFERROR(IF(AND(ISNUMBER(SEARCH("@",F654)),ISNUMBER(SEARCH(".",F654))),0,1),1)+IFERROR(IF(AND(LEN(J654)=6,ISNUMBER(VALUE(J654))),0,1),1)+IFERROR(IF(ISNUMBER(MATCH(TRIM(I654),Lists!$A$2:$A$20,0)),0,1),1)+IFERROR(IF(AND(LEN(K654)=10,VALUE(LEFT(K654,FIND("/",K654)-1))&gt;=1,VALUE(LEFT(K654,FIND("/",K654)-1))&lt;=31,VALUE(LEFT(MID(K654,FIND("/",K654)+1,10),FIND("/",MID(K654,FIND("/",K654)+1,10))-1))&gt;=1,VALUE(LEFT(MID(K654,FIND("/",K654)+1,10),FIND("/",MID(K654,FIND("/",K654)+1,10))-1))&lt;=12,VALUE(LEFT(K654,FIND("/",K654)-1))&lt;=DAY(EOMONTH(DATE(VALUE(MID(MID(K654,FIND("/",K654)+1,10),FIND("/",MID(K654,FIND("/",K654)+1,10))+1,4)),VALUE(LEFT(MID(K654,FIND("/",K654)+1,10),FIND("/",MID(K654,FIND("/",K654)+1,10))-1)),1),0))),0,1),1)+IFERROR(IF(M654&gt;=0,0,1),1)+IFERROR(IF(ISNUMBER(MATCH(N654,Lists!$B$2:$B$7,0)),0,1),1))=0,"OK","ERROR"))</f>
        <v/>
      </c>
      <c r="Q654" s="3" t="str">
        <f aca="false">IF(D654="","",TRIM(IF(IFERROR(IF(AND(TRIM(D654)=D654,LEN(D654)&gt;0),0,1),1)=1,"Name; ","")&amp;IF(IFERROR(IF(AND(LEN(E654)=10,ISNUMBER(VALUE(E654))),0,1),1)=1,"Phone; ","")&amp;IF(IFERROR(IF(AND(ISNUMBER(SEARCH("@",F654)),ISNUMBER(SEARCH(".",F654))),0,1),1)=1,"Email; ","")&amp;IF(IFERROR(IF(AND(LEN(J654)=6,ISNUMBER(VALUE(J654))),0,1),1)=1,"Pincode; ","")&amp;IF(IFERROR(IF(ISNUMBER(MATCH(TRIM(I654),Lists!$A$2:$A$20,0)),0,1),1)=1,"State; ","")&amp;IF(IFERROR(IF(AND(LEN(K654)=10,VALUE(LEFT(K654,FIND("/",K654)-1))&gt;=1,VALUE(LEFT(K654,FIND("/",K654)-1))&lt;=31,VALUE(LEFT(MID(K654,FIND("/",K654)+1,10),FIND("/",MID(K654,FIND("/",K654)+1,10))-1))&gt;=1,VALUE(LEFT(MID(K654,FIND("/",K654)+1,10),FIND("/",MID(K654,FIND("/",K654)+1,10))-1))&lt;=12,VALUE(LEFT(K654,FIND("/",K654)-1))&lt;=DAY(EOMONTH(DATE(VALUE(MID(MID(K654,FIND("/",K654)+1,10),FIND("/",MID(K654,FIND("/",K654)+1,10))+1,4)),VALUE(LEFT(MID(K654,FIND("/",K654)+1,10),FIND("/",MID(K654,FIND("/",K654)+1,10))-1)),1),0))),0,1),1)=1,"Date; ","")&amp;IF(IFERROR(IF(M654&gt;=0,0,1),1)=1,"Amount; ","")&amp;IF(IFERROR(IF(ISNUMBER(MATCH(N654,Lists!$B$2:$B$7,0)),0,1),1)=1,"Payment; ","")))</f>
        <v/>
      </c>
      <c r="R654" s="3" t="str">
        <f aca="false">IF(D654="","",IF(COUNTIFS($D$2:$D$701,D654,$E$2:$E$701,E654)&gt;1,"DUPLICATE","Unique"))</f>
        <v/>
      </c>
    </row>
    <row r="655" customFormat="false" ht="15" hidden="false" customHeight="false" outlineLevel="0" collapsed="false">
      <c r="A655" s="3" t="n">
        <v>654</v>
      </c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3" t="n">
        <f aca="false">IFERROR(LEN(C655&amp;D655&amp;E655&amp;F655&amp;G655&amp;H655&amp;I655&amp;J655&amp;K655&amp;L655&amp;M655&amp;N655)/5,0)</f>
        <v>0</v>
      </c>
      <c r="P655" s="3" t="str">
        <f aca="false">IF(OR(D655="",C655=""),"",IF((IFERROR(IF(AND(TRIM(D655)=D655,LEN(D655)&gt;0),0,1),1)+IFERROR(IF(AND(LEN(E655)=10,ISNUMBER(VALUE(E655))),0,1),1)+IFERROR(IF(AND(ISNUMBER(SEARCH("@",F655)),ISNUMBER(SEARCH(".",F655))),0,1),1)+IFERROR(IF(AND(LEN(J655)=6,ISNUMBER(VALUE(J655))),0,1),1)+IFERROR(IF(ISNUMBER(MATCH(TRIM(I655),Lists!$A$2:$A$20,0)),0,1),1)+IFERROR(IF(AND(LEN(K655)=10,VALUE(LEFT(K655,FIND("/",K655)-1))&gt;=1,VALUE(LEFT(K655,FIND("/",K655)-1))&lt;=31,VALUE(LEFT(MID(K655,FIND("/",K655)+1,10),FIND("/",MID(K655,FIND("/",K655)+1,10))-1))&gt;=1,VALUE(LEFT(MID(K655,FIND("/",K655)+1,10),FIND("/",MID(K655,FIND("/",K655)+1,10))-1))&lt;=12,VALUE(LEFT(K655,FIND("/",K655)-1))&lt;=DAY(EOMONTH(DATE(VALUE(MID(MID(K655,FIND("/",K655)+1,10),FIND("/",MID(K655,FIND("/",K655)+1,10))+1,4)),VALUE(LEFT(MID(K655,FIND("/",K655)+1,10),FIND("/",MID(K655,FIND("/",K655)+1,10))-1)),1),0))),0,1),1)+IFERROR(IF(M655&gt;=0,0,1),1)+IFERROR(IF(ISNUMBER(MATCH(N655,Lists!$B$2:$B$7,0)),0,1),1))=0,"OK","ERROR"))</f>
        <v/>
      </c>
      <c r="Q655" s="3" t="str">
        <f aca="false">IF(D655="","",TRIM(IF(IFERROR(IF(AND(TRIM(D655)=D655,LEN(D655)&gt;0),0,1),1)=1,"Name; ","")&amp;IF(IFERROR(IF(AND(LEN(E655)=10,ISNUMBER(VALUE(E655))),0,1),1)=1,"Phone; ","")&amp;IF(IFERROR(IF(AND(ISNUMBER(SEARCH("@",F655)),ISNUMBER(SEARCH(".",F655))),0,1),1)=1,"Email; ","")&amp;IF(IFERROR(IF(AND(LEN(J655)=6,ISNUMBER(VALUE(J655))),0,1),1)=1,"Pincode; ","")&amp;IF(IFERROR(IF(ISNUMBER(MATCH(TRIM(I655),Lists!$A$2:$A$20,0)),0,1),1)=1,"State; ","")&amp;IF(IFERROR(IF(AND(LEN(K655)=10,VALUE(LEFT(K655,FIND("/",K655)-1))&gt;=1,VALUE(LEFT(K655,FIND("/",K655)-1))&lt;=31,VALUE(LEFT(MID(K655,FIND("/",K655)+1,10),FIND("/",MID(K655,FIND("/",K655)+1,10))-1))&gt;=1,VALUE(LEFT(MID(K655,FIND("/",K655)+1,10),FIND("/",MID(K655,FIND("/",K655)+1,10))-1))&lt;=12,VALUE(LEFT(K655,FIND("/",K655)-1))&lt;=DAY(EOMONTH(DATE(VALUE(MID(MID(K655,FIND("/",K655)+1,10),FIND("/",MID(K655,FIND("/",K655)+1,10))+1,4)),VALUE(LEFT(MID(K655,FIND("/",K655)+1,10),FIND("/",MID(K655,FIND("/",K655)+1,10))-1)),1),0))),0,1),1)=1,"Date; ","")&amp;IF(IFERROR(IF(M655&gt;=0,0,1),1)=1,"Amount; ","")&amp;IF(IFERROR(IF(ISNUMBER(MATCH(N655,Lists!$B$2:$B$7,0)),0,1),1)=1,"Payment; ","")))</f>
        <v/>
      </c>
      <c r="R655" s="3" t="str">
        <f aca="false">IF(D655="","",IF(COUNTIFS($D$2:$D$701,D655,$E$2:$E$701,E655)&gt;1,"DUPLICATE","Unique"))</f>
        <v/>
      </c>
    </row>
    <row r="656" customFormat="false" ht="15" hidden="false" customHeight="false" outlineLevel="0" collapsed="false">
      <c r="A656" s="3" t="n">
        <v>655</v>
      </c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3" t="n">
        <f aca="false">IFERROR(LEN(C656&amp;D656&amp;E656&amp;F656&amp;G656&amp;H656&amp;I656&amp;J656&amp;K656&amp;L656&amp;M656&amp;N656)/5,0)</f>
        <v>0</v>
      </c>
      <c r="P656" s="3" t="str">
        <f aca="false">IF(OR(D656="",C656=""),"",IF((IFERROR(IF(AND(TRIM(D656)=D656,LEN(D656)&gt;0),0,1),1)+IFERROR(IF(AND(LEN(E656)=10,ISNUMBER(VALUE(E656))),0,1),1)+IFERROR(IF(AND(ISNUMBER(SEARCH("@",F656)),ISNUMBER(SEARCH(".",F656))),0,1),1)+IFERROR(IF(AND(LEN(J656)=6,ISNUMBER(VALUE(J656))),0,1),1)+IFERROR(IF(ISNUMBER(MATCH(TRIM(I656),Lists!$A$2:$A$20,0)),0,1),1)+IFERROR(IF(AND(LEN(K656)=10,VALUE(LEFT(K656,FIND("/",K656)-1))&gt;=1,VALUE(LEFT(K656,FIND("/",K656)-1))&lt;=31,VALUE(LEFT(MID(K656,FIND("/",K656)+1,10),FIND("/",MID(K656,FIND("/",K656)+1,10))-1))&gt;=1,VALUE(LEFT(MID(K656,FIND("/",K656)+1,10),FIND("/",MID(K656,FIND("/",K656)+1,10))-1))&lt;=12,VALUE(LEFT(K656,FIND("/",K656)-1))&lt;=DAY(EOMONTH(DATE(VALUE(MID(MID(K656,FIND("/",K656)+1,10),FIND("/",MID(K656,FIND("/",K656)+1,10))+1,4)),VALUE(LEFT(MID(K656,FIND("/",K656)+1,10),FIND("/",MID(K656,FIND("/",K656)+1,10))-1)),1),0))),0,1),1)+IFERROR(IF(M656&gt;=0,0,1),1)+IFERROR(IF(ISNUMBER(MATCH(N656,Lists!$B$2:$B$7,0)),0,1),1))=0,"OK","ERROR"))</f>
        <v/>
      </c>
      <c r="Q656" s="3" t="str">
        <f aca="false">IF(D656="","",TRIM(IF(IFERROR(IF(AND(TRIM(D656)=D656,LEN(D656)&gt;0),0,1),1)=1,"Name; ","")&amp;IF(IFERROR(IF(AND(LEN(E656)=10,ISNUMBER(VALUE(E656))),0,1),1)=1,"Phone; ","")&amp;IF(IFERROR(IF(AND(ISNUMBER(SEARCH("@",F656)),ISNUMBER(SEARCH(".",F656))),0,1),1)=1,"Email; ","")&amp;IF(IFERROR(IF(AND(LEN(J656)=6,ISNUMBER(VALUE(J656))),0,1),1)=1,"Pincode; ","")&amp;IF(IFERROR(IF(ISNUMBER(MATCH(TRIM(I656),Lists!$A$2:$A$20,0)),0,1),1)=1,"State; ","")&amp;IF(IFERROR(IF(AND(LEN(K656)=10,VALUE(LEFT(K656,FIND("/",K656)-1))&gt;=1,VALUE(LEFT(K656,FIND("/",K656)-1))&lt;=31,VALUE(LEFT(MID(K656,FIND("/",K656)+1,10),FIND("/",MID(K656,FIND("/",K656)+1,10))-1))&gt;=1,VALUE(LEFT(MID(K656,FIND("/",K656)+1,10),FIND("/",MID(K656,FIND("/",K656)+1,10))-1))&lt;=12,VALUE(LEFT(K656,FIND("/",K656)-1))&lt;=DAY(EOMONTH(DATE(VALUE(MID(MID(K656,FIND("/",K656)+1,10),FIND("/",MID(K656,FIND("/",K656)+1,10))+1,4)),VALUE(LEFT(MID(K656,FIND("/",K656)+1,10),FIND("/",MID(K656,FIND("/",K656)+1,10))-1)),1),0))),0,1),1)=1,"Date; ","")&amp;IF(IFERROR(IF(M656&gt;=0,0,1),1)=1,"Amount; ","")&amp;IF(IFERROR(IF(ISNUMBER(MATCH(N656,Lists!$B$2:$B$7,0)),0,1),1)=1,"Payment; ","")))</f>
        <v/>
      </c>
      <c r="R656" s="3" t="str">
        <f aca="false">IF(D656="","",IF(COUNTIFS($D$2:$D$701,D656,$E$2:$E$701,E656)&gt;1,"DUPLICATE","Unique"))</f>
        <v/>
      </c>
    </row>
    <row r="657" customFormat="false" ht="15" hidden="false" customHeight="false" outlineLevel="0" collapsed="false">
      <c r="A657" s="3" t="n">
        <v>656</v>
      </c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3" t="n">
        <f aca="false">IFERROR(LEN(C657&amp;D657&amp;E657&amp;F657&amp;G657&amp;H657&amp;I657&amp;J657&amp;K657&amp;L657&amp;M657&amp;N657)/5,0)</f>
        <v>0</v>
      </c>
      <c r="P657" s="3" t="str">
        <f aca="false">IF(OR(D657="",C657=""),"",IF((IFERROR(IF(AND(TRIM(D657)=D657,LEN(D657)&gt;0),0,1),1)+IFERROR(IF(AND(LEN(E657)=10,ISNUMBER(VALUE(E657))),0,1),1)+IFERROR(IF(AND(ISNUMBER(SEARCH("@",F657)),ISNUMBER(SEARCH(".",F657))),0,1),1)+IFERROR(IF(AND(LEN(J657)=6,ISNUMBER(VALUE(J657))),0,1),1)+IFERROR(IF(ISNUMBER(MATCH(TRIM(I657),Lists!$A$2:$A$20,0)),0,1),1)+IFERROR(IF(AND(LEN(K657)=10,VALUE(LEFT(K657,FIND("/",K657)-1))&gt;=1,VALUE(LEFT(K657,FIND("/",K657)-1))&lt;=31,VALUE(LEFT(MID(K657,FIND("/",K657)+1,10),FIND("/",MID(K657,FIND("/",K657)+1,10))-1))&gt;=1,VALUE(LEFT(MID(K657,FIND("/",K657)+1,10),FIND("/",MID(K657,FIND("/",K657)+1,10))-1))&lt;=12,VALUE(LEFT(K657,FIND("/",K657)-1))&lt;=DAY(EOMONTH(DATE(VALUE(MID(MID(K657,FIND("/",K657)+1,10),FIND("/",MID(K657,FIND("/",K657)+1,10))+1,4)),VALUE(LEFT(MID(K657,FIND("/",K657)+1,10),FIND("/",MID(K657,FIND("/",K657)+1,10))-1)),1),0))),0,1),1)+IFERROR(IF(M657&gt;=0,0,1),1)+IFERROR(IF(ISNUMBER(MATCH(N657,Lists!$B$2:$B$7,0)),0,1),1))=0,"OK","ERROR"))</f>
        <v/>
      </c>
      <c r="Q657" s="3" t="str">
        <f aca="false">IF(D657="","",TRIM(IF(IFERROR(IF(AND(TRIM(D657)=D657,LEN(D657)&gt;0),0,1),1)=1,"Name; ","")&amp;IF(IFERROR(IF(AND(LEN(E657)=10,ISNUMBER(VALUE(E657))),0,1),1)=1,"Phone; ","")&amp;IF(IFERROR(IF(AND(ISNUMBER(SEARCH("@",F657)),ISNUMBER(SEARCH(".",F657))),0,1),1)=1,"Email; ","")&amp;IF(IFERROR(IF(AND(LEN(J657)=6,ISNUMBER(VALUE(J657))),0,1),1)=1,"Pincode; ","")&amp;IF(IFERROR(IF(ISNUMBER(MATCH(TRIM(I657),Lists!$A$2:$A$20,0)),0,1),1)=1,"State; ","")&amp;IF(IFERROR(IF(AND(LEN(K657)=10,VALUE(LEFT(K657,FIND("/",K657)-1))&gt;=1,VALUE(LEFT(K657,FIND("/",K657)-1))&lt;=31,VALUE(LEFT(MID(K657,FIND("/",K657)+1,10),FIND("/",MID(K657,FIND("/",K657)+1,10))-1))&gt;=1,VALUE(LEFT(MID(K657,FIND("/",K657)+1,10),FIND("/",MID(K657,FIND("/",K657)+1,10))-1))&lt;=12,VALUE(LEFT(K657,FIND("/",K657)-1))&lt;=DAY(EOMONTH(DATE(VALUE(MID(MID(K657,FIND("/",K657)+1,10),FIND("/",MID(K657,FIND("/",K657)+1,10))+1,4)),VALUE(LEFT(MID(K657,FIND("/",K657)+1,10),FIND("/",MID(K657,FIND("/",K657)+1,10))-1)),1),0))),0,1),1)=1,"Date; ","")&amp;IF(IFERROR(IF(M657&gt;=0,0,1),1)=1,"Amount; ","")&amp;IF(IFERROR(IF(ISNUMBER(MATCH(N657,Lists!$B$2:$B$7,0)),0,1),1)=1,"Payment; ","")))</f>
        <v/>
      </c>
      <c r="R657" s="3" t="str">
        <f aca="false">IF(D657="","",IF(COUNTIFS($D$2:$D$701,D657,$E$2:$E$701,E657)&gt;1,"DUPLICATE","Unique"))</f>
        <v/>
      </c>
    </row>
    <row r="658" customFormat="false" ht="15" hidden="false" customHeight="false" outlineLevel="0" collapsed="false">
      <c r="A658" s="3" t="n">
        <v>657</v>
      </c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3" t="n">
        <f aca="false">IFERROR(LEN(C658&amp;D658&amp;E658&amp;F658&amp;G658&amp;H658&amp;I658&amp;J658&amp;K658&amp;L658&amp;M658&amp;N658)/5,0)</f>
        <v>0</v>
      </c>
      <c r="P658" s="3" t="str">
        <f aca="false">IF(OR(D658="",C658=""),"",IF((IFERROR(IF(AND(TRIM(D658)=D658,LEN(D658)&gt;0),0,1),1)+IFERROR(IF(AND(LEN(E658)=10,ISNUMBER(VALUE(E658))),0,1),1)+IFERROR(IF(AND(ISNUMBER(SEARCH("@",F658)),ISNUMBER(SEARCH(".",F658))),0,1),1)+IFERROR(IF(AND(LEN(J658)=6,ISNUMBER(VALUE(J658))),0,1),1)+IFERROR(IF(ISNUMBER(MATCH(TRIM(I658),Lists!$A$2:$A$20,0)),0,1),1)+IFERROR(IF(AND(LEN(K658)=10,VALUE(LEFT(K658,FIND("/",K658)-1))&gt;=1,VALUE(LEFT(K658,FIND("/",K658)-1))&lt;=31,VALUE(LEFT(MID(K658,FIND("/",K658)+1,10),FIND("/",MID(K658,FIND("/",K658)+1,10))-1))&gt;=1,VALUE(LEFT(MID(K658,FIND("/",K658)+1,10),FIND("/",MID(K658,FIND("/",K658)+1,10))-1))&lt;=12,VALUE(LEFT(K658,FIND("/",K658)-1))&lt;=DAY(EOMONTH(DATE(VALUE(MID(MID(K658,FIND("/",K658)+1,10),FIND("/",MID(K658,FIND("/",K658)+1,10))+1,4)),VALUE(LEFT(MID(K658,FIND("/",K658)+1,10),FIND("/",MID(K658,FIND("/",K658)+1,10))-1)),1),0))),0,1),1)+IFERROR(IF(M658&gt;=0,0,1),1)+IFERROR(IF(ISNUMBER(MATCH(N658,Lists!$B$2:$B$7,0)),0,1),1))=0,"OK","ERROR"))</f>
        <v/>
      </c>
      <c r="Q658" s="3" t="str">
        <f aca="false">IF(D658="","",TRIM(IF(IFERROR(IF(AND(TRIM(D658)=D658,LEN(D658)&gt;0),0,1),1)=1,"Name; ","")&amp;IF(IFERROR(IF(AND(LEN(E658)=10,ISNUMBER(VALUE(E658))),0,1),1)=1,"Phone; ","")&amp;IF(IFERROR(IF(AND(ISNUMBER(SEARCH("@",F658)),ISNUMBER(SEARCH(".",F658))),0,1),1)=1,"Email; ","")&amp;IF(IFERROR(IF(AND(LEN(J658)=6,ISNUMBER(VALUE(J658))),0,1),1)=1,"Pincode; ","")&amp;IF(IFERROR(IF(ISNUMBER(MATCH(TRIM(I658),Lists!$A$2:$A$20,0)),0,1),1)=1,"State; ","")&amp;IF(IFERROR(IF(AND(LEN(K658)=10,VALUE(LEFT(K658,FIND("/",K658)-1))&gt;=1,VALUE(LEFT(K658,FIND("/",K658)-1))&lt;=31,VALUE(LEFT(MID(K658,FIND("/",K658)+1,10),FIND("/",MID(K658,FIND("/",K658)+1,10))-1))&gt;=1,VALUE(LEFT(MID(K658,FIND("/",K658)+1,10),FIND("/",MID(K658,FIND("/",K658)+1,10))-1))&lt;=12,VALUE(LEFT(K658,FIND("/",K658)-1))&lt;=DAY(EOMONTH(DATE(VALUE(MID(MID(K658,FIND("/",K658)+1,10),FIND("/",MID(K658,FIND("/",K658)+1,10))+1,4)),VALUE(LEFT(MID(K658,FIND("/",K658)+1,10),FIND("/",MID(K658,FIND("/",K658)+1,10))-1)),1),0))),0,1),1)=1,"Date; ","")&amp;IF(IFERROR(IF(M658&gt;=0,0,1),1)=1,"Amount; ","")&amp;IF(IFERROR(IF(ISNUMBER(MATCH(N658,Lists!$B$2:$B$7,0)),0,1),1)=1,"Payment; ","")))</f>
        <v/>
      </c>
      <c r="R658" s="3" t="str">
        <f aca="false">IF(D658="","",IF(COUNTIFS($D$2:$D$701,D658,$E$2:$E$701,E658)&gt;1,"DUPLICATE","Unique"))</f>
        <v/>
      </c>
    </row>
    <row r="659" customFormat="false" ht="15" hidden="false" customHeight="false" outlineLevel="0" collapsed="false">
      <c r="A659" s="3" t="n">
        <v>658</v>
      </c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3" t="n">
        <f aca="false">IFERROR(LEN(C659&amp;D659&amp;E659&amp;F659&amp;G659&amp;H659&amp;I659&amp;J659&amp;K659&amp;L659&amp;M659&amp;N659)/5,0)</f>
        <v>0</v>
      </c>
      <c r="P659" s="3" t="str">
        <f aca="false">IF(OR(D659="",C659=""),"",IF((IFERROR(IF(AND(TRIM(D659)=D659,LEN(D659)&gt;0),0,1),1)+IFERROR(IF(AND(LEN(E659)=10,ISNUMBER(VALUE(E659))),0,1),1)+IFERROR(IF(AND(ISNUMBER(SEARCH("@",F659)),ISNUMBER(SEARCH(".",F659))),0,1),1)+IFERROR(IF(AND(LEN(J659)=6,ISNUMBER(VALUE(J659))),0,1),1)+IFERROR(IF(ISNUMBER(MATCH(TRIM(I659),Lists!$A$2:$A$20,0)),0,1),1)+IFERROR(IF(AND(LEN(K659)=10,VALUE(LEFT(K659,FIND("/",K659)-1))&gt;=1,VALUE(LEFT(K659,FIND("/",K659)-1))&lt;=31,VALUE(LEFT(MID(K659,FIND("/",K659)+1,10),FIND("/",MID(K659,FIND("/",K659)+1,10))-1))&gt;=1,VALUE(LEFT(MID(K659,FIND("/",K659)+1,10),FIND("/",MID(K659,FIND("/",K659)+1,10))-1))&lt;=12,VALUE(LEFT(K659,FIND("/",K659)-1))&lt;=DAY(EOMONTH(DATE(VALUE(MID(MID(K659,FIND("/",K659)+1,10),FIND("/",MID(K659,FIND("/",K659)+1,10))+1,4)),VALUE(LEFT(MID(K659,FIND("/",K659)+1,10),FIND("/",MID(K659,FIND("/",K659)+1,10))-1)),1),0))),0,1),1)+IFERROR(IF(M659&gt;=0,0,1),1)+IFERROR(IF(ISNUMBER(MATCH(N659,Lists!$B$2:$B$7,0)),0,1),1))=0,"OK","ERROR"))</f>
        <v/>
      </c>
      <c r="Q659" s="3" t="str">
        <f aca="false">IF(D659="","",TRIM(IF(IFERROR(IF(AND(TRIM(D659)=D659,LEN(D659)&gt;0),0,1),1)=1,"Name; ","")&amp;IF(IFERROR(IF(AND(LEN(E659)=10,ISNUMBER(VALUE(E659))),0,1),1)=1,"Phone; ","")&amp;IF(IFERROR(IF(AND(ISNUMBER(SEARCH("@",F659)),ISNUMBER(SEARCH(".",F659))),0,1),1)=1,"Email; ","")&amp;IF(IFERROR(IF(AND(LEN(J659)=6,ISNUMBER(VALUE(J659))),0,1),1)=1,"Pincode; ","")&amp;IF(IFERROR(IF(ISNUMBER(MATCH(TRIM(I659),Lists!$A$2:$A$20,0)),0,1),1)=1,"State; ","")&amp;IF(IFERROR(IF(AND(LEN(K659)=10,VALUE(LEFT(K659,FIND("/",K659)-1))&gt;=1,VALUE(LEFT(K659,FIND("/",K659)-1))&lt;=31,VALUE(LEFT(MID(K659,FIND("/",K659)+1,10),FIND("/",MID(K659,FIND("/",K659)+1,10))-1))&gt;=1,VALUE(LEFT(MID(K659,FIND("/",K659)+1,10),FIND("/",MID(K659,FIND("/",K659)+1,10))-1))&lt;=12,VALUE(LEFT(K659,FIND("/",K659)-1))&lt;=DAY(EOMONTH(DATE(VALUE(MID(MID(K659,FIND("/",K659)+1,10),FIND("/",MID(K659,FIND("/",K659)+1,10))+1,4)),VALUE(LEFT(MID(K659,FIND("/",K659)+1,10),FIND("/",MID(K659,FIND("/",K659)+1,10))-1)),1),0))),0,1),1)=1,"Date; ","")&amp;IF(IFERROR(IF(M659&gt;=0,0,1),1)=1,"Amount; ","")&amp;IF(IFERROR(IF(ISNUMBER(MATCH(N659,Lists!$B$2:$B$7,0)),0,1),1)=1,"Payment; ","")))</f>
        <v/>
      </c>
      <c r="R659" s="3" t="str">
        <f aca="false">IF(D659="","",IF(COUNTIFS($D$2:$D$701,D659,$E$2:$E$701,E659)&gt;1,"DUPLICATE","Unique"))</f>
        <v/>
      </c>
    </row>
    <row r="660" customFormat="false" ht="15" hidden="false" customHeight="false" outlineLevel="0" collapsed="false">
      <c r="A660" s="3" t="n">
        <v>659</v>
      </c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3" t="n">
        <f aca="false">IFERROR(LEN(C660&amp;D660&amp;E660&amp;F660&amp;G660&amp;H660&amp;I660&amp;J660&amp;K660&amp;L660&amp;M660&amp;N660)/5,0)</f>
        <v>0</v>
      </c>
      <c r="P660" s="3" t="str">
        <f aca="false">IF(OR(D660="",C660=""),"",IF((IFERROR(IF(AND(TRIM(D660)=D660,LEN(D660)&gt;0),0,1),1)+IFERROR(IF(AND(LEN(E660)=10,ISNUMBER(VALUE(E660))),0,1),1)+IFERROR(IF(AND(ISNUMBER(SEARCH("@",F660)),ISNUMBER(SEARCH(".",F660))),0,1),1)+IFERROR(IF(AND(LEN(J660)=6,ISNUMBER(VALUE(J660))),0,1),1)+IFERROR(IF(ISNUMBER(MATCH(TRIM(I660),Lists!$A$2:$A$20,0)),0,1),1)+IFERROR(IF(AND(LEN(K660)=10,VALUE(LEFT(K660,FIND("/",K660)-1))&gt;=1,VALUE(LEFT(K660,FIND("/",K660)-1))&lt;=31,VALUE(LEFT(MID(K660,FIND("/",K660)+1,10),FIND("/",MID(K660,FIND("/",K660)+1,10))-1))&gt;=1,VALUE(LEFT(MID(K660,FIND("/",K660)+1,10),FIND("/",MID(K660,FIND("/",K660)+1,10))-1))&lt;=12,VALUE(LEFT(K660,FIND("/",K660)-1))&lt;=DAY(EOMONTH(DATE(VALUE(MID(MID(K660,FIND("/",K660)+1,10),FIND("/",MID(K660,FIND("/",K660)+1,10))+1,4)),VALUE(LEFT(MID(K660,FIND("/",K660)+1,10),FIND("/",MID(K660,FIND("/",K660)+1,10))-1)),1),0))),0,1),1)+IFERROR(IF(M660&gt;=0,0,1),1)+IFERROR(IF(ISNUMBER(MATCH(N660,Lists!$B$2:$B$7,0)),0,1),1))=0,"OK","ERROR"))</f>
        <v/>
      </c>
      <c r="Q660" s="3" t="str">
        <f aca="false">IF(D660="","",TRIM(IF(IFERROR(IF(AND(TRIM(D660)=D660,LEN(D660)&gt;0),0,1),1)=1,"Name; ","")&amp;IF(IFERROR(IF(AND(LEN(E660)=10,ISNUMBER(VALUE(E660))),0,1),1)=1,"Phone; ","")&amp;IF(IFERROR(IF(AND(ISNUMBER(SEARCH("@",F660)),ISNUMBER(SEARCH(".",F660))),0,1),1)=1,"Email; ","")&amp;IF(IFERROR(IF(AND(LEN(J660)=6,ISNUMBER(VALUE(J660))),0,1),1)=1,"Pincode; ","")&amp;IF(IFERROR(IF(ISNUMBER(MATCH(TRIM(I660),Lists!$A$2:$A$20,0)),0,1),1)=1,"State; ","")&amp;IF(IFERROR(IF(AND(LEN(K660)=10,VALUE(LEFT(K660,FIND("/",K660)-1))&gt;=1,VALUE(LEFT(K660,FIND("/",K660)-1))&lt;=31,VALUE(LEFT(MID(K660,FIND("/",K660)+1,10),FIND("/",MID(K660,FIND("/",K660)+1,10))-1))&gt;=1,VALUE(LEFT(MID(K660,FIND("/",K660)+1,10),FIND("/",MID(K660,FIND("/",K660)+1,10))-1))&lt;=12,VALUE(LEFT(K660,FIND("/",K660)-1))&lt;=DAY(EOMONTH(DATE(VALUE(MID(MID(K660,FIND("/",K660)+1,10),FIND("/",MID(K660,FIND("/",K660)+1,10))+1,4)),VALUE(LEFT(MID(K660,FIND("/",K660)+1,10),FIND("/",MID(K660,FIND("/",K660)+1,10))-1)),1),0))),0,1),1)=1,"Date; ","")&amp;IF(IFERROR(IF(M660&gt;=0,0,1),1)=1,"Amount; ","")&amp;IF(IFERROR(IF(ISNUMBER(MATCH(N660,Lists!$B$2:$B$7,0)),0,1),1)=1,"Payment; ","")))</f>
        <v/>
      </c>
      <c r="R660" s="3" t="str">
        <f aca="false">IF(D660="","",IF(COUNTIFS($D$2:$D$701,D660,$E$2:$E$701,E660)&gt;1,"DUPLICATE","Unique"))</f>
        <v/>
      </c>
    </row>
    <row r="661" customFormat="false" ht="15" hidden="false" customHeight="false" outlineLevel="0" collapsed="false">
      <c r="A661" s="3" t="n">
        <v>660</v>
      </c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3" t="n">
        <f aca="false">IFERROR(LEN(C661&amp;D661&amp;E661&amp;F661&amp;G661&amp;H661&amp;I661&amp;J661&amp;K661&amp;L661&amp;M661&amp;N661)/5,0)</f>
        <v>0</v>
      </c>
      <c r="P661" s="3" t="str">
        <f aca="false">IF(OR(D661="",C661=""),"",IF((IFERROR(IF(AND(TRIM(D661)=D661,LEN(D661)&gt;0),0,1),1)+IFERROR(IF(AND(LEN(E661)=10,ISNUMBER(VALUE(E661))),0,1),1)+IFERROR(IF(AND(ISNUMBER(SEARCH("@",F661)),ISNUMBER(SEARCH(".",F661))),0,1),1)+IFERROR(IF(AND(LEN(J661)=6,ISNUMBER(VALUE(J661))),0,1),1)+IFERROR(IF(ISNUMBER(MATCH(TRIM(I661),Lists!$A$2:$A$20,0)),0,1),1)+IFERROR(IF(AND(LEN(K661)=10,VALUE(LEFT(K661,FIND("/",K661)-1))&gt;=1,VALUE(LEFT(K661,FIND("/",K661)-1))&lt;=31,VALUE(LEFT(MID(K661,FIND("/",K661)+1,10),FIND("/",MID(K661,FIND("/",K661)+1,10))-1))&gt;=1,VALUE(LEFT(MID(K661,FIND("/",K661)+1,10),FIND("/",MID(K661,FIND("/",K661)+1,10))-1))&lt;=12,VALUE(LEFT(K661,FIND("/",K661)-1))&lt;=DAY(EOMONTH(DATE(VALUE(MID(MID(K661,FIND("/",K661)+1,10),FIND("/",MID(K661,FIND("/",K661)+1,10))+1,4)),VALUE(LEFT(MID(K661,FIND("/",K661)+1,10),FIND("/",MID(K661,FIND("/",K661)+1,10))-1)),1),0))),0,1),1)+IFERROR(IF(M661&gt;=0,0,1),1)+IFERROR(IF(ISNUMBER(MATCH(N661,Lists!$B$2:$B$7,0)),0,1),1))=0,"OK","ERROR"))</f>
        <v/>
      </c>
      <c r="Q661" s="3" t="str">
        <f aca="false">IF(D661="","",TRIM(IF(IFERROR(IF(AND(TRIM(D661)=D661,LEN(D661)&gt;0),0,1),1)=1,"Name; ","")&amp;IF(IFERROR(IF(AND(LEN(E661)=10,ISNUMBER(VALUE(E661))),0,1),1)=1,"Phone; ","")&amp;IF(IFERROR(IF(AND(ISNUMBER(SEARCH("@",F661)),ISNUMBER(SEARCH(".",F661))),0,1),1)=1,"Email; ","")&amp;IF(IFERROR(IF(AND(LEN(J661)=6,ISNUMBER(VALUE(J661))),0,1),1)=1,"Pincode; ","")&amp;IF(IFERROR(IF(ISNUMBER(MATCH(TRIM(I661),Lists!$A$2:$A$20,0)),0,1),1)=1,"State; ","")&amp;IF(IFERROR(IF(AND(LEN(K661)=10,VALUE(LEFT(K661,FIND("/",K661)-1))&gt;=1,VALUE(LEFT(K661,FIND("/",K661)-1))&lt;=31,VALUE(LEFT(MID(K661,FIND("/",K661)+1,10),FIND("/",MID(K661,FIND("/",K661)+1,10))-1))&gt;=1,VALUE(LEFT(MID(K661,FIND("/",K661)+1,10),FIND("/",MID(K661,FIND("/",K661)+1,10))-1))&lt;=12,VALUE(LEFT(K661,FIND("/",K661)-1))&lt;=DAY(EOMONTH(DATE(VALUE(MID(MID(K661,FIND("/",K661)+1,10),FIND("/",MID(K661,FIND("/",K661)+1,10))+1,4)),VALUE(LEFT(MID(K661,FIND("/",K661)+1,10),FIND("/",MID(K661,FIND("/",K661)+1,10))-1)),1),0))),0,1),1)=1,"Date; ","")&amp;IF(IFERROR(IF(M661&gt;=0,0,1),1)=1,"Amount; ","")&amp;IF(IFERROR(IF(ISNUMBER(MATCH(N661,Lists!$B$2:$B$7,0)),0,1),1)=1,"Payment; ","")))</f>
        <v/>
      </c>
      <c r="R661" s="3" t="str">
        <f aca="false">IF(D661="","",IF(COUNTIFS($D$2:$D$701,D661,$E$2:$E$701,E661)&gt;1,"DUPLICATE","Unique"))</f>
        <v/>
      </c>
    </row>
    <row r="662" customFormat="false" ht="15" hidden="false" customHeight="false" outlineLevel="0" collapsed="false">
      <c r="A662" s="3" t="n">
        <v>661</v>
      </c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3" t="n">
        <f aca="false">IFERROR(LEN(C662&amp;D662&amp;E662&amp;F662&amp;G662&amp;H662&amp;I662&amp;J662&amp;K662&amp;L662&amp;M662&amp;N662)/5,0)</f>
        <v>0</v>
      </c>
      <c r="P662" s="3" t="str">
        <f aca="false">IF(OR(D662="",C662=""),"",IF((IFERROR(IF(AND(TRIM(D662)=D662,LEN(D662)&gt;0),0,1),1)+IFERROR(IF(AND(LEN(E662)=10,ISNUMBER(VALUE(E662))),0,1),1)+IFERROR(IF(AND(ISNUMBER(SEARCH("@",F662)),ISNUMBER(SEARCH(".",F662))),0,1),1)+IFERROR(IF(AND(LEN(J662)=6,ISNUMBER(VALUE(J662))),0,1),1)+IFERROR(IF(ISNUMBER(MATCH(TRIM(I662),Lists!$A$2:$A$20,0)),0,1),1)+IFERROR(IF(AND(LEN(K662)=10,VALUE(LEFT(K662,FIND("/",K662)-1))&gt;=1,VALUE(LEFT(K662,FIND("/",K662)-1))&lt;=31,VALUE(LEFT(MID(K662,FIND("/",K662)+1,10),FIND("/",MID(K662,FIND("/",K662)+1,10))-1))&gt;=1,VALUE(LEFT(MID(K662,FIND("/",K662)+1,10),FIND("/",MID(K662,FIND("/",K662)+1,10))-1))&lt;=12,VALUE(LEFT(K662,FIND("/",K662)-1))&lt;=DAY(EOMONTH(DATE(VALUE(MID(MID(K662,FIND("/",K662)+1,10),FIND("/",MID(K662,FIND("/",K662)+1,10))+1,4)),VALUE(LEFT(MID(K662,FIND("/",K662)+1,10),FIND("/",MID(K662,FIND("/",K662)+1,10))-1)),1),0))),0,1),1)+IFERROR(IF(M662&gt;=0,0,1),1)+IFERROR(IF(ISNUMBER(MATCH(N662,Lists!$B$2:$B$7,0)),0,1),1))=0,"OK","ERROR"))</f>
        <v/>
      </c>
      <c r="Q662" s="3" t="str">
        <f aca="false">IF(D662="","",TRIM(IF(IFERROR(IF(AND(TRIM(D662)=D662,LEN(D662)&gt;0),0,1),1)=1,"Name; ","")&amp;IF(IFERROR(IF(AND(LEN(E662)=10,ISNUMBER(VALUE(E662))),0,1),1)=1,"Phone; ","")&amp;IF(IFERROR(IF(AND(ISNUMBER(SEARCH("@",F662)),ISNUMBER(SEARCH(".",F662))),0,1),1)=1,"Email; ","")&amp;IF(IFERROR(IF(AND(LEN(J662)=6,ISNUMBER(VALUE(J662))),0,1),1)=1,"Pincode; ","")&amp;IF(IFERROR(IF(ISNUMBER(MATCH(TRIM(I662),Lists!$A$2:$A$20,0)),0,1),1)=1,"State; ","")&amp;IF(IFERROR(IF(AND(LEN(K662)=10,VALUE(LEFT(K662,FIND("/",K662)-1))&gt;=1,VALUE(LEFT(K662,FIND("/",K662)-1))&lt;=31,VALUE(LEFT(MID(K662,FIND("/",K662)+1,10),FIND("/",MID(K662,FIND("/",K662)+1,10))-1))&gt;=1,VALUE(LEFT(MID(K662,FIND("/",K662)+1,10),FIND("/",MID(K662,FIND("/",K662)+1,10))-1))&lt;=12,VALUE(LEFT(K662,FIND("/",K662)-1))&lt;=DAY(EOMONTH(DATE(VALUE(MID(MID(K662,FIND("/",K662)+1,10),FIND("/",MID(K662,FIND("/",K662)+1,10))+1,4)),VALUE(LEFT(MID(K662,FIND("/",K662)+1,10),FIND("/",MID(K662,FIND("/",K662)+1,10))-1)),1),0))),0,1),1)=1,"Date; ","")&amp;IF(IFERROR(IF(M662&gt;=0,0,1),1)=1,"Amount; ","")&amp;IF(IFERROR(IF(ISNUMBER(MATCH(N662,Lists!$B$2:$B$7,0)),0,1),1)=1,"Payment; ","")))</f>
        <v/>
      </c>
      <c r="R662" s="3" t="str">
        <f aca="false">IF(D662="","",IF(COUNTIFS($D$2:$D$701,D662,$E$2:$E$701,E662)&gt;1,"DUPLICATE","Unique"))</f>
        <v/>
      </c>
    </row>
    <row r="663" customFormat="false" ht="15" hidden="false" customHeight="false" outlineLevel="0" collapsed="false">
      <c r="A663" s="3" t="n">
        <v>662</v>
      </c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3" t="n">
        <f aca="false">IFERROR(LEN(C663&amp;D663&amp;E663&amp;F663&amp;G663&amp;H663&amp;I663&amp;J663&amp;K663&amp;L663&amp;M663&amp;N663)/5,0)</f>
        <v>0</v>
      </c>
      <c r="P663" s="3" t="str">
        <f aca="false">IF(OR(D663="",C663=""),"",IF((IFERROR(IF(AND(TRIM(D663)=D663,LEN(D663)&gt;0),0,1),1)+IFERROR(IF(AND(LEN(E663)=10,ISNUMBER(VALUE(E663))),0,1),1)+IFERROR(IF(AND(ISNUMBER(SEARCH("@",F663)),ISNUMBER(SEARCH(".",F663))),0,1),1)+IFERROR(IF(AND(LEN(J663)=6,ISNUMBER(VALUE(J663))),0,1),1)+IFERROR(IF(ISNUMBER(MATCH(TRIM(I663),Lists!$A$2:$A$20,0)),0,1),1)+IFERROR(IF(AND(LEN(K663)=10,VALUE(LEFT(K663,FIND("/",K663)-1))&gt;=1,VALUE(LEFT(K663,FIND("/",K663)-1))&lt;=31,VALUE(LEFT(MID(K663,FIND("/",K663)+1,10),FIND("/",MID(K663,FIND("/",K663)+1,10))-1))&gt;=1,VALUE(LEFT(MID(K663,FIND("/",K663)+1,10),FIND("/",MID(K663,FIND("/",K663)+1,10))-1))&lt;=12,VALUE(LEFT(K663,FIND("/",K663)-1))&lt;=DAY(EOMONTH(DATE(VALUE(MID(MID(K663,FIND("/",K663)+1,10),FIND("/",MID(K663,FIND("/",K663)+1,10))+1,4)),VALUE(LEFT(MID(K663,FIND("/",K663)+1,10),FIND("/",MID(K663,FIND("/",K663)+1,10))-1)),1),0))),0,1),1)+IFERROR(IF(M663&gt;=0,0,1),1)+IFERROR(IF(ISNUMBER(MATCH(N663,Lists!$B$2:$B$7,0)),0,1),1))=0,"OK","ERROR"))</f>
        <v/>
      </c>
      <c r="Q663" s="3" t="str">
        <f aca="false">IF(D663="","",TRIM(IF(IFERROR(IF(AND(TRIM(D663)=D663,LEN(D663)&gt;0),0,1),1)=1,"Name; ","")&amp;IF(IFERROR(IF(AND(LEN(E663)=10,ISNUMBER(VALUE(E663))),0,1),1)=1,"Phone; ","")&amp;IF(IFERROR(IF(AND(ISNUMBER(SEARCH("@",F663)),ISNUMBER(SEARCH(".",F663))),0,1),1)=1,"Email; ","")&amp;IF(IFERROR(IF(AND(LEN(J663)=6,ISNUMBER(VALUE(J663))),0,1),1)=1,"Pincode; ","")&amp;IF(IFERROR(IF(ISNUMBER(MATCH(TRIM(I663),Lists!$A$2:$A$20,0)),0,1),1)=1,"State; ","")&amp;IF(IFERROR(IF(AND(LEN(K663)=10,VALUE(LEFT(K663,FIND("/",K663)-1))&gt;=1,VALUE(LEFT(K663,FIND("/",K663)-1))&lt;=31,VALUE(LEFT(MID(K663,FIND("/",K663)+1,10),FIND("/",MID(K663,FIND("/",K663)+1,10))-1))&gt;=1,VALUE(LEFT(MID(K663,FIND("/",K663)+1,10),FIND("/",MID(K663,FIND("/",K663)+1,10))-1))&lt;=12,VALUE(LEFT(K663,FIND("/",K663)-1))&lt;=DAY(EOMONTH(DATE(VALUE(MID(MID(K663,FIND("/",K663)+1,10),FIND("/",MID(K663,FIND("/",K663)+1,10))+1,4)),VALUE(LEFT(MID(K663,FIND("/",K663)+1,10),FIND("/",MID(K663,FIND("/",K663)+1,10))-1)),1),0))),0,1),1)=1,"Date; ","")&amp;IF(IFERROR(IF(M663&gt;=0,0,1),1)=1,"Amount; ","")&amp;IF(IFERROR(IF(ISNUMBER(MATCH(N663,Lists!$B$2:$B$7,0)),0,1),1)=1,"Payment; ","")))</f>
        <v/>
      </c>
      <c r="R663" s="3" t="str">
        <f aca="false">IF(D663="","",IF(COUNTIFS($D$2:$D$701,D663,$E$2:$E$701,E663)&gt;1,"DUPLICATE","Unique"))</f>
        <v/>
      </c>
    </row>
    <row r="664" customFormat="false" ht="15" hidden="false" customHeight="false" outlineLevel="0" collapsed="false">
      <c r="A664" s="3" t="n">
        <v>663</v>
      </c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3" t="n">
        <f aca="false">IFERROR(LEN(C664&amp;D664&amp;E664&amp;F664&amp;G664&amp;H664&amp;I664&amp;J664&amp;K664&amp;L664&amp;M664&amp;N664)/5,0)</f>
        <v>0</v>
      </c>
      <c r="P664" s="3" t="str">
        <f aca="false">IF(OR(D664="",C664=""),"",IF((IFERROR(IF(AND(TRIM(D664)=D664,LEN(D664)&gt;0),0,1),1)+IFERROR(IF(AND(LEN(E664)=10,ISNUMBER(VALUE(E664))),0,1),1)+IFERROR(IF(AND(ISNUMBER(SEARCH("@",F664)),ISNUMBER(SEARCH(".",F664))),0,1),1)+IFERROR(IF(AND(LEN(J664)=6,ISNUMBER(VALUE(J664))),0,1),1)+IFERROR(IF(ISNUMBER(MATCH(TRIM(I664),Lists!$A$2:$A$20,0)),0,1),1)+IFERROR(IF(AND(LEN(K664)=10,VALUE(LEFT(K664,FIND("/",K664)-1))&gt;=1,VALUE(LEFT(K664,FIND("/",K664)-1))&lt;=31,VALUE(LEFT(MID(K664,FIND("/",K664)+1,10),FIND("/",MID(K664,FIND("/",K664)+1,10))-1))&gt;=1,VALUE(LEFT(MID(K664,FIND("/",K664)+1,10),FIND("/",MID(K664,FIND("/",K664)+1,10))-1))&lt;=12,VALUE(LEFT(K664,FIND("/",K664)-1))&lt;=DAY(EOMONTH(DATE(VALUE(MID(MID(K664,FIND("/",K664)+1,10),FIND("/",MID(K664,FIND("/",K664)+1,10))+1,4)),VALUE(LEFT(MID(K664,FIND("/",K664)+1,10),FIND("/",MID(K664,FIND("/",K664)+1,10))-1)),1),0))),0,1),1)+IFERROR(IF(M664&gt;=0,0,1),1)+IFERROR(IF(ISNUMBER(MATCH(N664,Lists!$B$2:$B$7,0)),0,1),1))=0,"OK","ERROR"))</f>
        <v/>
      </c>
      <c r="Q664" s="3" t="str">
        <f aca="false">IF(D664="","",TRIM(IF(IFERROR(IF(AND(TRIM(D664)=D664,LEN(D664)&gt;0),0,1),1)=1,"Name; ","")&amp;IF(IFERROR(IF(AND(LEN(E664)=10,ISNUMBER(VALUE(E664))),0,1),1)=1,"Phone; ","")&amp;IF(IFERROR(IF(AND(ISNUMBER(SEARCH("@",F664)),ISNUMBER(SEARCH(".",F664))),0,1),1)=1,"Email; ","")&amp;IF(IFERROR(IF(AND(LEN(J664)=6,ISNUMBER(VALUE(J664))),0,1),1)=1,"Pincode; ","")&amp;IF(IFERROR(IF(ISNUMBER(MATCH(TRIM(I664),Lists!$A$2:$A$20,0)),0,1),1)=1,"State; ","")&amp;IF(IFERROR(IF(AND(LEN(K664)=10,VALUE(LEFT(K664,FIND("/",K664)-1))&gt;=1,VALUE(LEFT(K664,FIND("/",K664)-1))&lt;=31,VALUE(LEFT(MID(K664,FIND("/",K664)+1,10),FIND("/",MID(K664,FIND("/",K664)+1,10))-1))&gt;=1,VALUE(LEFT(MID(K664,FIND("/",K664)+1,10),FIND("/",MID(K664,FIND("/",K664)+1,10))-1))&lt;=12,VALUE(LEFT(K664,FIND("/",K664)-1))&lt;=DAY(EOMONTH(DATE(VALUE(MID(MID(K664,FIND("/",K664)+1,10),FIND("/",MID(K664,FIND("/",K664)+1,10))+1,4)),VALUE(LEFT(MID(K664,FIND("/",K664)+1,10),FIND("/",MID(K664,FIND("/",K664)+1,10))-1)),1),0))),0,1),1)=1,"Date; ","")&amp;IF(IFERROR(IF(M664&gt;=0,0,1),1)=1,"Amount; ","")&amp;IF(IFERROR(IF(ISNUMBER(MATCH(N664,Lists!$B$2:$B$7,0)),0,1),1)=1,"Payment; ","")))</f>
        <v/>
      </c>
      <c r="R664" s="3" t="str">
        <f aca="false">IF(D664="","",IF(COUNTIFS($D$2:$D$701,D664,$E$2:$E$701,E664)&gt;1,"DUPLICATE","Unique"))</f>
        <v/>
      </c>
    </row>
    <row r="665" customFormat="false" ht="15" hidden="false" customHeight="false" outlineLevel="0" collapsed="false">
      <c r="A665" s="3" t="n">
        <v>664</v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3" t="n">
        <f aca="false">IFERROR(LEN(C665&amp;D665&amp;E665&amp;F665&amp;G665&amp;H665&amp;I665&amp;J665&amp;K665&amp;L665&amp;M665&amp;N665)/5,0)</f>
        <v>0</v>
      </c>
      <c r="P665" s="3" t="str">
        <f aca="false">IF(OR(D665="",C665=""),"",IF((IFERROR(IF(AND(TRIM(D665)=D665,LEN(D665)&gt;0),0,1),1)+IFERROR(IF(AND(LEN(E665)=10,ISNUMBER(VALUE(E665))),0,1),1)+IFERROR(IF(AND(ISNUMBER(SEARCH("@",F665)),ISNUMBER(SEARCH(".",F665))),0,1),1)+IFERROR(IF(AND(LEN(J665)=6,ISNUMBER(VALUE(J665))),0,1),1)+IFERROR(IF(ISNUMBER(MATCH(TRIM(I665),Lists!$A$2:$A$20,0)),0,1),1)+IFERROR(IF(AND(LEN(K665)=10,VALUE(LEFT(K665,FIND("/",K665)-1))&gt;=1,VALUE(LEFT(K665,FIND("/",K665)-1))&lt;=31,VALUE(LEFT(MID(K665,FIND("/",K665)+1,10),FIND("/",MID(K665,FIND("/",K665)+1,10))-1))&gt;=1,VALUE(LEFT(MID(K665,FIND("/",K665)+1,10),FIND("/",MID(K665,FIND("/",K665)+1,10))-1))&lt;=12,VALUE(LEFT(K665,FIND("/",K665)-1))&lt;=DAY(EOMONTH(DATE(VALUE(MID(MID(K665,FIND("/",K665)+1,10),FIND("/",MID(K665,FIND("/",K665)+1,10))+1,4)),VALUE(LEFT(MID(K665,FIND("/",K665)+1,10),FIND("/",MID(K665,FIND("/",K665)+1,10))-1)),1),0))),0,1),1)+IFERROR(IF(M665&gt;=0,0,1),1)+IFERROR(IF(ISNUMBER(MATCH(N665,Lists!$B$2:$B$7,0)),0,1),1))=0,"OK","ERROR"))</f>
        <v/>
      </c>
      <c r="Q665" s="3" t="str">
        <f aca="false">IF(D665="","",TRIM(IF(IFERROR(IF(AND(TRIM(D665)=D665,LEN(D665)&gt;0),0,1),1)=1,"Name; ","")&amp;IF(IFERROR(IF(AND(LEN(E665)=10,ISNUMBER(VALUE(E665))),0,1),1)=1,"Phone; ","")&amp;IF(IFERROR(IF(AND(ISNUMBER(SEARCH("@",F665)),ISNUMBER(SEARCH(".",F665))),0,1),1)=1,"Email; ","")&amp;IF(IFERROR(IF(AND(LEN(J665)=6,ISNUMBER(VALUE(J665))),0,1),1)=1,"Pincode; ","")&amp;IF(IFERROR(IF(ISNUMBER(MATCH(TRIM(I665),Lists!$A$2:$A$20,0)),0,1),1)=1,"State; ","")&amp;IF(IFERROR(IF(AND(LEN(K665)=10,VALUE(LEFT(K665,FIND("/",K665)-1))&gt;=1,VALUE(LEFT(K665,FIND("/",K665)-1))&lt;=31,VALUE(LEFT(MID(K665,FIND("/",K665)+1,10),FIND("/",MID(K665,FIND("/",K665)+1,10))-1))&gt;=1,VALUE(LEFT(MID(K665,FIND("/",K665)+1,10),FIND("/",MID(K665,FIND("/",K665)+1,10))-1))&lt;=12,VALUE(LEFT(K665,FIND("/",K665)-1))&lt;=DAY(EOMONTH(DATE(VALUE(MID(MID(K665,FIND("/",K665)+1,10),FIND("/",MID(K665,FIND("/",K665)+1,10))+1,4)),VALUE(LEFT(MID(K665,FIND("/",K665)+1,10),FIND("/",MID(K665,FIND("/",K665)+1,10))-1)),1),0))),0,1),1)=1,"Date; ","")&amp;IF(IFERROR(IF(M665&gt;=0,0,1),1)=1,"Amount; ","")&amp;IF(IFERROR(IF(ISNUMBER(MATCH(N665,Lists!$B$2:$B$7,0)),0,1),1)=1,"Payment; ","")))</f>
        <v/>
      </c>
      <c r="R665" s="3" t="str">
        <f aca="false">IF(D665="","",IF(COUNTIFS($D$2:$D$701,D665,$E$2:$E$701,E665)&gt;1,"DUPLICATE","Unique"))</f>
        <v/>
      </c>
    </row>
    <row r="666" customFormat="false" ht="15" hidden="false" customHeight="false" outlineLevel="0" collapsed="false">
      <c r="A666" s="3" t="n">
        <v>665</v>
      </c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3" t="n">
        <f aca="false">IFERROR(LEN(C666&amp;D666&amp;E666&amp;F666&amp;G666&amp;H666&amp;I666&amp;J666&amp;K666&amp;L666&amp;M666&amp;N666)/5,0)</f>
        <v>0</v>
      </c>
      <c r="P666" s="3" t="str">
        <f aca="false">IF(OR(D666="",C666=""),"",IF((IFERROR(IF(AND(TRIM(D666)=D666,LEN(D666)&gt;0),0,1),1)+IFERROR(IF(AND(LEN(E666)=10,ISNUMBER(VALUE(E666))),0,1),1)+IFERROR(IF(AND(ISNUMBER(SEARCH("@",F666)),ISNUMBER(SEARCH(".",F666))),0,1),1)+IFERROR(IF(AND(LEN(J666)=6,ISNUMBER(VALUE(J666))),0,1),1)+IFERROR(IF(ISNUMBER(MATCH(TRIM(I666),Lists!$A$2:$A$20,0)),0,1),1)+IFERROR(IF(AND(LEN(K666)=10,VALUE(LEFT(K666,FIND("/",K666)-1))&gt;=1,VALUE(LEFT(K666,FIND("/",K666)-1))&lt;=31,VALUE(LEFT(MID(K666,FIND("/",K666)+1,10),FIND("/",MID(K666,FIND("/",K666)+1,10))-1))&gt;=1,VALUE(LEFT(MID(K666,FIND("/",K666)+1,10),FIND("/",MID(K666,FIND("/",K666)+1,10))-1))&lt;=12,VALUE(LEFT(K666,FIND("/",K666)-1))&lt;=DAY(EOMONTH(DATE(VALUE(MID(MID(K666,FIND("/",K666)+1,10),FIND("/",MID(K666,FIND("/",K666)+1,10))+1,4)),VALUE(LEFT(MID(K666,FIND("/",K666)+1,10),FIND("/",MID(K666,FIND("/",K666)+1,10))-1)),1),0))),0,1),1)+IFERROR(IF(M666&gt;=0,0,1),1)+IFERROR(IF(ISNUMBER(MATCH(N666,Lists!$B$2:$B$7,0)),0,1),1))=0,"OK","ERROR"))</f>
        <v/>
      </c>
      <c r="Q666" s="3" t="str">
        <f aca="false">IF(D666="","",TRIM(IF(IFERROR(IF(AND(TRIM(D666)=D666,LEN(D666)&gt;0),0,1),1)=1,"Name; ","")&amp;IF(IFERROR(IF(AND(LEN(E666)=10,ISNUMBER(VALUE(E666))),0,1),1)=1,"Phone; ","")&amp;IF(IFERROR(IF(AND(ISNUMBER(SEARCH("@",F666)),ISNUMBER(SEARCH(".",F666))),0,1),1)=1,"Email; ","")&amp;IF(IFERROR(IF(AND(LEN(J666)=6,ISNUMBER(VALUE(J666))),0,1),1)=1,"Pincode; ","")&amp;IF(IFERROR(IF(ISNUMBER(MATCH(TRIM(I666),Lists!$A$2:$A$20,0)),0,1),1)=1,"State; ","")&amp;IF(IFERROR(IF(AND(LEN(K666)=10,VALUE(LEFT(K666,FIND("/",K666)-1))&gt;=1,VALUE(LEFT(K666,FIND("/",K666)-1))&lt;=31,VALUE(LEFT(MID(K666,FIND("/",K666)+1,10),FIND("/",MID(K666,FIND("/",K666)+1,10))-1))&gt;=1,VALUE(LEFT(MID(K666,FIND("/",K666)+1,10),FIND("/",MID(K666,FIND("/",K666)+1,10))-1))&lt;=12,VALUE(LEFT(K666,FIND("/",K666)-1))&lt;=DAY(EOMONTH(DATE(VALUE(MID(MID(K666,FIND("/",K666)+1,10),FIND("/",MID(K666,FIND("/",K666)+1,10))+1,4)),VALUE(LEFT(MID(K666,FIND("/",K666)+1,10),FIND("/",MID(K666,FIND("/",K666)+1,10))-1)),1),0))),0,1),1)=1,"Date; ","")&amp;IF(IFERROR(IF(M666&gt;=0,0,1),1)=1,"Amount; ","")&amp;IF(IFERROR(IF(ISNUMBER(MATCH(N666,Lists!$B$2:$B$7,0)),0,1),1)=1,"Payment; ","")))</f>
        <v/>
      </c>
      <c r="R666" s="3" t="str">
        <f aca="false">IF(D666="","",IF(COUNTIFS($D$2:$D$701,D666,$E$2:$E$701,E666)&gt;1,"DUPLICATE","Unique"))</f>
        <v/>
      </c>
    </row>
    <row r="667" customFormat="false" ht="15" hidden="false" customHeight="false" outlineLevel="0" collapsed="false">
      <c r="A667" s="3" t="n">
        <v>666</v>
      </c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3" t="n">
        <f aca="false">IFERROR(LEN(C667&amp;D667&amp;E667&amp;F667&amp;G667&amp;H667&amp;I667&amp;J667&amp;K667&amp;L667&amp;M667&amp;N667)/5,0)</f>
        <v>0</v>
      </c>
      <c r="P667" s="3" t="str">
        <f aca="false">IF(OR(D667="",C667=""),"",IF((IFERROR(IF(AND(TRIM(D667)=D667,LEN(D667)&gt;0),0,1),1)+IFERROR(IF(AND(LEN(E667)=10,ISNUMBER(VALUE(E667))),0,1),1)+IFERROR(IF(AND(ISNUMBER(SEARCH("@",F667)),ISNUMBER(SEARCH(".",F667))),0,1),1)+IFERROR(IF(AND(LEN(J667)=6,ISNUMBER(VALUE(J667))),0,1),1)+IFERROR(IF(ISNUMBER(MATCH(TRIM(I667),Lists!$A$2:$A$20,0)),0,1),1)+IFERROR(IF(AND(LEN(K667)=10,VALUE(LEFT(K667,FIND("/",K667)-1))&gt;=1,VALUE(LEFT(K667,FIND("/",K667)-1))&lt;=31,VALUE(LEFT(MID(K667,FIND("/",K667)+1,10),FIND("/",MID(K667,FIND("/",K667)+1,10))-1))&gt;=1,VALUE(LEFT(MID(K667,FIND("/",K667)+1,10),FIND("/",MID(K667,FIND("/",K667)+1,10))-1))&lt;=12,VALUE(LEFT(K667,FIND("/",K667)-1))&lt;=DAY(EOMONTH(DATE(VALUE(MID(MID(K667,FIND("/",K667)+1,10),FIND("/",MID(K667,FIND("/",K667)+1,10))+1,4)),VALUE(LEFT(MID(K667,FIND("/",K667)+1,10),FIND("/",MID(K667,FIND("/",K667)+1,10))-1)),1),0))),0,1),1)+IFERROR(IF(M667&gt;=0,0,1),1)+IFERROR(IF(ISNUMBER(MATCH(N667,Lists!$B$2:$B$7,0)),0,1),1))=0,"OK","ERROR"))</f>
        <v/>
      </c>
      <c r="Q667" s="3" t="str">
        <f aca="false">IF(D667="","",TRIM(IF(IFERROR(IF(AND(TRIM(D667)=D667,LEN(D667)&gt;0),0,1),1)=1,"Name; ","")&amp;IF(IFERROR(IF(AND(LEN(E667)=10,ISNUMBER(VALUE(E667))),0,1),1)=1,"Phone; ","")&amp;IF(IFERROR(IF(AND(ISNUMBER(SEARCH("@",F667)),ISNUMBER(SEARCH(".",F667))),0,1),1)=1,"Email; ","")&amp;IF(IFERROR(IF(AND(LEN(J667)=6,ISNUMBER(VALUE(J667))),0,1),1)=1,"Pincode; ","")&amp;IF(IFERROR(IF(ISNUMBER(MATCH(TRIM(I667),Lists!$A$2:$A$20,0)),0,1),1)=1,"State; ","")&amp;IF(IFERROR(IF(AND(LEN(K667)=10,VALUE(LEFT(K667,FIND("/",K667)-1))&gt;=1,VALUE(LEFT(K667,FIND("/",K667)-1))&lt;=31,VALUE(LEFT(MID(K667,FIND("/",K667)+1,10),FIND("/",MID(K667,FIND("/",K667)+1,10))-1))&gt;=1,VALUE(LEFT(MID(K667,FIND("/",K667)+1,10),FIND("/",MID(K667,FIND("/",K667)+1,10))-1))&lt;=12,VALUE(LEFT(K667,FIND("/",K667)-1))&lt;=DAY(EOMONTH(DATE(VALUE(MID(MID(K667,FIND("/",K667)+1,10),FIND("/",MID(K667,FIND("/",K667)+1,10))+1,4)),VALUE(LEFT(MID(K667,FIND("/",K667)+1,10),FIND("/",MID(K667,FIND("/",K667)+1,10))-1)),1),0))),0,1),1)=1,"Date; ","")&amp;IF(IFERROR(IF(M667&gt;=0,0,1),1)=1,"Amount; ","")&amp;IF(IFERROR(IF(ISNUMBER(MATCH(N667,Lists!$B$2:$B$7,0)),0,1),1)=1,"Payment; ","")))</f>
        <v/>
      </c>
      <c r="R667" s="3" t="str">
        <f aca="false">IF(D667="","",IF(COUNTIFS($D$2:$D$701,D667,$E$2:$E$701,E667)&gt;1,"DUPLICATE","Unique"))</f>
        <v/>
      </c>
    </row>
    <row r="668" customFormat="false" ht="15" hidden="false" customHeight="false" outlineLevel="0" collapsed="false">
      <c r="A668" s="3" t="n">
        <v>667</v>
      </c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3" t="n">
        <f aca="false">IFERROR(LEN(C668&amp;D668&amp;E668&amp;F668&amp;G668&amp;H668&amp;I668&amp;J668&amp;K668&amp;L668&amp;M668&amp;N668)/5,0)</f>
        <v>0</v>
      </c>
      <c r="P668" s="3" t="str">
        <f aca="false">IF(OR(D668="",C668=""),"",IF((IFERROR(IF(AND(TRIM(D668)=D668,LEN(D668)&gt;0),0,1),1)+IFERROR(IF(AND(LEN(E668)=10,ISNUMBER(VALUE(E668))),0,1),1)+IFERROR(IF(AND(ISNUMBER(SEARCH("@",F668)),ISNUMBER(SEARCH(".",F668))),0,1),1)+IFERROR(IF(AND(LEN(J668)=6,ISNUMBER(VALUE(J668))),0,1),1)+IFERROR(IF(ISNUMBER(MATCH(TRIM(I668),Lists!$A$2:$A$20,0)),0,1),1)+IFERROR(IF(AND(LEN(K668)=10,VALUE(LEFT(K668,FIND("/",K668)-1))&gt;=1,VALUE(LEFT(K668,FIND("/",K668)-1))&lt;=31,VALUE(LEFT(MID(K668,FIND("/",K668)+1,10),FIND("/",MID(K668,FIND("/",K668)+1,10))-1))&gt;=1,VALUE(LEFT(MID(K668,FIND("/",K668)+1,10),FIND("/",MID(K668,FIND("/",K668)+1,10))-1))&lt;=12,VALUE(LEFT(K668,FIND("/",K668)-1))&lt;=DAY(EOMONTH(DATE(VALUE(MID(MID(K668,FIND("/",K668)+1,10),FIND("/",MID(K668,FIND("/",K668)+1,10))+1,4)),VALUE(LEFT(MID(K668,FIND("/",K668)+1,10),FIND("/",MID(K668,FIND("/",K668)+1,10))-1)),1),0))),0,1),1)+IFERROR(IF(M668&gt;=0,0,1),1)+IFERROR(IF(ISNUMBER(MATCH(N668,Lists!$B$2:$B$7,0)),0,1),1))=0,"OK","ERROR"))</f>
        <v/>
      </c>
      <c r="Q668" s="3" t="str">
        <f aca="false">IF(D668="","",TRIM(IF(IFERROR(IF(AND(TRIM(D668)=D668,LEN(D668)&gt;0),0,1),1)=1,"Name; ","")&amp;IF(IFERROR(IF(AND(LEN(E668)=10,ISNUMBER(VALUE(E668))),0,1),1)=1,"Phone; ","")&amp;IF(IFERROR(IF(AND(ISNUMBER(SEARCH("@",F668)),ISNUMBER(SEARCH(".",F668))),0,1),1)=1,"Email; ","")&amp;IF(IFERROR(IF(AND(LEN(J668)=6,ISNUMBER(VALUE(J668))),0,1),1)=1,"Pincode; ","")&amp;IF(IFERROR(IF(ISNUMBER(MATCH(TRIM(I668),Lists!$A$2:$A$20,0)),0,1),1)=1,"State; ","")&amp;IF(IFERROR(IF(AND(LEN(K668)=10,VALUE(LEFT(K668,FIND("/",K668)-1))&gt;=1,VALUE(LEFT(K668,FIND("/",K668)-1))&lt;=31,VALUE(LEFT(MID(K668,FIND("/",K668)+1,10),FIND("/",MID(K668,FIND("/",K668)+1,10))-1))&gt;=1,VALUE(LEFT(MID(K668,FIND("/",K668)+1,10),FIND("/",MID(K668,FIND("/",K668)+1,10))-1))&lt;=12,VALUE(LEFT(K668,FIND("/",K668)-1))&lt;=DAY(EOMONTH(DATE(VALUE(MID(MID(K668,FIND("/",K668)+1,10),FIND("/",MID(K668,FIND("/",K668)+1,10))+1,4)),VALUE(LEFT(MID(K668,FIND("/",K668)+1,10),FIND("/",MID(K668,FIND("/",K668)+1,10))-1)),1),0))),0,1),1)=1,"Date; ","")&amp;IF(IFERROR(IF(M668&gt;=0,0,1),1)=1,"Amount; ","")&amp;IF(IFERROR(IF(ISNUMBER(MATCH(N668,Lists!$B$2:$B$7,0)),0,1),1)=1,"Payment; ","")))</f>
        <v/>
      </c>
      <c r="R668" s="3" t="str">
        <f aca="false">IF(D668="","",IF(COUNTIFS($D$2:$D$701,D668,$E$2:$E$701,E668)&gt;1,"DUPLICATE","Unique"))</f>
        <v/>
      </c>
    </row>
    <row r="669" customFormat="false" ht="15" hidden="false" customHeight="false" outlineLevel="0" collapsed="false">
      <c r="A669" s="3" t="n">
        <v>668</v>
      </c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3" t="n">
        <f aca="false">IFERROR(LEN(C669&amp;D669&amp;E669&amp;F669&amp;G669&amp;H669&amp;I669&amp;J669&amp;K669&amp;L669&amp;M669&amp;N669)/5,0)</f>
        <v>0</v>
      </c>
      <c r="P669" s="3" t="str">
        <f aca="false">IF(OR(D669="",C669=""),"",IF((IFERROR(IF(AND(TRIM(D669)=D669,LEN(D669)&gt;0),0,1),1)+IFERROR(IF(AND(LEN(E669)=10,ISNUMBER(VALUE(E669))),0,1),1)+IFERROR(IF(AND(ISNUMBER(SEARCH("@",F669)),ISNUMBER(SEARCH(".",F669))),0,1),1)+IFERROR(IF(AND(LEN(J669)=6,ISNUMBER(VALUE(J669))),0,1),1)+IFERROR(IF(ISNUMBER(MATCH(TRIM(I669),Lists!$A$2:$A$20,0)),0,1),1)+IFERROR(IF(AND(LEN(K669)=10,VALUE(LEFT(K669,FIND("/",K669)-1))&gt;=1,VALUE(LEFT(K669,FIND("/",K669)-1))&lt;=31,VALUE(LEFT(MID(K669,FIND("/",K669)+1,10),FIND("/",MID(K669,FIND("/",K669)+1,10))-1))&gt;=1,VALUE(LEFT(MID(K669,FIND("/",K669)+1,10),FIND("/",MID(K669,FIND("/",K669)+1,10))-1))&lt;=12,VALUE(LEFT(K669,FIND("/",K669)-1))&lt;=DAY(EOMONTH(DATE(VALUE(MID(MID(K669,FIND("/",K669)+1,10),FIND("/",MID(K669,FIND("/",K669)+1,10))+1,4)),VALUE(LEFT(MID(K669,FIND("/",K669)+1,10),FIND("/",MID(K669,FIND("/",K669)+1,10))-1)),1),0))),0,1),1)+IFERROR(IF(M669&gt;=0,0,1),1)+IFERROR(IF(ISNUMBER(MATCH(N669,Lists!$B$2:$B$7,0)),0,1),1))=0,"OK","ERROR"))</f>
        <v/>
      </c>
      <c r="Q669" s="3" t="str">
        <f aca="false">IF(D669="","",TRIM(IF(IFERROR(IF(AND(TRIM(D669)=D669,LEN(D669)&gt;0),0,1),1)=1,"Name; ","")&amp;IF(IFERROR(IF(AND(LEN(E669)=10,ISNUMBER(VALUE(E669))),0,1),1)=1,"Phone; ","")&amp;IF(IFERROR(IF(AND(ISNUMBER(SEARCH("@",F669)),ISNUMBER(SEARCH(".",F669))),0,1),1)=1,"Email; ","")&amp;IF(IFERROR(IF(AND(LEN(J669)=6,ISNUMBER(VALUE(J669))),0,1),1)=1,"Pincode; ","")&amp;IF(IFERROR(IF(ISNUMBER(MATCH(TRIM(I669),Lists!$A$2:$A$20,0)),0,1),1)=1,"State; ","")&amp;IF(IFERROR(IF(AND(LEN(K669)=10,VALUE(LEFT(K669,FIND("/",K669)-1))&gt;=1,VALUE(LEFT(K669,FIND("/",K669)-1))&lt;=31,VALUE(LEFT(MID(K669,FIND("/",K669)+1,10),FIND("/",MID(K669,FIND("/",K669)+1,10))-1))&gt;=1,VALUE(LEFT(MID(K669,FIND("/",K669)+1,10),FIND("/",MID(K669,FIND("/",K669)+1,10))-1))&lt;=12,VALUE(LEFT(K669,FIND("/",K669)-1))&lt;=DAY(EOMONTH(DATE(VALUE(MID(MID(K669,FIND("/",K669)+1,10),FIND("/",MID(K669,FIND("/",K669)+1,10))+1,4)),VALUE(LEFT(MID(K669,FIND("/",K669)+1,10),FIND("/",MID(K669,FIND("/",K669)+1,10))-1)),1),0))),0,1),1)=1,"Date; ","")&amp;IF(IFERROR(IF(M669&gt;=0,0,1),1)=1,"Amount; ","")&amp;IF(IFERROR(IF(ISNUMBER(MATCH(N669,Lists!$B$2:$B$7,0)),0,1),1)=1,"Payment; ","")))</f>
        <v/>
      </c>
      <c r="R669" s="3" t="str">
        <f aca="false">IF(D669="","",IF(COUNTIFS($D$2:$D$701,D669,$E$2:$E$701,E669)&gt;1,"DUPLICATE","Unique"))</f>
        <v/>
      </c>
    </row>
    <row r="670" customFormat="false" ht="15" hidden="false" customHeight="false" outlineLevel="0" collapsed="false">
      <c r="A670" s="3" t="n">
        <v>669</v>
      </c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3" t="n">
        <f aca="false">IFERROR(LEN(C670&amp;D670&amp;E670&amp;F670&amp;G670&amp;H670&amp;I670&amp;J670&amp;K670&amp;L670&amp;M670&amp;N670)/5,0)</f>
        <v>0</v>
      </c>
      <c r="P670" s="3" t="str">
        <f aca="false">IF(OR(D670="",C670=""),"",IF((IFERROR(IF(AND(TRIM(D670)=D670,LEN(D670)&gt;0),0,1),1)+IFERROR(IF(AND(LEN(E670)=10,ISNUMBER(VALUE(E670))),0,1),1)+IFERROR(IF(AND(ISNUMBER(SEARCH("@",F670)),ISNUMBER(SEARCH(".",F670))),0,1),1)+IFERROR(IF(AND(LEN(J670)=6,ISNUMBER(VALUE(J670))),0,1),1)+IFERROR(IF(ISNUMBER(MATCH(TRIM(I670),Lists!$A$2:$A$20,0)),0,1),1)+IFERROR(IF(AND(LEN(K670)=10,VALUE(LEFT(K670,FIND("/",K670)-1))&gt;=1,VALUE(LEFT(K670,FIND("/",K670)-1))&lt;=31,VALUE(LEFT(MID(K670,FIND("/",K670)+1,10),FIND("/",MID(K670,FIND("/",K670)+1,10))-1))&gt;=1,VALUE(LEFT(MID(K670,FIND("/",K670)+1,10),FIND("/",MID(K670,FIND("/",K670)+1,10))-1))&lt;=12,VALUE(LEFT(K670,FIND("/",K670)-1))&lt;=DAY(EOMONTH(DATE(VALUE(MID(MID(K670,FIND("/",K670)+1,10),FIND("/",MID(K670,FIND("/",K670)+1,10))+1,4)),VALUE(LEFT(MID(K670,FIND("/",K670)+1,10),FIND("/",MID(K670,FIND("/",K670)+1,10))-1)),1),0))),0,1),1)+IFERROR(IF(M670&gt;=0,0,1),1)+IFERROR(IF(ISNUMBER(MATCH(N670,Lists!$B$2:$B$7,0)),0,1),1))=0,"OK","ERROR"))</f>
        <v/>
      </c>
      <c r="Q670" s="3" t="str">
        <f aca="false">IF(D670="","",TRIM(IF(IFERROR(IF(AND(TRIM(D670)=D670,LEN(D670)&gt;0),0,1),1)=1,"Name; ","")&amp;IF(IFERROR(IF(AND(LEN(E670)=10,ISNUMBER(VALUE(E670))),0,1),1)=1,"Phone; ","")&amp;IF(IFERROR(IF(AND(ISNUMBER(SEARCH("@",F670)),ISNUMBER(SEARCH(".",F670))),0,1),1)=1,"Email; ","")&amp;IF(IFERROR(IF(AND(LEN(J670)=6,ISNUMBER(VALUE(J670))),0,1),1)=1,"Pincode; ","")&amp;IF(IFERROR(IF(ISNUMBER(MATCH(TRIM(I670),Lists!$A$2:$A$20,0)),0,1),1)=1,"State; ","")&amp;IF(IFERROR(IF(AND(LEN(K670)=10,VALUE(LEFT(K670,FIND("/",K670)-1))&gt;=1,VALUE(LEFT(K670,FIND("/",K670)-1))&lt;=31,VALUE(LEFT(MID(K670,FIND("/",K670)+1,10),FIND("/",MID(K670,FIND("/",K670)+1,10))-1))&gt;=1,VALUE(LEFT(MID(K670,FIND("/",K670)+1,10),FIND("/",MID(K670,FIND("/",K670)+1,10))-1))&lt;=12,VALUE(LEFT(K670,FIND("/",K670)-1))&lt;=DAY(EOMONTH(DATE(VALUE(MID(MID(K670,FIND("/",K670)+1,10),FIND("/",MID(K670,FIND("/",K670)+1,10))+1,4)),VALUE(LEFT(MID(K670,FIND("/",K670)+1,10),FIND("/",MID(K670,FIND("/",K670)+1,10))-1)),1),0))),0,1),1)=1,"Date; ","")&amp;IF(IFERROR(IF(M670&gt;=0,0,1),1)=1,"Amount; ","")&amp;IF(IFERROR(IF(ISNUMBER(MATCH(N670,Lists!$B$2:$B$7,0)),0,1),1)=1,"Payment; ","")))</f>
        <v/>
      </c>
      <c r="R670" s="3" t="str">
        <f aca="false">IF(D670="","",IF(COUNTIFS($D$2:$D$701,D670,$E$2:$E$701,E670)&gt;1,"DUPLICATE","Unique"))</f>
        <v/>
      </c>
    </row>
    <row r="671" customFormat="false" ht="15" hidden="false" customHeight="false" outlineLevel="0" collapsed="false">
      <c r="A671" s="3" t="n">
        <v>670</v>
      </c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3" t="n">
        <f aca="false">IFERROR(LEN(C671&amp;D671&amp;E671&amp;F671&amp;G671&amp;H671&amp;I671&amp;J671&amp;K671&amp;L671&amp;M671&amp;N671)/5,0)</f>
        <v>0</v>
      </c>
      <c r="P671" s="3" t="str">
        <f aca="false">IF(OR(D671="",C671=""),"",IF((IFERROR(IF(AND(TRIM(D671)=D671,LEN(D671)&gt;0),0,1),1)+IFERROR(IF(AND(LEN(E671)=10,ISNUMBER(VALUE(E671))),0,1),1)+IFERROR(IF(AND(ISNUMBER(SEARCH("@",F671)),ISNUMBER(SEARCH(".",F671))),0,1),1)+IFERROR(IF(AND(LEN(J671)=6,ISNUMBER(VALUE(J671))),0,1),1)+IFERROR(IF(ISNUMBER(MATCH(TRIM(I671),Lists!$A$2:$A$20,0)),0,1),1)+IFERROR(IF(AND(LEN(K671)=10,VALUE(LEFT(K671,FIND("/",K671)-1))&gt;=1,VALUE(LEFT(K671,FIND("/",K671)-1))&lt;=31,VALUE(LEFT(MID(K671,FIND("/",K671)+1,10),FIND("/",MID(K671,FIND("/",K671)+1,10))-1))&gt;=1,VALUE(LEFT(MID(K671,FIND("/",K671)+1,10),FIND("/",MID(K671,FIND("/",K671)+1,10))-1))&lt;=12,VALUE(LEFT(K671,FIND("/",K671)-1))&lt;=DAY(EOMONTH(DATE(VALUE(MID(MID(K671,FIND("/",K671)+1,10),FIND("/",MID(K671,FIND("/",K671)+1,10))+1,4)),VALUE(LEFT(MID(K671,FIND("/",K671)+1,10),FIND("/",MID(K671,FIND("/",K671)+1,10))-1)),1),0))),0,1),1)+IFERROR(IF(M671&gt;=0,0,1),1)+IFERROR(IF(ISNUMBER(MATCH(N671,Lists!$B$2:$B$7,0)),0,1),1))=0,"OK","ERROR"))</f>
        <v/>
      </c>
      <c r="Q671" s="3" t="str">
        <f aca="false">IF(D671="","",TRIM(IF(IFERROR(IF(AND(TRIM(D671)=D671,LEN(D671)&gt;0),0,1),1)=1,"Name; ","")&amp;IF(IFERROR(IF(AND(LEN(E671)=10,ISNUMBER(VALUE(E671))),0,1),1)=1,"Phone; ","")&amp;IF(IFERROR(IF(AND(ISNUMBER(SEARCH("@",F671)),ISNUMBER(SEARCH(".",F671))),0,1),1)=1,"Email; ","")&amp;IF(IFERROR(IF(AND(LEN(J671)=6,ISNUMBER(VALUE(J671))),0,1),1)=1,"Pincode; ","")&amp;IF(IFERROR(IF(ISNUMBER(MATCH(TRIM(I671),Lists!$A$2:$A$20,0)),0,1),1)=1,"State; ","")&amp;IF(IFERROR(IF(AND(LEN(K671)=10,VALUE(LEFT(K671,FIND("/",K671)-1))&gt;=1,VALUE(LEFT(K671,FIND("/",K671)-1))&lt;=31,VALUE(LEFT(MID(K671,FIND("/",K671)+1,10),FIND("/",MID(K671,FIND("/",K671)+1,10))-1))&gt;=1,VALUE(LEFT(MID(K671,FIND("/",K671)+1,10),FIND("/",MID(K671,FIND("/",K671)+1,10))-1))&lt;=12,VALUE(LEFT(K671,FIND("/",K671)-1))&lt;=DAY(EOMONTH(DATE(VALUE(MID(MID(K671,FIND("/",K671)+1,10),FIND("/",MID(K671,FIND("/",K671)+1,10))+1,4)),VALUE(LEFT(MID(K671,FIND("/",K671)+1,10),FIND("/",MID(K671,FIND("/",K671)+1,10))-1)),1),0))),0,1),1)=1,"Date; ","")&amp;IF(IFERROR(IF(M671&gt;=0,0,1),1)=1,"Amount; ","")&amp;IF(IFERROR(IF(ISNUMBER(MATCH(N671,Lists!$B$2:$B$7,0)),0,1),1)=1,"Payment; ","")))</f>
        <v/>
      </c>
      <c r="R671" s="3" t="str">
        <f aca="false">IF(D671="","",IF(COUNTIFS($D$2:$D$701,D671,$E$2:$E$701,E671)&gt;1,"DUPLICATE","Unique"))</f>
        <v/>
      </c>
    </row>
    <row r="672" customFormat="false" ht="15" hidden="false" customHeight="false" outlineLevel="0" collapsed="false">
      <c r="A672" s="3" t="n">
        <v>671</v>
      </c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3" t="n">
        <f aca="false">IFERROR(LEN(C672&amp;D672&amp;E672&amp;F672&amp;G672&amp;H672&amp;I672&amp;J672&amp;K672&amp;L672&amp;M672&amp;N672)/5,0)</f>
        <v>0</v>
      </c>
      <c r="P672" s="3" t="str">
        <f aca="false">IF(OR(D672="",C672=""),"",IF((IFERROR(IF(AND(TRIM(D672)=D672,LEN(D672)&gt;0),0,1),1)+IFERROR(IF(AND(LEN(E672)=10,ISNUMBER(VALUE(E672))),0,1),1)+IFERROR(IF(AND(ISNUMBER(SEARCH("@",F672)),ISNUMBER(SEARCH(".",F672))),0,1),1)+IFERROR(IF(AND(LEN(J672)=6,ISNUMBER(VALUE(J672))),0,1),1)+IFERROR(IF(ISNUMBER(MATCH(TRIM(I672),Lists!$A$2:$A$20,0)),0,1),1)+IFERROR(IF(AND(LEN(K672)=10,VALUE(LEFT(K672,FIND("/",K672)-1))&gt;=1,VALUE(LEFT(K672,FIND("/",K672)-1))&lt;=31,VALUE(LEFT(MID(K672,FIND("/",K672)+1,10),FIND("/",MID(K672,FIND("/",K672)+1,10))-1))&gt;=1,VALUE(LEFT(MID(K672,FIND("/",K672)+1,10),FIND("/",MID(K672,FIND("/",K672)+1,10))-1))&lt;=12,VALUE(LEFT(K672,FIND("/",K672)-1))&lt;=DAY(EOMONTH(DATE(VALUE(MID(MID(K672,FIND("/",K672)+1,10),FIND("/",MID(K672,FIND("/",K672)+1,10))+1,4)),VALUE(LEFT(MID(K672,FIND("/",K672)+1,10),FIND("/",MID(K672,FIND("/",K672)+1,10))-1)),1),0))),0,1),1)+IFERROR(IF(M672&gt;=0,0,1),1)+IFERROR(IF(ISNUMBER(MATCH(N672,Lists!$B$2:$B$7,0)),0,1),1))=0,"OK","ERROR"))</f>
        <v/>
      </c>
      <c r="Q672" s="3" t="str">
        <f aca="false">IF(D672="","",TRIM(IF(IFERROR(IF(AND(TRIM(D672)=D672,LEN(D672)&gt;0),0,1),1)=1,"Name; ","")&amp;IF(IFERROR(IF(AND(LEN(E672)=10,ISNUMBER(VALUE(E672))),0,1),1)=1,"Phone; ","")&amp;IF(IFERROR(IF(AND(ISNUMBER(SEARCH("@",F672)),ISNUMBER(SEARCH(".",F672))),0,1),1)=1,"Email; ","")&amp;IF(IFERROR(IF(AND(LEN(J672)=6,ISNUMBER(VALUE(J672))),0,1),1)=1,"Pincode; ","")&amp;IF(IFERROR(IF(ISNUMBER(MATCH(TRIM(I672),Lists!$A$2:$A$20,0)),0,1),1)=1,"State; ","")&amp;IF(IFERROR(IF(AND(LEN(K672)=10,VALUE(LEFT(K672,FIND("/",K672)-1))&gt;=1,VALUE(LEFT(K672,FIND("/",K672)-1))&lt;=31,VALUE(LEFT(MID(K672,FIND("/",K672)+1,10),FIND("/",MID(K672,FIND("/",K672)+1,10))-1))&gt;=1,VALUE(LEFT(MID(K672,FIND("/",K672)+1,10),FIND("/",MID(K672,FIND("/",K672)+1,10))-1))&lt;=12,VALUE(LEFT(K672,FIND("/",K672)-1))&lt;=DAY(EOMONTH(DATE(VALUE(MID(MID(K672,FIND("/",K672)+1,10),FIND("/",MID(K672,FIND("/",K672)+1,10))+1,4)),VALUE(LEFT(MID(K672,FIND("/",K672)+1,10),FIND("/",MID(K672,FIND("/",K672)+1,10))-1)),1),0))),0,1),1)=1,"Date; ","")&amp;IF(IFERROR(IF(M672&gt;=0,0,1),1)=1,"Amount; ","")&amp;IF(IFERROR(IF(ISNUMBER(MATCH(N672,Lists!$B$2:$B$7,0)),0,1),1)=1,"Payment; ","")))</f>
        <v/>
      </c>
      <c r="R672" s="3" t="str">
        <f aca="false">IF(D672="","",IF(COUNTIFS($D$2:$D$701,D672,$E$2:$E$701,E672)&gt;1,"DUPLICATE","Unique"))</f>
        <v/>
      </c>
    </row>
    <row r="673" customFormat="false" ht="15" hidden="false" customHeight="false" outlineLevel="0" collapsed="false">
      <c r="A673" s="3" t="n">
        <v>672</v>
      </c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3" t="n">
        <f aca="false">IFERROR(LEN(C673&amp;D673&amp;E673&amp;F673&amp;G673&amp;H673&amp;I673&amp;J673&amp;K673&amp;L673&amp;M673&amp;N673)/5,0)</f>
        <v>0</v>
      </c>
      <c r="P673" s="3" t="str">
        <f aca="false">IF(OR(D673="",C673=""),"",IF((IFERROR(IF(AND(TRIM(D673)=D673,LEN(D673)&gt;0),0,1),1)+IFERROR(IF(AND(LEN(E673)=10,ISNUMBER(VALUE(E673))),0,1),1)+IFERROR(IF(AND(ISNUMBER(SEARCH("@",F673)),ISNUMBER(SEARCH(".",F673))),0,1),1)+IFERROR(IF(AND(LEN(J673)=6,ISNUMBER(VALUE(J673))),0,1),1)+IFERROR(IF(ISNUMBER(MATCH(TRIM(I673),Lists!$A$2:$A$20,0)),0,1),1)+IFERROR(IF(AND(LEN(K673)=10,VALUE(LEFT(K673,FIND("/",K673)-1))&gt;=1,VALUE(LEFT(K673,FIND("/",K673)-1))&lt;=31,VALUE(LEFT(MID(K673,FIND("/",K673)+1,10),FIND("/",MID(K673,FIND("/",K673)+1,10))-1))&gt;=1,VALUE(LEFT(MID(K673,FIND("/",K673)+1,10),FIND("/",MID(K673,FIND("/",K673)+1,10))-1))&lt;=12,VALUE(LEFT(K673,FIND("/",K673)-1))&lt;=DAY(EOMONTH(DATE(VALUE(MID(MID(K673,FIND("/",K673)+1,10),FIND("/",MID(K673,FIND("/",K673)+1,10))+1,4)),VALUE(LEFT(MID(K673,FIND("/",K673)+1,10),FIND("/",MID(K673,FIND("/",K673)+1,10))-1)),1),0))),0,1),1)+IFERROR(IF(M673&gt;=0,0,1),1)+IFERROR(IF(ISNUMBER(MATCH(N673,Lists!$B$2:$B$7,0)),0,1),1))=0,"OK","ERROR"))</f>
        <v/>
      </c>
      <c r="Q673" s="3" t="str">
        <f aca="false">IF(D673="","",TRIM(IF(IFERROR(IF(AND(TRIM(D673)=D673,LEN(D673)&gt;0),0,1),1)=1,"Name; ","")&amp;IF(IFERROR(IF(AND(LEN(E673)=10,ISNUMBER(VALUE(E673))),0,1),1)=1,"Phone; ","")&amp;IF(IFERROR(IF(AND(ISNUMBER(SEARCH("@",F673)),ISNUMBER(SEARCH(".",F673))),0,1),1)=1,"Email; ","")&amp;IF(IFERROR(IF(AND(LEN(J673)=6,ISNUMBER(VALUE(J673))),0,1),1)=1,"Pincode; ","")&amp;IF(IFERROR(IF(ISNUMBER(MATCH(TRIM(I673),Lists!$A$2:$A$20,0)),0,1),1)=1,"State; ","")&amp;IF(IFERROR(IF(AND(LEN(K673)=10,VALUE(LEFT(K673,FIND("/",K673)-1))&gt;=1,VALUE(LEFT(K673,FIND("/",K673)-1))&lt;=31,VALUE(LEFT(MID(K673,FIND("/",K673)+1,10),FIND("/",MID(K673,FIND("/",K673)+1,10))-1))&gt;=1,VALUE(LEFT(MID(K673,FIND("/",K673)+1,10),FIND("/",MID(K673,FIND("/",K673)+1,10))-1))&lt;=12,VALUE(LEFT(K673,FIND("/",K673)-1))&lt;=DAY(EOMONTH(DATE(VALUE(MID(MID(K673,FIND("/",K673)+1,10),FIND("/",MID(K673,FIND("/",K673)+1,10))+1,4)),VALUE(LEFT(MID(K673,FIND("/",K673)+1,10),FIND("/",MID(K673,FIND("/",K673)+1,10))-1)),1),0))),0,1),1)=1,"Date; ","")&amp;IF(IFERROR(IF(M673&gt;=0,0,1),1)=1,"Amount; ","")&amp;IF(IFERROR(IF(ISNUMBER(MATCH(N673,Lists!$B$2:$B$7,0)),0,1),1)=1,"Payment; ","")))</f>
        <v/>
      </c>
      <c r="R673" s="3" t="str">
        <f aca="false">IF(D673="","",IF(COUNTIFS($D$2:$D$701,D673,$E$2:$E$701,E673)&gt;1,"DUPLICATE","Unique"))</f>
        <v/>
      </c>
    </row>
    <row r="674" customFormat="false" ht="15" hidden="false" customHeight="false" outlineLevel="0" collapsed="false">
      <c r="A674" s="3" t="n">
        <v>673</v>
      </c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3" t="n">
        <f aca="false">IFERROR(LEN(C674&amp;D674&amp;E674&amp;F674&amp;G674&amp;H674&amp;I674&amp;J674&amp;K674&amp;L674&amp;M674&amp;N674)/5,0)</f>
        <v>0</v>
      </c>
      <c r="P674" s="3" t="str">
        <f aca="false">IF(OR(D674="",C674=""),"",IF((IFERROR(IF(AND(TRIM(D674)=D674,LEN(D674)&gt;0),0,1),1)+IFERROR(IF(AND(LEN(E674)=10,ISNUMBER(VALUE(E674))),0,1),1)+IFERROR(IF(AND(ISNUMBER(SEARCH("@",F674)),ISNUMBER(SEARCH(".",F674))),0,1),1)+IFERROR(IF(AND(LEN(J674)=6,ISNUMBER(VALUE(J674))),0,1),1)+IFERROR(IF(ISNUMBER(MATCH(TRIM(I674),Lists!$A$2:$A$20,0)),0,1),1)+IFERROR(IF(AND(LEN(K674)=10,VALUE(LEFT(K674,FIND("/",K674)-1))&gt;=1,VALUE(LEFT(K674,FIND("/",K674)-1))&lt;=31,VALUE(LEFT(MID(K674,FIND("/",K674)+1,10),FIND("/",MID(K674,FIND("/",K674)+1,10))-1))&gt;=1,VALUE(LEFT(MID(K674,FIND("/",K674)+1,10),FIND("/",MID(K674,FIND("/",K674)+1,10))-1))&lt;=12,VALUE(LEFT(K674,FIND("/",K674)-1))&lt;=DAY(EOMONTH(DATE(VALUE(MID(MID(K674,FIND("/",K674)+1,10),FIND("/",MID(K674,FIND("/",K674)+1,10))+1,4)),VALUE(LEFT(MID(K674,FIND("/",K674)+1,10),FIND("/",MID(K674,FIND("/",K674)+1,10))-1)),1),0))),0,1),1)+IFERROR(IF(M674&gt;=0,0,1),1)+IFERROR(IF(ISNUMBER(MATCH(N674,Lists!$B$2:$B$7,0)),0,1),1))=0,"OK","ERROR"))</f>
        <v/>
      </c>
      <c r="Q674" s="3" t="str">
        <f aca="false">IF(D674="","",TRIM(IF(IFERROR(IF(AND(TRIM(D674)=D674,LEN(D674)&gt;0),0,1),1)=1,"Name; ","")&amp;IF(IFERROR(IF(AND(LEN(E674)=10,ISNUMBER(VALUE(E674))),0,1),1)=1,"Phone; ","")&amp;IF(IFERROR(IF(AND(ISNUMBER(SEARCH("@",F674)),ISNUMBER(SEARCH(".",F674))),0,1),1)=1,"Email; ","")&amp;IF(IFERROR(IF(AND(LEN(J674)=6,ISNUMBER(VALUE(J674))),0,1),1)=1,"Pincode; ","")&amp;IF(IFERROR(IF(ISNUMBER(MATCH(TRIM(I674),Lists!$A$2:$A$20,0)),0,1),1)=1,"State; ","")&amp;IF(IFERROR(IF(AND(LEN(K674)=10,VALUE(LEFT(K674,FIND("/",K674)-1))&gt;=1,VALUE(LEFT(K674,FIND("/",K674)-1))&lt;=31,VALUE(LEFT(MID(K674,FIND("/",K674)+1,10),FIND("/",MID(K674,FIND("/",K674)+1,10))-1))&gt;=1,VALUE(LEFT(MID(K674,FIND("/",K674)+1,10),FIND("/",MID(K674,FIND("/",K674)+1,10))-1))&lt;=12,VALUE(LEFT(K674,FIND("/",K674)-1))&lt;=DAY(EOMONTH(DATE(VALUE(MID(MID(K674,FIND("/",K674)+1,10),FIND("/",MID(K674,FIND("/",K674)+1,10))+1,4)),VALUE(LEFT(MID(K674,FIND("/",K674)+1,10),FIND("/",MID(K674,FIND("/",K674)+1,10))-1)),1),0))),0,1),1)=1,"Date; ","")&amp;IF(IFERROR(IF(M674&gt;=0,0,1),1)=1,"Amount; ","")&amp;IF(IFERROR(IF(ISNUMBER(MATCH(N674,Lists!$B$2:$B$7,0)),0,1),1)=1,"Payment; ","")))</f>
        <v/>
      </c>
      <c r="R674" s="3" t="str">
        <f aca="false">IF(D674="","",IF(COUNTIFS($D$2:$D$701,D674,$E$2:$E$701,E674)&gt;1,"DUPLICATE","Unique"))</f>
        <v/>
      </c>
    </row>
    <row r="675" customFormat="false" ht="15" hidden="false" customHeight="false" outlineLevel="0" collapsed="false">
      <c r="A675" s="3" t="n">
        <v>674</v>
      </c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3" t="n">
        <f aca="false">IFERROR(LEN(C675&amp;D675&amp;E675&amp;F675&amp;G675&amp;H675&amp;I675&amp;J675&amp;K675&amp;L675&amp;M675&amp;N675)/5,0)</f>
        <v>0</v>
      </c>
      <c r="P675" s="3" t="str">
        <f aca="false">IF(OR(D675="",C675=""),"",IF((IFERROR(IF(AND(TRIM(D675)=D675,LEN(D675)&gt;0),0,1),1)+IFERROR(IF(AND(LEN(E675)=10,ISNUMBER(VALUE(E675))),0,1),1)+IFERROR(IF(AND(ISNUMBER(SEARCH("@",F675)),ISNUMBER(SEARCH(".",F675))),0,1),1)+IFERROR(IF(AND(LEN(J675)=6,ISNUMBER(VALUE(J675))),0,1),1)+IFERROR(IF(ISNUMBER(MATCH(TRIM(I675),Lists!$A$2:$A$20,0)),0,1),1)+IFERROR(IF(AND(LEN(K675)=10,VALUE(LEFT(K675,FIND("/",K675)-1))&gt;=1,VALUE(LEFT(K675,FIND("/",K675)-1))&lt;=31,VALUE(LEFT(MID(K675,FIND("/",K675)+1,10),FIND("/",MID(K675,FIND("/",K675)+1,10))-1))&gt;=1,VALUE(LEFT(MID(K675,FIND("/",K675)+1,10),FIND("/",MID(K675,FIND("/",K675)+1,10))-1))&lt;=12,VALUE(LEFT(K675,FIND("/",K675)-1))&lt;=DAY(EOMONTH(DATE(VALUE(MID(MID(K675,FIND("/",K675)+1,10),FIND("/",MID(K675,FIND("/",K675)+1,10))+1,4)),VALUE(LEFT(MID(K675,FIND("/",K675)+1,10),FIND("/",MID(K675,FIND("/",K675)+1,10))-1)),1),0))),0,1),1)+IFERROR(IF(M675&gt;=0,0,1),1)+IFERROR(IF(ISNUMBER(MATCH(N675,Lists!$B$2:$B$7,0)),0,1),1))=0,"OK","ERROR"))</f>
        <v/>
      </c>
      <c r="Q675" s="3" t="str">
        <f aca="false">IF(D675="","",TRIM(IF(IFERROR(IF(AND(TRIM(D675)=D675,LEN(D675)&gt;0),0,1),1)=1,"Name; ","")&amp;IF(IFERROR(IF(AND(LEN(E675)=10,ISNUMBER(VALUE(E675))),0,1),1)=1,"Phone; ","")&amp;IF(IFERROR(IF(AND(ISNUMBER(SEARCH("@",F675)),ISNUMBER(SEARCH(".",F675))),0,1),1)=1,"Email; ","")&amp;IF(IFERROR(IF(AND(LEN(J675)=6,ISNUMBER(VALUE(J675))),0,1),1)=1,"Pincode; ","")&amp;IF(IFERROR(IF(ISNUMBER(MATCH(TRIM(I675),Lists!$A$2:$A$20,0)),0,1),1)=1,"State; ","")&amp;IF(IFERROR(IF(AND(LEN(K675)=10,VALUE(LEFT(K675,FIND("/",K675)-1))&gt;=1,VALUE(LEFT(K675,FIND("/",K675)-1))&lt;=31,VALUE(LEFT(MID(K675,FIND("/",K675)+1,10),FIND("/",MID(K675,FIND("/",K675)+1,10))-1))&gt;=1,VALUE(LEFT(MID(K675,FIND("/",K675)+1,10),FIND("/",MID(K675,FIND("/",K675)+1,10))-1))&lt;=12,VALUE(LEFT(K675,FIND("/",K675)-1))&lt;=DAY(EOMONTH(DATE(VALUE(MID(MID(K675,FIND("/",K675)+1,10),FIND("/",MID(K675,FIND("/",K675)+1,10))+1,4)),VALUE(LEFT(MID(K675,FIND("/",K675)+1,10),FIND("/",MID(K675,FIND("/",K675)+1,10))-1)),1),0))),0,1),1)=1,"Date; ","")&amp;IF(IFERROR(IF(M675&gt;=0,0,1),1)=1,"Amount; ","")&amp;IF(IFERROR(IF(ISNUMBER(MATCH(N675,Lists!$B$2:$B$7,0)),0,1),1)=1,"Payment; ","")))</f>
        <v/>
      </c>
      <c r="R675" s="3" t="str">
        <f aca="false">IF(D675="","",IF(COUNTIFS($D$2:$D$701,D675,$E$2:$E$701,E675)&gt;1,"DUPLICATE","Unique"))</f>
        <v/>
      </c>
    </row>
    <row r="676" customFormat="false" ht="15" hidden="false" customHeight="false" outlineLevel="0" collapsed="false">
      <c r="A676" s="3" t="n">
        <v>675</v>
      </c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3" t="n">
        <f aca="false">IFERROR(LEN(C676&amp;D676&amp;E676&amp;F676&amp;G676&amp;H676&amp;I676&amp;J676&amp;K676&amp;L676&amp;M676&amp;N676)/5,0)</f>
        <v>0</v>
      </c>
      <c r="P676" s="3" t="str">
        <f aca="false">IF(OR(D676="",C676=""),"",IF((IFERROR(IF(AND(TRIM(D676)=D676,LEN(D676)&gt;0),0,1),1)+IFERROR(IF(AND(LEN(E676)=10,ISNUMBER(VALUE(E676))),0,1),1)+IFERROR(IF(AND(ISNUMBER(SEARCH("@",F676)),ISNUMBER(SEARCH(".",F676))),0,1),1)+IFERROR(IF(AND(LEN(J676)=6,ISNUMBER(VALUE(J676))),0,1),1)+IFERROR(IF(ISNUMBER(MATCH(TRIM(I676),Lists!$A$2:$A$20,0)),0,1),1)+IFERROR(IF(AND(LEN(K676)=10,VALUE(LEFT(K676,FIND("/",K676)-1))&gt;=1,VALUE(LEFT(K676,FIND("/",K676)-1))&lt;=31,VALUE(LEFT(MID(K676,FIND("/",K676)+1,10),FIND("/",MID(K676,FIND("/",K676)+1,10))-1))&gt;=1,VALUE(LEFT(MID(K676,FIND("/",K676)+1,10),FIND("/",MID(K676,FIND("/",K676)+1,10))-1))&lt;=12,VALUE(LEFT(K676,FIND("/",K676)-1))&lt;=DAY(EOMONTH(DATE(VALUE(MID(MID(K676,FIND("/",K676)+1,10),FIND("/",MID(K676,FIND("/",K676)+1,10))+1,4)),VALUE(LEFT(MID(K676,FIND("/",K676)+1,10),FIND("/",MID(K676,FIND("/",K676)+1,10))-1)),1),0))),0,1),1)+IFERROR(IF(M676&gt;=0,0,1),1)+IFERROR(IF(ISNUMBER(MATCH(N676,Lists!$B$2:$B$7,0)),0,1),1))=0,"OK","ERROR"))</f>
        <v/>
      </c>
      <c r="Q676" s="3" t="str">
        <f aca="false">IF(D676="","",TRIM(IF(IFERROR(IF(AND(TRIM(D676)=D676,LEN(D676)&gt;0),0,1),1)=1,"Name; ","")&amp;IF(IFERROR(IF(AND(LEN(E676)=10,ISNUMBER(VALUE(E676))),0,1),1)=1,"Phone; ","")&amp;IF(IFERROR(IF(AND(ISNUMBER(SEARCH("@",F676)),ISNUMBER(SEARCH(".",F676))),0,1),1)=1,"Email; ","")&amp;IF(IFERROR(IF(AND(LEN(J676)=6,ISNUMBER(VALUE(J676))),0,1),1)=1,"Pincode; ","")&amp;IF(IFERROR(IF(ISNUMBER(MATCH(TRIM(I676),Lists!$A$2:$A$20,0)),0,1),1)=1,"State; ","")&amp;IF(IFERROR(IF(AND(LEN(K676)=10,VALUE(LEFT(K676,FIND("/",K676)-1))&gt;=1,VALUE(LEFT(K676,FIND("/",K676)-1))&lt;=31,VALUE(LEFT(MID(K676,FIND("/",K676)+1,10),FIND("/",MID(K676,FIND("/",K676)+1,10))-1))&gt;=1,VALUE(LEFT(MID(K676,FIND("/",K676)+1,10),FIND("/",MID(K676,FIND("/",K676)+1,10))-1))&lt;=12,VALUE(LEFT(K676,FIND("/",K676)-1))&lt;=DAY(EOMONTH(DATE(VALUE(MID(MID(K676,FIND("/",K676)+1,10),FIND("/",MID(K676,FIND("/",K676)+1,10))+1,4)),VALUE(LEFT(MID(K676,FIND("/",K676)+1,10),FIND("/",MID(K676,FIND("/",K676)+1,10))-1)),1),0))),0,1),1)=1,"Date; ","")&amp;IF(IFERROR(IF(M676&gt;=0,0,1),1)=1,"Amount; ","")&amp;IF(IFERROR(IF(ISNUMBER(MATCH(N676,Lists!$B$2:$B$7,0)),0,1),1)=1,"Payment; ","")))</f>
        <v/>
      </c>
      <c r="R676" s="3" t="str">
        <f aca="false">IF(D676="","",IF(COUNTIFS($D$2:$D$701,D676,$E$2:$E$701,E676)&gt;1,"DUPLICATE","Unique"))</f>
        <v/>
      </c>
    </row>
    <row r="677" customFormat="false" ht="15" hidden="false" customHeight="false" outlineLevel="0" collapsed="false">
      <c r="A677" s="3" t="n">
        <v>676</v>
      </c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3" t="n">
        <f aca="false">IFERROR(LEN(C677&amp;D677&amp;E677&amp;F677&amp;G677&amp;H677&amp;I677&amp;J677&amp;K677&amp;L677&amp;M677&amp;N677)/5,0)</f>
        <v>0</v>
      </c>
      <c r="P677" s="3" t="str">
        <f aca="false">IF(OR(D677="",C677=""),"",IF((IFERROR(IF(AND(TRIM(D677)=D677,LEN(D677)&gt;0),0,1),1)+IFERROR(IF(AND(LEN(E677)=10,ISNUMBER(VALUE(E677))),0,1),1)+IFERROR(IF(AND(ISNUMBER(SEARCH("@",F677)),ISNUMBER(SEARCH(".",F677))),0,1),1)+IFERROR(IF(AND(LEN(J677)=6,ISNUMBER(VALUE(J677))),0,1),1)+IFERROR(IF(ISNUMBER(MATCH(TRIM(I677),Lists!$A$2:$A$20,0)),0,1),1)+IFERROR(IF(AND(LEN(K677)=10,VALUE(LEFT(K677,FIND("/",K677)-1))&gt;=1,VALUE(LEFT(K677,FIND("/",K677)-1))&lt;=31,VALUE(LEFT(MID(K677,FIND("/",K677)+1,10),FIND("/",MID(K677,FIND("/",K677)+1,10))-1))&gt;=1,VALUE(LEFT(MID(K677,FIND("/",K677)+1,10),FIND("/",MID(K677,FIND("/",K677)+1,10))-1))&lt;=12,VALUE(LEFT(K677,FIND("/",K677)-1))&lt;=DAY(EOMONTH(DATE(VALUE(MID(MID(K677,FIND("/",K677)+1,10),FIND("/",MID(K677,FIND("/",K677)+1,10))+1,4)),VALUE(LEFT(MID(K677,FIND("/",K677)+1,10),FIND("/",MID(K677,FIND("/",K677)+1,10))-1)),1),0))),0,1),1)+IFERROR(IF(M677&gt;=0,0,1),1)+IFERROR(IF(ISNUMBER(MATCH(N677,Lists!$B$2:$B$7,0)),0,1),1))=0,"OK","ERROR"))</f>
        <v/>
      </c>
      <c r="Q677" s="3" t="str">
        <f aca="false">IF(D677="","",TRIM(IF(IFERROR(IF(AND(TRIM(D677)=D677,LEN(D677)&gt;0),0,1),1)=1,"Name; ","")&amp;IF(IFERROR(IF(AND(LEN(E677)=10,ISNUMBER(VALUE(E677))),0,1),1)=1,"Phone; ","")&amp;IF(IFERROR(IF(AND(ISNUMBER(SEARCH("@",F677)),ISNUMBER(SEARCH(".",F677))),0,1),1)=1,"Email; ","")&amp;IF(IFERROR(IF(AND(LEN(J677)=6,ISNUMBER(VALUE(J677))),0,1),1)=1,"Pincode; ","")&amp;IF(IFERROR(IF(ISNUMBER(MATCH(TRIM(I677),Lists!$A$2:$A$20,0)),0,1),1)=1,"State; ","")&amp;IF(IFERROR(IF(AND(LEN(K677)=10,VALUE(LEFT(K677,FIND("/",K677)-1))&gt;=1,VALUE(LEFT(K677,FIND("/",K677)-1))&lt;=31,VALUE(LEFT(MID(K677,FIND("/",K677)+1,10),FIND("/",MID(K677,FIND("/",K677)+1,10))-1))&gt;=1,VALUE(LEFT(MID(K677,FIND("/",K677)+1,10),FIND("/",MID(K677,FIND("/",K677)+1,10))-1))&lt;=12,VALUE(LEFT(K677,FIND("/",K677)-1))&lt;=DAY(EOMONTH(DATE(VALUE(MID(MID(K677,FIND("/",K677)+1,10),FIND("/",MID(K677,FIND("/",K677)+1,10))+1,4)),VALUE(LEFT(MID(K677,FIND("/",K677)+1,10),FIND("/",MID(K677,FIND("/",K677)+1,10))-1)),1),0))),0,1),1)=1,"Date; ","")&amp;IF(IFERROR(IF(M677&gt;=0,0,1),1)=1,"Amount; ","")&amp;IF(IFERROR(IF(ISNUMBER(MATCH(N677,Lists!$B$2:$B$7,0)),0,1),1)=1,"Payment; ","")))</f>
        <v/>
      </c>
      <c r="R677" s="3" t="str">
        <f aca="false">IF(D677="","",IF(COUNTIFS($D$2:$D$701,D677,$E$2:$E$701,E677)&gt;1,"DUPLICATE","Unique"))</f>
        <v/>
      </c>
    </row>
    <row r="678" customFormat="false" ht="15" hidden="false" customHeight="false" outlineLevel="0" collapsed="false">
      <c r="A678" s="3" t="n">
        <v>677</v>
      </c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3" t="n">
        <f aca="false">IFERROR(LEN(C678&amp;D678&amp;E678&amp;F678&amp;G678&amp;H678&amp;I678&amp;J678&amp;K678&amp;L678&amp;M678&amp;N678)/5,0)</f>
        <v>0</v>
      </c>
      <c r="P678" s="3" t="str">
        <f aca="false">IF(OR(D678="",C678=""),"",IF((IFERROR(IF(AND(TRIM(D678)=D678,LEN(D678)&gt;0),0,1),1)+IFERROR(IF(AND(LEN(E678)=10,ISNUMBER(VALUE(E678))),0,1),1)+IFERROR(IF(AND(ISNUMBER(SEARCH("@",F678)),ISNUMBER(SEARCH(".",F678))),0,1),1)+IFERROR(IF(AND(LEN(J678)=6,ISNUMBER(VALUE(J678))),0,1),1)+IFERROR(IF(ISNUMBER(MATCH(TRIM(I678),Lists!$A$2:$A$20,0)),0,1),1)+IFERROR(IF(AND(LEN(K678)=10,VALUE(LEFT(K678,FIND("/",K678)-1))&gt;=1,VALUE(LEFT(K678,FIND("/",K678)-1))&lt;=31,VALUE(LEFT(MID(K678,FIND("/",K678)+1,10),FIND("/",MID(K678,FIND("/",K678)+1,10))-1))&gt;=1,VALUE(LEFT(MID(K678,FIND("/",K678)+1,10),FIND("/",MID(K678,FIND("/",K678)+1,10))-1))&lt;=12,VALUE(LEFT(K678,FIND("/",K678)-1))&lt;=DAY(EOMONTH(DATE(VALUE(MID(MID(K678,FIND("/",K678)+1,10),FIND("/",MID(K678,FIND("/",K678)+1,10))+1,4)),VALUE(LEFT(MID(K678,FIND("/",K678)+1,10),FIND("/",MID(K678,FIND("/",K678)+1,10))-1)),1),0))),0,1),1)+IFERROR(IF(M678&gt;=0,0,1),1)+IFERROR(IF(ISNUMBER(MATCH(N678,Lists!$B$2:$B$7,0)),0,1),1))=0,"OK","ERROR"))</f>
        <v/>
      </c>
      <c r="Q678" s="3" t="str">
        <f aca="false">IF(D678="","",TRIM(IF(IFERROR(IF(AND(TRIM(D678)=D678,LEN(D678)&gt;0),0,1),1)=1,"Name; ","")&amp;IF(IFERROR(IF(AND(LEN(E678)=10,ISNUMBER(VALUE(E678))),0,1),1)=1,"Phone; ","")&amp;IF(IFERROR(IF(AND(ISNUMBER(SEARCH("@",F678)),ISNUMBER(SEARCH(".",F678))),0,1),1)=1,"Email; ","")&amp;IF(IFERROR(IF(AND(LEN(J678)=6,ISNUMBER(VALUE(J678))),0,1),1)=1,"Pincode; ","")&amp;IF(IFERROR(IF(ISNUMBER(MATCH(TRIM(I678),Lists!$A$2:$A$20,0)),0,1),1)=1,"State; ","")&amp;IF(IFERROR(IF(AND(LEN(K678)=10,VALUE(LEFT(K678,FIND("/",K678)-1))&gt;=1,VALUE(LEFT(K678,FIND("/",K678)-1))&lt;=31,VALUE(LEFT(MID(K678,FIND("/",K678)+1,10),FIND("/",MID(K678,FIND("/",K678)+1,10))-1))&gt;=1,VALUE(LEFT(MID(K678,FIND("/",K678)+1,10),FIND("/",MID(K678,FIND("/",K678)+1,10))-1))&lt;=12,VALUE(LEFT(K678,FIND("/",K678)-1))&lt;=DAY(EOMONTH(DATE(VALUE(MID(MID(K678,FIND("/",K678)+1,10),FIND("/",MID(K678,FIND("/",K678)+1,10))+1,4)),VALUE(LEFT(MID(K678,FIND("/",K678)+1,10),FIND("/",MID(K678,FIND("/",K678)+1,10))-1)),1),0))),0,1),1)=1,"Date; ","")&amp;IF(IFERROR(IF(M678&gt;=0,0,1),1)=1,"Amount; ","")&amp;IF(IFERROR(IF(ISNUMBER(MATCH(N678,Lists!$B$2:$B$7,0)),0,1),1)=1,"Payment; ","")))</f>
        <v/>
      </c>
      <c r="R678" s="3" t="str">
        <f aca="false">IF(D678="","",IF(COUNTIFS($D$2:$D$701,D678,$E$2:$E$701,E678)&gt;1,"DUPLICATE","Unique"))</f>
        <v/>
      </c>
    </row>
    <row r="679" customFormat="false" ht="15" hidden="false" customHeight="false" outlineLevel="0" collapsed="false">
      <c r="A679" s="3" t="n">
        <v>678</v>
      </c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3" t="n">
        <f aca="false">IFERROR(LEN(C679&amp;D679&amp;E679&amp;F679&amp;G679&amp;H679&amp;I679&amp;J679&amp;K679&amp;L679&amp;M679&amp;N679)/5,0)</f>
        <v>0</v>
      </c>
      <c r="P679" s="3" t="str">
        <f aca="false">IF(OR(D679="",C679=""),"",IF((IFERROR(IF(AND(TRIM(D679)=D679,LEN(D679)&gt;0),0,1),1)+IFERROR(IF(AND(LEN(E679)=10,ISNUMBER(VALUE(E679))),0,1),1)+IFERROR(IF(AND(ISNUMBER(SEARCH("@",F679)),ISNUMBER(SEARCH(".",F679))),0,1),1)+IFERROR(IF(AND(LEN(J679)=6,ISNUMBER(VALUE(J679))),0,1),1)+IFERROR(IF(ISNUMBER(MATCH(TRIM(I679),Lists!$A$2:$A$20,0)),0,1),1)+IFERROR(IF(AND(LEN(K679)=10,VALUE(LEFT(K679,FIND("/",K679)-1))&gt;=1,VALUE(LEFT(K679,FIND("/",K679)-1))&lt;=31,VALUE(LEFT(MID(K679,FIND("/",K679)+1,10),FIND("/",MID(K679,FIND("/",K679)+1,10))-1))&gt;=1,VALUE(LEFT(MID(K679,FIND("/",K679)+1,10),FIND("/",MID(K679,FIND("/",K679)+1,10))-1))&lt;=12,VALUE(LEFT(K679,FIND("/",K679)-1))&lt;=DAY(EOMONTH(DATE(VALUE(MID(MID(K679,FIND("/",K679)+1,10),FIND("/",MID(K679,FIND("/",K679)+1,10))+1,4)),VALUE(LEFT(MID(K679,FIND("/",K679)+1,10),FIND("/",MID(K679,FIND("/",K679)+1,10))-1)),1),0))),0,1),1)+IFERROR(IF(M679&gt;=0,0,1),1)+IFERROR(IF(ISNUMBER(MATCH(N679,Lists!$B$2:$B$7,0)),0,1),1))=0,"OK","ERROR"))</f>
        <v/>
      </c>
      <c r="Q679" s="3" t="str">
        <f aca="false">IF(D679="","",TRIM(IF(IFERROR(IF(AND(TRIM(D679)=D679,LEN(D679)&gt;0),0,1),1)=1,"Name; ","")&amp;IF(IFERROR(IF(AND(LEN(E679)=10,ISNUMBER(VALUE(E679))),0,1),1)=1,"Phone; ","")&amp;IF(IFERROR(IF(AND(ISNUMBER(SEARCH("@",F679)),ISNUMBER(SEARCH(".",F679))),0,1),1)=1,"Email; ","")&amp;IF(IFERROR(IF(AND(LEN(J679)=6,ISNUMBER(VALUE(J679))),0,1),1)=1,"Pincode; ","")&amp;IF(IFERROR(IF(ISNUMBER(MATCH(TRIM(I679),Lists!$A$2:$A$20,0)),0,1),1)=1,"State; ","")&amp;IF(IFERROR(IF(AND(LEN(K679)=10,VALUE(LEFT(K679,FIND("/",K679)-1))&gt;=1,VALUE(LEFT(K679,FIND("/",K679)-1))&lt;=31,VALUE(LEFT(MID(K679,FIND("/",K679)+1,10),FIND("/",MID(K679,FIND("/",K679)+1,10))-1))&gt;=1,VALUE(LEFT(MID(K679,FIND("/",K679)+1,10),FIND("/",MID(K679,FIND("/",K679)+1,10))-1))&lt;=12,VALUE(LEFT(K679,FIND("/",K679)-1))&lt;=DAY(EOMONTH(DATE(VALUE(MID(MID(K679,FIND("/",K679)+1,10),FIND("/",MID(K679,FIND("/",K679)+1,10))+1,4)),VALUE(LEFT(MID(K679,FIND("/",K679)+1,10),FIND("/",MID(K679,FIND("/",K679)+1,10))-1)),1),0))),0,1),1)=1,"Date; ","")&amp;IF(IFERROR(IF(M679&gt;=0,0,1),1)=1,"Amount; ","")&amp;IF(IFERROR(IF(ISNUMBER(MATCH(N679,Lists!$B$2:$B$7,0)),0,1),1)=1,"Payment; ","")))</f>
        <v/>
      </c>
      <c r="R679" s="3" t="str">
        <f aca="false">IF(D679="","",IF(COUNTIFS($D$2:$D$701,D679,$E$2:$E$701,E679)&gt;1,"DUPLICATE","Unique"))</f>
        <v/>
      </c>
    </row>
    <row r="680" customFormat="false" ht="15" hidden="false" customHeight="false" outlineLevel="0" collapsed="false">
      <c r="A680" s="3" t="n">
        <v>679</v>
      </c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3" t="n">
        <f aca="false">IFERROR(LEN(C680&amp;D680&amp;E680&amp;F680&amp;G680&amp;H680&amp;I680&amp;J680&amp;K680&amp;L680&amp;M680&amp;N680)/5,0)</f>
        <v>0</v>
      </c>
      <c r="P680" s="3" t="str">
        <f aca="false">IF(OR(D680="",C680=""),"",IF((IFERROR(IF(AND(TRIM(D680)=D680,LEN(D680)&gt;0),0,1),1)+IFERROR(IF(AND(LEN(E680)=10,ISNUMBER(VALUE(E680))),0,1),1)+IFERROR(IF(AND(ISNUMBER(SEARCH("@",F680)),ISNUMBER(SEARCH(".",F680))),0,1),1)+IFERROR(IF(AND(LEN(J680)=6,ISNUMBER(VALUE(J680))),0,1),1)+IFERROR(IF(ISNUMBER(MATCH(TRIM(I680),Lists!$A$2:$A$20,0)),0,1),1)+IFERROR(IF(AND(LEN(K680)=10,VALUE(LEFT(K680,FIND("/",K680)-1))&gt;=1,VALUE(LEFT(K680,FIND("/",K680)-1))&lt;=31,VALUE(LEFT(MID(K680,FIND("/",K680)+1,10),FIND("/",MID(K680,FIND("/",K680)+1,10))-1))&gt;=1,VALUE(LEFT(MID(K680,FIND("/",K680)+1,10),FIND("/",MID(K680,FIND("/",K680)+1,10))-1))&lt;=12,VALUE(LEFT(K680,FIND("/",K680)-1))&lt;=DAY(EOMONTH(DATE(VALUE(MID(MID(K680,FIND("/",K680)+1,10),FIND("/",MID(K680,FIND("/",K680)+1,10))+1,4)),VALUE(LEFT(MID(K680,FIND("/",K680)+1,10),FIND("/",MID(K680,FIND("/",K680)+1,10))-1)),1),0))),0,1),1)+IFERROR(IF(M680&gt;=0,0,1),1)+IFERROR(IF(ISNUMBER(MATCH(N680,Lists!$B$2:$B$7,0)),0,1),1))=0,"OK","ERROR"))</f>
        <v/>
      </c>
      <c r="Q680" s="3" t="str">
        <f aca="false">IF(D680="","",TRIM(IF(IFERROR(IF(AND(TRIM(D680)=D680,LEN(D680)&gt;0),0,1),1)=1,"Name; ","")&amp;IF(IFERROR(IF(AND(LEN(E680)=10,ISNUMBER(VALUE(E680))),0,1),1)=1,"Phone; ","")&amp;IF(IFERROR(IF(AND(ISNUMBER(SEARCH("@",F680)),ISNUMBER(SEARCH(".",F680))),0,1),1)=1,"Email; ","")&amp;IF(IFERROR(IF(AND(LEN(J680)=6,ISNUMBER(VALUE(J680))),0,1),1)=1,"Pincode; ","")&amp;IF(IFERROR(IF(ISNUMBER(MATCH(TRIM(I680),Lists!$A$2:$A$20,0)),0,1),1)=1,"State; ","")&amp;IF(IFERROR(IF(AND(LEN(K680)=10,VALUE(LEFT(K680,FIND("/",K680)-1))&gt;=1,VALUE(LEFT(K680,FIND("/",K680)-1))&lt;=31,VALUE(LEFT(MID(K680,FIND("/",K680)+1,10),FIND("/",MID(K680,FIND("/",K680)+1,10))-1))&gt;=1,VALUE(LEFT(MID(K680,FIND("/",K680)+1,10),FIND("/",MID(K680,FIND("/",K680)+1,10))-1))&lt;=12,VALUE(LEFT(K680,FIND("/",K680)-1))&lt;=DAY(EOMONTH(DATE(VALUE(MID(MID(K680,FIND("/",K680)+1,10),FIND("/",MID(K680,FIND("/",K680)+1,10))+1,4)),VALUE(LEFT(MID(K680,FIND("/",K680)+1,10),FIND("/",MID(K680,FIND("/",K680)+1,10))-1)),1),0))),0,1),1)=1,"Date; ","")&amp;IF(IFERROR(IF(M680&gt;=0,0,1),1)=1,"Amount; ","")&amp;IF(IFERROR(IF(ISNUMBER(MATCH(N680,Lists!$B$2:$B$7,0)),0,1),1)=1,"Payment; ","")))</f>
        <v/>
      </c>
      <c r="R680" s="3" t="str">
        <f aca="false">IF(D680="","",IF(COUNTIFS($D$2:$D$701,D680,$E$2:$E$701,E680)&gt;1,"DUPLICATE","Unique"))</f>
        <v/>
      </c>
    </row>
    <row r="681" customFormat="false" ht="15" hidden="false" customHeight="false" outlineLevel="0" collapsed="false">
      <c r="A681" s="3" t="n">
        <v>680</v>
      </c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3" t="n">
        <f aca="false">IFERROR(LEN(C681&amp;D681&amp;E681&amp;F681&amp;G681&amp;H681&amp;I681&amp;J681&amp;K681&amp;L681&amp;M681&amp;N681)/5,0)</f>
        <v>0</v>
      </c>
      <c r="P681" s="3" t="str">
        <f aca="false">IF(OR(D681="",C681=""),"",IF((IFERROR(IF(AND(TRIM(D681)=D681,LEN(D681)&gt;0),0,1),1)+IFERROR(IF(AND(LEN(E681)=10,ISNUMBER(VALUE(E681))),0,1),1)+IFERROR(IF(AND(ISNUMBER(SEARCH("@",F681)),ISNUMBER(SEARCH(".",F681))),0,1),1)+IFERROR(IF(AND(LEN(J681)=6,ISNUMBER(VALUE(J681))),0,1),1)+IFERROR(IF(ISNUMBER(MATCH(TRIM(I681),Lists!$A$2:$A$20,0)),0,1),1)+IFERROR(IF(AND(LEN(K681)=10,VALUE(LEFT(K681,FIND("/",K681)-1))&gt;=1,VALUE(LEFT(K681,FIND("/",K681)-1))&lt;=31,VALUE(LEFT(MID(K681,FIND("/",K681)+1,10),FIND("/",MID(K681,FIND("/",K681)+1,10))-1))&gt;=1,VALUE(LEFT(MID(K681,FIND("/",K681)+1,10),FIND("/",MID(K681,FIND("/",K681)+1,10))-1))&lt;=12,VALUE(LEFT(K681,FIND("/",K681)-1))&lt;=DAY(EOMONTH(DATE(VALUE(MID(MID(K681,FIND("/",K681)+1,10),FIND("/",MID(K681,FIND("/",K681)+1,10))+1,4)),VALUE(LEFT(MID(K681,FIND("/",K681)+1,10),FIND("/",MID(K681,FIND("/",K681)+1,10))-1)),1),0))),0,1),1)+IFERROR(IF(M681&gt;=0,0,1),1)+IFERROR(IF(ISNUMBER(MATCH(N681,Lists!$B$2:$B$7,0)),0,1),1))=0,"OK","ERROR"))</f>
        <v/>
      </c>
      <c r="Q681" s="3" t="str">
        <f aca="false">IF(D681="","",TRIM(IF(IFERROR(IF(AND(TRIM(D681)=D681,LEN(D681)&gt;0),0,1),1)=1,"Name; ","")&amp;IF(IFERROR(IF(AND(LEN(E681)=10,ISNUMBER(VALUE(E681))),0,1),1)=1,"Phone; ","")&amp;IF(IFERROR(IF(AND(ISNUMBER(SEARCH("@",F681)),ISNUMBER(SEARCH(".",F681))),0,1),1)=1,"Email; ","")&amp;IF(IFERROR(IF(AND(LEN(J681)=6,ISNUMBER(VALUE(J681))),0,1),1)=1,"Pincode; ","")&amp;IF(IFERROR(IF(ISNUMBER(MATCH(TRIM(I681),Lists!$A$2:$A$20,0)),0,1),1)=1,"State; ","")&amp;IF(IFERROR(IF(AND(LEN(K681)=10,VALUE(LEFT(K681,FIND("/",K681)-1))&gt;=1,VALUE(LEFT(K681,FIND("/",K681)-1))&lt;=31,VALUE(LEFT(MID(K681,FIND("/",K681)+1,10),FIND("/",MID(K681,FIND("/",K681)+1,10))-1))&gt;=1,VALUE(LEFT(MID(K681,FIND("/",K681)+1,10),FIND("/",MID(K681,FIND("/",K681)+1,10))-1))&lt;=12,VALUE(LEFT(K681,FIND("/",K681)-1))&lt;=DAY(EOMONTH(DATE(VALUE(MID(MID(K681,FIND("/",K681)+1,10),FIND("/",MID(K681,FIND("/",K681)+1,10))+1,4)),VALUE(LEFT(MID(K681,FIND("/",K681)+1,10),FIND("/",MID(K681,FIND("/",K681)+1,10))-1)),1),0))),0,1),1)=1,"Date; ","")&amp;IF(IFERROR(IF(M681&gt;=0,0,1),1)=1,"Amount; ","")&amp;IF(IFERROR(IF(ISNUMBER(MATCH(N681,Lists!$B$2:$B$7,0)),0,1),1)=1,"Payment; ","")))</f>
        <v/>
      </c>
      <c r="R681" s="3" t="str">
        <f aca="false">IF(D681="","",IF(COUNTIFS($D$2:$D$701,D681,$E$2:$E$701,E681)&gt;1,"DUPLICATE","Unique"))</f>
        <v/>
      </c>
    </row>
    <row r="682" customFormat="false" ht="15" hidden="false" customHeight="false" outlineLevel="0" collapsed="false">
      <c r="A682" s="3" t="n">
        <v>681</v>
      </c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3" t="n">
        <f aca="false">IFERROR(LEN(C682&amp;D682&amp;E682&amp;F682&amp;G682&amp;H682&amp;I682&amp;J682&amp;K682&amp;L682&amp;M682&amp;N682)/5,0)</f>
        <v>0</v>
      </c>
      <c r="P682" s="3" t="str">
        <f aca="false">IF(OR(D682="",C682=""),"",IF((IFERROR(IF(AND(TRIM(D682)=D682,LEN(D682)&gt;0),0,1),1)+IFERROR(IF(AND(LEN(E682)=10,ISNUMBER(VALUE(E682))),0,1),1)+IFERROR(IF(AND(ISNUMBER(SEARCH("@",F682)),ISNUMBER(SEARCH(".",F682))),0,1),1)+IFERROR(IF(AND(LEN(J682)=6,ISNUMBER(VALUE(J682))),0,1),1)+IFERROR(IF(ISNUMBER(MATCH(TRIM(I682),Lists!$A$2:$A$20,0)),0,1),1)+IFERROR(IF(AND(LEN(K682)=10,VALUE(LEFT(K682,FIND("/",K682)-1))&gt;=1,VALUE(LEFT(K682,FIND("/",K682)-1))&lt;=31,VALUE(LEFT(MID(K682,FIND("/",K682)+1,10),FIND("/",MID(K682,FIND("/",K682)+1,10))-1))&gt;=1,VALUE(LEFT(MID(K682,FIND("/",K682)+1,10),FIND("/",MID(K682,FIND("/",K682)+1,10))-1))&lt;=12,VALUE(LEFT(K682,FIND("/",K682)-1))&lt;=DAY(EOMONTH(DATE(VALUE(MID(MID(K682,FIND("/",K682)+1,10),FIND("/",MID(K682,FIND("/",K682)+1,10))+1,4)),VALUE(LEFT(MID(K682,FIND("/",K682)+1,10),FIND("/",MID(K682,FIND("/",K682)+1,10))-1)),1),0))),0,1),1)+IFERROR(IF(M682&gt;=0,0,1),1)+IFERROR(IF(ISNUMBER(MATCH(N682,Lists!$B$2:$B$7,0)),0,1),1))=0,"OK","ERROR"))</f>
        <v/>
      </c>
      <c r="Q682" s="3" t="str">
        <f aca="false">IF(D682="","",TRIM(IF(IFERROR(IF(AND(TRIM(D682)=D682,LEN(D682)&gt;0),0,1),1)=1,"Name; ","")&amp;IF(IFERROR(IF(AND(LEN(E682)=10,ISNUMBER(VALUE(E682))),0,1),1)=1,"Phone; ","")&amp;IF(IFERROR(IF(AND(ISNUMBER(SEARCH("@",F682)),ISNUMBER(SEARCH(".",F682))),0,1),1)=1,"Email; ","")&amp;IF(IFERROR(IF(AND(LEN(J682)=6,ISNUMBER(VALUE(J682))),0,1),1)=1,"Pincode; ","")&amp;IF(IFERROR(IF(ISNUMBER(MATCH(TRIM(I682),Lists!$A$2:$A$20,0)),0,1),1)=1,"State; ","")&amp;IF(IFERROR(IF(AND(LEN(K682)=10,VALUE(LEFT(K682,FIND("/",K682)-1))&gt;=1,VALUE(LEFT(K682,FIND("/",K682)-1))&lt;=31,VALUE(LEFT(MID(K682,FIND("/",K682)+1,10),FIND("/",MID(K682,FIND("/",K682)+1,10))-1))&gt;=1,VALUE(LEFT(MID(K682,FIND("/",K682)+1,10),FIND("/",MID(K682,FIND("/",K682)+1,10))-1))&lt;=12,VALUE(LEFT(K682,FIND("/",K682)-1))&lt;=DAY(EOMONTH(DATE(VALUE(MID(MID(K682,FIND("/",K682)+1,10),FIND("/",MID(K682,FIND("/",K682)+1,10))+1,4)),VALUE(LEFT(MID(K682,FIND("/",K682)+1,10),FIND("/",MID(K682,FIND("/",K682)+1,10))-1)),1),0))),0,1),1)=1,"Date; ","")&amp;IF(IFERROR(IF(M682&gt;=0,0,1),1)=1,"Amount; ","")&amp;IF(IFERROR(IF(ISNUMBER(MATCH(N682,Lists!$B$2:$B$7,0)),0,1),1)=1,"Payment; ","")))</f>
        <v/>
      </c>
      <c r="R682" s="3" t="str">
        <f aca="false">IF(D682="","",IF(COUNTIFS($D$2:$D$701,D682,$E$2:$E$701,E682)&gt;1,"DUPLICATE","Unique"))</f>
        <v/>
      </c>
    </row>
    <row r="683" customFormat="false" ht="15" hidden="false" customHeight="false" outlineLevel="0" collapsed="false">
      <c r="A683" s="3" t="n">
        <v>682</v>
      </c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3" t="n">
        <f aca="false">IFERROR(LEN(C683&amp;D683&amp;E683&amp;F683&amp;G683&amp;H683&amp;I683&amp;J683&amp;K683&amp;L683&amp;M683&amp;N683)/5,0)</f>
        <v>0</v>
      </c>
      <c r="P683" s="3" t="str">
        <f aca="false">IF(OR(D683="",C683=""),"",IF((IFERROR(IF(AND(TRIM(D683)=D683,LEN(D683)&gt;0),0,1),1)+IFERROR(IF(AND(LEN(E683)=10,ISNUMBER(VALUE(E683))),0,1),1)+IFERROR(IF(AND(ISNUMBER(SEARCH("@",F683)),ISNUMBER(SEARCH(".",F683))),0,1),1)+IFERROR(IF(AND(LEN(J683)=6,ISNUMBER(VALUE(J683))),0,1),1)+IFERROR(IF(ISNUMBER(MATCH(TRIM(I683),Lists!$A$2:$A$20,0)),0,1),1)+IFERROR(IF(AND(LEN(K683)=10,VALUE(LEFT(K683,FIND("/",K683)-1))&gt;=1,VALUE(LEFT(K683,FIND("/",K683)-1))&lt;=31,VALUE(LEFT(MID(K683,FIND("/",K683)+1,10),FIND("/",MID(K683,FIND("/",K683)+1,10))-1))&gt;=1,VALUE(LEFT(MID(K683,FIND("/",K683)+1,10),FIND("/",MID(K683,FIND("/",K683)+1,10))-1))&lt;=12,VALUE(LEFT(K683,FIND("/",K683)-1))&lt;=DAY(EOMONTH(DATE(VALUE(MID(MID(K683,FIND("/",K683)+1,10),FIND("/",MID(K683,FIND("/",K683)+1,10))+1,4)),VALUE(LEFT(MID(K683,FIND("/",K683)+1,10),FIND("/",MID(K683,FIND("/",K683)+1,10))-1)),1),0))),0,1),1)+IFERROR(IF(M683&gt;=0,0,1),1)+IFERROR(IF(ISNUMBER(MATCH(N683,Lists!$B$2:$B$7,0)),0,1),1))=0,"OK","ERROR"))</f>
        <v/>
      </c>
      <c r="Q683" s="3" t="str">
        <f aca="false">IF(D683="","",TRIM(IF(IFERROR(IF(AND(TRIM(D683)=D683,LEN(D683)&gt;0),0,1),1)=1,"Name; ","")&amp;IF(IFERROR(IF(AND(LEN(E683)=10,ISNUMBER(VALUE(E683))),0,1),1)=1,"Phone; ","")&amp;IF(IFERROR(IF(AND(ISNUMBER(SEARCH("@",F683)),ISNUMBER(SEARCH(".",F683))),0,1),1)=1,"Email; ","")&amp;IF(IFERROR(IF(AND(LEN(J683)=6,ISNUMBER(VALUE(J683))),0,1),1)=1,"Pincode; ","")&amp;IF(IFERROR(IF(ISNUMBER(MATCH(TRIM(I683),Lists!$A$2:$A$20,0)),0,1),1)=1,"State; ","")&amp;IF(IFERROR(IF(AND(LEN(K683)=10,VALUE(LEFT(K683,FIND("/",K683)-1))&gt;=1,VALUE(LEFT(K683,FIND("/",K683)-1))&lt;=31,VALUE(LEFT(MID(K683,FIND("/",K683)+1,10),FIND("/",MID(K683,FIND("/",K683)+1,10))-1))&gt;=1,VALUE(LEFT(MID(K683,FIND("/",K683)+1,10),FIND("/",MID(K683,FIND("/",K683)+1,10))-1))&lt;=12,VALUE(LEFT(K683,FIND("/",K683)-1))&lt;=DAY(EOMONTH(DATE(VALUE(MID(MID(K683,FIND("/",K683)+1,10),FIND("/",MID(K683,FIND("/",K683)+1,10))+1,4)),VALUE(LEFT(MID(K683,FIND("/",K683)+1,10),FIND("/",MID(K683,FIND("/",K683)+1,10))-1)),1),0))),0,1),1)=1,"Date; ","")&amp;IF(IFERROR(IF(M683&gt;=0,0,1),1)=1,"Amount; ","")&amp;IF(IFERROR(IF(ISNUMBER(MATCH(N683,Lists!$B$2:$B$7,0)),0,1),1)=1,"Payment; ","")))</f>
        <v/>
      </c>
      <c r="R683" s="3" t="str">
        <f aca="false">IF(D683="","",IF(COUNTIFS($D$2:$D$701,D683,$E$2:$E$701,E683)&gt;1,"DUPLICATE","Unique"))</f>
        <v/>
      </c>
    </row>
    <row r="684" customFormat="false" ht="15" hidden="false" customHeight="false" outlineLevel="0" collapsed="false">
      <c r="A684" s="3" t="n">
        <v>683</v>
      </c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3" t="n">
        <f aca="false">IFERROR(LEN(C684&amp;D684&amp;E684&amp;F684&amp;G684&amp;H684&amp;I684&amp;J684&amp;K684&amp;L684&amp;M684&amp;N684)/5,0)</f>
        <v>0</v>
      </c>
      <c r="P684" s="3" t="str">
        <f aca="false">IF(OR(D684="",C684=""),"",IF((IFERROR(IF(AND(TRIM(D684)=D684,LEN(D684)&gt;0),0,1),1)+IFERROR(IF(AND(LEN(E684)=10,ISNUMBER(VALUE(E684))),0,1),1)+IFERROR(IF(AND(ISNUMBER(SEARCH("@",F684)),ISNUMBER(SEARCH(".",F684))),0,1),1)+IFERROR(IF(AND(LEN(J684)=6,ISNUMBER(VALUE(J684))),0,1),1)+IFERROR(IF(ISNUMBER(MATCH(TRIM(I684),Lists!$A$2:$A$20,0)),0,1),1)+IFERROR(IF(AND(LEN(K684)=10,VALUE(LEFT(K684,FIND("/",K684)-1))&gt;=1,VALUE(LEFT(K684,FIND("/",K684)-1))&lt;=31,VALUE(LEFT(MID(K684,FIND("/",K684)+1,10),FIND("/",MID(K684,FIND("/",K684)+1,10))-1))&gt;=1,VALUE(LEFT(MID(K684,FIND("/",K684)+1,10),FIND("/",MID(K684,FIND("/",K684)+1,10))-1))&lt;=12,VALUE(LEFT(K684,FIND("/",K684)-1))&lt;=DAY(EOMONTH(DATE(VALUE(MID(MID(K684,FIND("/",K684)+1,10),FIND("/",MID(K684,FIND("/",K684)+1,10))+1,4)),VALUE(LEFT(MID(K684,FIND("/",K684)+1,10),FIND("/",MID(K684,FIND("/",K684)+1,10))-1)),1),0))),0,1),1)+IFERROR(IF(M684&gt;=0,0,1),1)+IFERROR(IF(ISNUMBER(MATCH(N684,Lists!$B$2:$B$7,0)),0,1),1))=0,"OK","ERROR"))</f>
        <v/>
      </c>
      <c r="Q684" s="3" t="str">
        <f aca="false">IF(D684="","",TRIM(IF(IFERROR(IF(AND(TRIM(D684)=D684,LEN(D684)&gt;0),0,1),1)=1,"Name; ","")&amp;IF(IFERROR(IF(AND(LEN(E684)=10,ISNUMBER(VALUE(E684))),0,1),1)=1,"Phone; ","")&amp;IF(IFERROR(IF(AND(ISNUMBER(SEARCH("@",F684)),ISNUMBER(SEARCH(".",F684))),0,1),1)=1,"Email; ","")&amp;IF(IFERROR(IF(AND(LEN(J684)=6,ISNUMBER(VALUE(J684))),0,1),1)=1,"Pincode; ","")&amp;IF(IFERROR(IF(ISNUMBER(MATCH(TRIM(I684),Lists!$A$2:$A$20,0)),0,1),1)=1,"State; ","")&amp;IF(IFERROR(IF(AND(LEN(K684)=10,VALUE(LEFT(K684,FIND("/",K684)-1))&gt;=1,VALUE(LEFT(K684,FIND("/",K684)-1))&lt;=31,VALUE(LEFT(MID(K684,FIND("/",K684)+1,10),FIND("/",MID(K684,FIND("/",K684)+1,10))-1))&gt;=1,VALUE(LEFT(MID(K684,FIND("/",K684)+1,10),FIND("/",MID(K684,FIND("/",K684)+1,10))-1))&lt;=12,VALUE(LEFT(K684,FIND("/",K684)-1))&lt;=DAY(EOMONTH(DATE(VALUE(MID(MID(K684,FIND("/",K684)+1,10),FIND("/",MID(K684,FIND("/",K684)+1,10))+1,4)),VALUE(LEFT(MID(K684,FIND("/",K684)+1,10),FIND("/",MID(K684,FIND("/",K684)+1,10))-1)),1),0))),0,1),1)=1,"Date; ","")&amp;IF(IFERROR(IF(M684&gt;=0,0,1),1)=1,"Amount; ","")&amp;IF(IFERROR(IF(ISNUMBER(MATCH(N684,Lists!$B$2:$B$7,0)),0,1),1)=1,"Payment; ","")))</f>
        <v/>
      </c>
      <c r="R684" s="3" t="str">
        <f aca="false">IF(D684="","",IF(COUNTIFS($D$2:$D$701,D684,$E$2:$E$701,E684)&gt;1,"DUPLICATE","Unique"))</f>
        <v/>
      </c>
    </row>
    <row r="685" customFormat="false" ht="15" hidden="false" customHeight="false" outlineLevel="0" collapsed="false">
      <c r="A685" s="3" t="n">
        <v>684</v>
      </c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3" t="n">
        <f aca="false">IFERROR(LEN(C685&amp;D685&amp;E685&amp;F685&amp;G685&amp;H685&amp;I685&amp;J685&amp;K685&amp;L685&amp;M685&amp;N685)/5,0)</f>
        <v>0</v>
      </c>
      <c r="P685" s="3" t="str">
        <f aca="false">IF(OR(D685="",C685=""),"",IF((IFERROR(IF(AND(TRIM(D685)=D685,LEN(D685)&gt;0),0,1),1)+IFERROR(IF(AND(LEN(E685)=10,ISNUMBER(VALUE(E685))),0,1),1)+IFERROR(IF(AND(ISNUMBER(SEARCH("@",F685)),ISNUMBER(SEARCH(".",F685))),0,1),1)+IFERROR(IF(AND(LEN(J685)=6,ISNUMBER(VALUE(J685))),0,1),1)+IFERROR(IF(ISNUMBER(MATCH(TRIM(I685),Lists!$A$2:$A$20,0)),0,1),1)+IFERROR(IF(AND(LEN(K685)=10,VALUE(LEFT(K685,FIND("/",K685)-1))&gt;=1,VALUE(LEFT(K685,FIND("/",K685)-1))&lt;=31,VALUE(LEFT(MID(K685,FIND("/",K685)+1,10),FIND("/",MID(K685,FIND("/",K685)+1,10))-1))&gt;=1,VALUE(LEFT(MID(K685,FIND("/",K685)+1,10),FIND("/",MID(K685,FIND("/",K685)+1,10))-1))&lt;=12,VALUE(LEFT(K685,FIND("/",K685)-1))&lt;=DAY(EOMONTH(DATE(VALUE(MID(MID(K685,FIND("/",K685)+1,10),FIND("/",MID(K685,FIND("/",K685)+1,10))+1,4)),VALUE(LEFT(MID(K685,FIND("/",K685)+1,10),FIND("/",MID(K685,FIND("/",K685)+1,10))-1)),1),0))),0,1),1)+IFERROR(IF(M685&gt;=0,0,1),1)+IFERROR(IF(ISNUMBER(MATCH(N685,Lists!$B$2:$B$7,0)),0,1),1))=0,"OK","ERROR"))</f>
        <v/>
      </c>
      <c r="Q685" s="3" t="str">
        <f aca="false">IF(D685="","",TRIM(IF(IFERROR(IF(AND(TRIM(D685)=D685,LEN(D685)&gt;0),0,1),1)=1,"Name; ","")&amp;IF(IFERROR(IF(AND(LEN(E685)=10,ISNUMBER(VALUE(E685))),0,1),1)=1,"Phone; ","")&amp;IF(IFERROR(IF(AND(ISNUMBER(SEARCH("@",F685)),ISNUMBER(SEARCH(".",F685))),0,1),1)=1,"Email; ","")&amp;IF(IFERROR(IF(AND(LEN(J685)=6,ISNUMBER(VALUE(J685))),0,1),1)=1,"Pincode; ","")&amp;IF(IFERROR(IF(ISNUMBER(MATCH(TRIM(I685),Lists!$A$2:$A$20,0)),0,1),1)=1,"State; ","")&amp;IF(IFERROR(IF(AND(LEN(K685)=10,VALUE(LEFT(K685,FIND("/",K685)-1))&gt;=1,VALUE(LEFT(K685,FIND("/",K685)-1))&lt;=31,VALUE(LEFT(MID(K685,FIND("/",K685)+1,10),FIND("/",MID(K685,FIND("/",K685)+1,10))-1))&gt;=1,VALUE(LEFT(MID(K685,FIND("/",K685)+1,10),FIND("/",MID(K685,FIND("/",K685)+1,10))-1))&lt;=12,VALUE(LEFT(K685,FIND("/",K685)-1))&lt;=DAY(EOMONTH(DATE(VALUE(MID(MID(K685,FIND("/",K685)+1,10),FIND("/",MID(K685,FIND("/",K685)+1,10))+1,4)),VALUE(LEFT(MID(K685,FIND("/",K685)+1,10),FIND("/",MID(K685,FIND("/",K685)+1,10))-1)),1),0))),0,1),1)=1,"Date; ","")&amp;IF(IFERROR(IF(M685&gt;=0,0,1),1)=1,"Amount; ","")&amp;IF(IFERROR(IF(ISNUMBER(MATCH(N685,Lists!$B$2:$B$7,0)),0,1),1)=1,"Payment; ","")))</f>
        <v/>
      </c>
      <c r="R685" s="3" t="str">
        <f aca="false">IF(D685="","",IF(COUNTIFS($D$2:$D$701,D685,$E$2:$E$701,E685)&gt;1,"DUPLICATE","Unique"))</f>
        <v/>
      </c>
    </row>
    <row r="686" customFormat="false" ht="15" hidden="false" customHeight="false" outlineLevel="0" collapsed="false">
      <c r="A686" s="3" t="n">
        <v>685</v>
      </c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3" t="n">
        <f aca="false">IFERROR(LEN(C686&amp;D686&amp;E686&amp;F686&amp;G686&amp;H686&amp;I686&amp;J686&amp;K686&amp;L686&amp;M686&amp;N686)/5,0)</f>
        <v>0</v>
      </c>
      <c r="P686" s="3" t="str">
        <f aca="false">IF(OR(D686="",C686=""),"",IF((IFERROR(IF(AND(TRIM(D686)=D686,LEN(D686)&gt;0),0,1),1)+IFERROR(IF(AND(LEN(E686)=10,ISNUMBER(VALUE(E686))),0,1),1)+IFERROR(IF(AND(ISNUMBER(SEARCH("@",F686)),ISNUMBER(SEARCH(".",F686))),0,1),1)+IFERROR(IF(AND(LEN(J686)=6,ISNUMBER(VALUE(J686))),0,1),1)+IFERROR(IF(ISNUMBER(MATCH(TRIM(I686),Lists!$A$2:$A$20,0)),0,1),1)+IFERROR(IF(AND(LEN(K686)=10,VALUE(LEFT(K686,FIND("/",K686)-1))&gt;=1,VALUE(LEFT(K686,FIND("/",K686)-1))&lt;=31,VALUE(LEFT(MID(K686,FIND("/",K686)+1,10),FIND("/",MID(K686,FIND("/",K686)+1,10))-1))&gt;=1,VALUE(LEFT(MID(K686,FIND("/",K686)+1,10),FIND("/",MID(K686,FIND("/",K686)+1,10))-1))&lt;=12,VALUE(LEFT(K686,FIND("/",K686)-1))&lt;=DAY(EOMONTH(DATE(VALUE(MID(MID(K686,FIND("/",K686)+1,10),FIND("/",MID(K686,FIND("/",K686)+1,10))+1,4)),VALUE(LEFT(MID(K686,FIND("/",K686)+1,10),FIND("/",MID(K686,FIND("/",K686)+1,10))-1)),1),0))),0,1),1)+IFERROR(IF(M686&gt;=0,0,1),1)+IFERROR(IF(ISNUMBER(MATCH(N686,Lists!$B$2:$B$7,0)),0,1),1))=0,"OK","ERROR"))</f>
        <v/>
      </c>
      <c r="Q686" s="3" t="str">
        <f aca="false">IF(D686="","",TRIM(IF(IFERROR(IF(AND(TRIM(D686)=D686,LEN(D686)&gt;0),0,1),1)=1,"Name; ","")&amp;IF(IFERROR(IF(AND(LEN(E686)=10,ISNUMBER(VALUE(E686))),0,1),1)=1,"Phone; ","")&amp;IF(IFERROR(IF(AND(ISNUMBER(SEARCH("@",F686)),ISNUMBER(SEARCH(".",F686))),0,1),1)=1,"Email; ","")&amp;IF(IFERROR(IF(AND(LEN(J686)=6,ISNUMBER(VALUE(J686))),0,1),1)=1,"Pincode; ","")&amp;IF(IFERROR(IF(ISNUMBER(MATCH(TRIM(I686),Lists!$A$2:$A$20,0)),0,1),1)=1,"State; ","")&amp;IF(IFERROR(IF(AND(LEN(K686)=10,VALUE(LEFT(K686,FIND("/",K686)-1))&gt;=1,VALUE(LEFT(K686,FIND("/",K686)-1))&lt;=31,VALUE(LEFT(MID(K686,FIND("/",K686)+1,10),FIND("/",MID(K686,FIND("/",K686)+1,10))-1))&gt;=1,VALUE(LEFT(MID(K686,FIND("/",K686)+1,10),FIND("/",MID(K686,FIND("/",K686)+1,10))-1))&lt;=12,VALUE(LEFT(K686,FIND("/",K686)-1))&lt;=DAY(EOMONTH(DATE(VALUE(MID(MID(K686,FIND("/",K686)+1,10),FIND("/",MID(K686,FIND("/",K686)+1,10))+1,4)),VALUE(LEFT(MID(K686,FIND("/",K686)+1,10),FIND("/",MID(K686,FIND("/",K686)+1,10))-1)),1),0))),0,1),1)=1,"Date; ","")&amp;IF(IFERROR(IF(M686&gt;=0,0,1),1)=1,"Amount; ","")&amp;IF(IFERROR(IF(ISNUMBER(MATCH(N686,Lists!$B$2:$B$7,0)),0,1),1)=1,"Payment; ","")))</f>
        <v/>
      </c>
      <c r="R686" s="3" t="str">
        <f aca="false">IF(D686="","",IF(COUNTIFS($D$2:$D$701,D686,$E$2:$E$701,E686)&gt;1,"DUPLICATE","Unique"))</f>
        <v/>
      </c>
    </row>
    <row r="687" customFormat="false" ht="15" hidden="false" customHeight="false" outlineLevel="0" collapsed="false">
      <c r="A687" s="3" t="n">
        <v>686</v>
      </c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3" t="n">
        <f aca="false">IFERROR(LEN(C687&amp;D687&amp;E687&amp;F687&amp;G687&amp;H687&amp;I687&amp;J687&amp;K687&amp;L687&amp;M687&amp;N687)/5,0)</f>
        <v>0</v>
      </c>
      <c r="P687" s="3" t="str">
        <f aca="false">IF(OR(D687="",C687=""),"",IF((IFERROR(IF(AND(TRIM(D687)=D687,LEN(D687)&gt;0),0,1),1)+IFERROR(IF(AND(LEN(E687)=10,ISNUMBER(VALUE(E687))),0,1),1)+IFERROR(IF(AND(ISNUMBER(SEARCH("@",F687)),ISNUMBER(SEARCH(".",F687))),0,1),1)+IFERROR(IF(AND(LEN(J687)=6,ISNUMBER(VALUE(J687))),0,1),1)+IFERROR(IF(ISNUMBER(MATCH(TRIM(I687),Lists!$A$2:$A$20,0)),0,1),1)+IFERROR(IF(AND(LEN(K687)=10,VALUE(LEFT(K687,FIND("/",K687)-1))&gt;=1,VALUE(LEFT(K687,FIND("/",K687)-1))&lt;=31,VALUE(LEFT(MID(K687,FIND("/",K687)+1,10),FIND("/",MID(K687,FIND("/",K687)+1,10))-1))&gt;=1,VALUE(LEFT(MID(K687,FIND("/",K687)+1,10),FIND("/",MID(K687,FIND("/",K687)+1,10))-1))&lt;=12,VALUE(LEFT(K687,FIND("/",K687)-1))&lt;=DAY(EOMONTH(DATE(VALUE(MID(MID(K687,FIND("/",K687)+1,10),FIND("/",MID(K687,FIND("/",K687)+1,10))+1,4)),VALUE(LEFT(MID(K687,FIND("/",K687)+1,10),FIND("/",MID(K687,FIND("/",K687)+1,10))-1)),1),0))),0,1),1)+IFERROR(IF(M687&gt;=0,0,1),1)+IFERROR(IF(ISNUMBER(MATCH(N687,Lists!$B$2:$B$7,0)),0,1),1))=0,"OK","ERROR"))</f>
        <v/>
      </c>
      <c r="Q687" s="3" t="str">
        <f aca="false">IF(D687="","",TRIM(IF(IFERROR(IF(AND(TRIM(D687)=D687,LEN(D687)&gt;0),0,1),1)=1,"Name; ","")&amp;IF(IFERROR(IF(AND(LEN(E687)=10,ISNUMBER(VALUE(E687))),0,1),1)=1,"Phone; ","")&amp;IF(IFERROR(IF(AND(ISNUMBER(SEARCH("@",F687)),ISNUMBER(SEARCH(".",F687))),0,1),1)=1,"Email; ","")&amp;IF(IFERROR(IF(AND(LEN(J687)=6,ISNUMBER(VALUE(J687))),0,1),1)=1,"Pincode; ","")&amp;IF(IFERROR(IF(ISNUMBER(MATCH(TRIM(I687),Lists!$A$2:$A$20,0)),0,1),1)=1,"State; ","")&amp;IF(IFERROR(IF(AND(LEN(K687)=10,VALUE(LEFT(K687,FIND("/",K687)-1))&gt;=1,VALUE(LEFT(K687,FIND("/",K687)-1))&lt;=31,VALUE(LEFT(MID(K687,FIND("/",K687)+1,10),FIND("/",MID(K687,FIND("/",K687)+1,10))-1))&gt;=1,VALUE(LEFT(MID(K687,FIND("/",K687)+1,10),FIND("/",MID(K687,FIND("/",K687)+1,10))-1))&lt;=12,VALUE(LEFT(K687,FIND("/",K687)-1))&lt;=DAY(EOMONTH(DATE(VALUE(MID(MID(K687,FIND("/",K687)+1,10),FIND("/",MID(K687,FIND("/",K687)+1,10))+1,4)),VALUE(LEFT(MID(K687,FIND("/",K687)+1,10),FIND("/",MID(K687,FIND("/",K687)+1,10))-1)),1),0))),0,1),1)=1,"Date; ","")&amp;IF(IFERROR(IF(M687&gt;=0,0,1),1)=1,"Amount; ","")&amp;IF(IFERROR(IF(ISNUMBER(MATCH(N687,Lists!$B$2:$B$7,0)),0,1),1)=1,"Payment; ","")))</f>
        <v/>
      </c>
      <c r="R687" s="3" t="str">
        <f aca="false">IF(D687="","",IF(COUNTIFS($D$2:$D$701,D687,$E$2:$E$701,E687)&gt;1,"DUPLICATE","Unique"))</f>
        <v/>
      </c>
    </row>
    <row r="688" customFormat="false" ht="15" hidden="false" customHeight="false" outlineLevel="0" collapsed="false">
      <c r="A688" s="3" t="n">
        <v>687</v>
      </c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3" t="n">
        <f aca="false">IFERROR(LEN(C688&amp;D688&amp;E688&amp;F688&amp;G688&amp;H688&amp;I688&amp;J688&amp;K688&amp;L688&amp;M688&amp;N688)/5,0)</f>
        <v>0</v>
      </c>
      <c r="P688" s="3" t="str">
        <f aca="false">IF(OR(D688="",C688=""),"",IF((IFERROR(IF(AND(TRIM(D688)=D688,LEN(D688)&gt;0),0,1),1)+IFERROR(IF(AND(LEN(E688)=10,ISNUMBER(VALUE(E688))),0,1),1)+IFERROR(IF(AND(ISNUMBER(SEARCH("@",F688)),ISNUMBER(SEARCH(".",F688))),0,1),1)+IFERROR(IF(AND(LEN(J688)=6,ISNUMBER(VALUE(J688))),0,1),1)+IFERROR(IF(ISNUMBER(MATCH(TRIM(I688),Lists!$A$2:$A$20,0)),0,1),1)+IFERROR(IF(AND(LEN(K688)=10,VALUE(LEFT(K688,FIND("/",K688)-1))&gt;=1,VALUE(LEFT(K688,FIND("/",K688)-1))&lt;=31,VALUE(LEFT(MID(K688,FIND("/",K688)+1,10),FIND("/",MID(K688,FIND("/",K688)+1,10))-1))&gt;=1,VALUE(LEFT(MID(K688,FIND("/",K688)+1,10),FIND("/",MID(K688,FIND("/",K688)+1,10))-1))&lt;=12,VALUE(LEFT(K688,FIND("/",K688)-1))&lt;=DAY(EOMONTH(DATE(VALUE(MID(MID(K688,FIND("/",K688)+1,10),FIND("/",MID(K688,FIND("/",K688)+1,10))+1,4)),VALUE(LEFT(MID(K688,FIND("/",K688)+1,10),FIND("/",MID(K688,FIND("/",K688)+1,10))-1)),1),0))),0,1),1)+IFERROR(IF(M688&gt;=0,0,1),1)+IFERROR(IF(ISNUMBER(MATCH(N688,Lists!$B$2:$B$7,0)),0,1),1))=0,"OK","ERROR"))</f>
        <v/>
      </c>
      <c r="Q688" s="3" t="str">
        <f aca="false">IF(D688="","",TRIM(IF(IFERROR(IF(AND(TRIM(D688)=D688,LEN(D688)&gt;0),0,1),1)=1,"Name; ","")&amp;IF(IFERROR(IF(AND(LEN(E688)=10,ISNUMBER(VALUE(E688))),0,1),1)=1,"Phone; ","")&amp;IF(IFERROR(IF(AND(ISNUMBER(SEARCH("@",F688)),ISNUMBER(SEARCH(".",F688))),0,1),1)=1,"Email; ","")&amp;IF(IFERROR(IF(AND(LEN(J688)=6,ISNUMBER(VALUE(J688))),0,1),1)=1,"Pincode; ","")&amp;IF(IFERROR(IF(ISNUMBER(MATCH(TRIM(I688),Lists!$A$2:$A$20,0)),0,1),1)=1,"State; ","")&amp;IF(IFERROR(IF(AND(LEN(K688)=10,VALUE(LEFT(K688,FIND("/",K688)-1))&gt;=1,VALUE(LEFT(K688,FIND("/",K688)-1))&lt;=31,VALUE(LEFT(MID(K688,FIND("/",K688)+1,10),FIND("/",MID(K688,FIND("/",K688)+1,10))-1))&gt;=1,VALUE(LEFT(MID(K688,FIND("/",K688)+1,10),FIND("/",MID(K688,FIND("/",K688)+1,10))-1))&lt;=12,VALUE(LEFT(K688,FIND("/",K688)-1))&lt;=DAY(EOMONTH(DATE(VALUE(MID(MID(K688,FIND("/",K688)+1,10),FIND("/",MID(K688,FIND("/",K688)+1,10))+1,4)),VALUE(LEFT(MID(K688,FIND("/",K688)+1,10),FIND("/",MID(K688,FIND("/",K688)+1,10))-1)),1),0))),0,1),1)=1,"Date; ","")&amp;IF(IFERROR(IF(M688&gt;=0,0,1),1)=1,"Amount; ","")&amp;IF(IFERROR(IF(ISNUMBER(MATCH(N688,Lists!$B$2:$B$7,0)),0,1),1)=1,"Payment; ","")))</f>
        <v/>
      </c>
      <c r="R688" s="3" t="str">
        <f aca="false">IF(D688="","",IF(COUNTIFS($D$2:$D$701,D688,$E$2:$E$701,E688)&gt;1,"DUPLICATE","Unique"))</f>
        <v/>
      </c>
    </row>
    <row r="689" customFormat="false" ht="15" hidden="false" customHeight="false" outlineLevel="0" collapsed="false">
      <c r="A689" s="3" t="n">
        <v>688</v>
      </c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3" t="n">
        <f aca="false">IFERROR(LEN(C689&amp;D689&amp;E689&amp;F689&amp;G689&amp;H689&amp;I689&amp;J689&amp;K689&amp;L689&amp;M689&amp;N689)/5,0)</f>
        <v>0</v>
      </c>
      <c r="P689" s="3" t="str">
        <f aca="false">IF(OR(D689="",C689=""),"",IF((IFERROR(IF(AND(TRIM(D689)=D689,LEN(D689)&gt;0),0,1),1)+IFERROR(IF(AND(LEN(E689)=10,ISNUMBER(VALUE(E689))),0,1),1)+IFERROR(IF(AND(ISNUMBER(SEARCH("@",F689)),ISNUMBER(SEARCH(".",F689))),0,1),1)+IFERROR(IF(AND(LEN(J689)=6,ISNUMBER(VALUE(J689))),0,1),1)+IFERROR(IF(ISNUMBER(MATCH(TRIM(I689),Lists!$A$2:$A$20,0)),0,1),1)+IFERROR(IF(AND(LEN(K689)=10,VALUE(LEFT(K689,FIND("/",K689)-1))&gt;=1,VALUE(LEFT(K689,FIND("/",K689)-1))&lt;=31,VALUE(LEFT(MID(K689,FIND("/",K689)+1,10),FIND("/",MID(K689,FIND("/",K689)+1,10))-1))&gt;=1,VALUE(LEFT(MID(K689,FIND("/",K689)+1,10),FIND("/",MID(K689,FIND("/",K689)+1,10))-1))&lt;=12,VALUE(LEFT(K689,FIND("/",K689)-1))&lt;=DAY(EOMONTH(DATE(VALUE(MID(MID(K689,FIND("/",K689)+1,10),FIND("/",MID(K689,FIND("/",K689)+1,10))+1,4)),VALUE(LEFT(MID(K689,FIND("/",K689)+1,10),FIND("/",MID(K689,FIND("/",K689)+1,10))-1)),1),0))),0,1),1)+IFERROR(IF(M689&gt;=0,0,1),1)+IFERROR(IF(ISNUMBER(MATCH(N689,Lists!$B$2:$B$7,0)),0,1),1))=0,"OK","ERROR"))</f>
        <v/>
      </c>
      <c r="Q689" s="3" t="str">
        <f aca="false">IF(D689="","",TRIM(IF(IFERROR(IF(AND(TRIM(D689)=D689,LEN(D689)&gt;0),0,1),1)=1,"Name; ","")&amp;IF(IFERROR(IF(AND(LEN(E689)=10,ISNUMBER(VALUE(E689))),0,1),1)=1,"Phone; ","")&amp;IF(IFERROR(IF(AND(ISNUMBER(SEARCH("@",F689)),ISNUMBER(SEARCH(".",F689))),0,1),1)=1,"Email; ","")&amp;IF(IFERROR(IF(AND(LEN(J689)=6,ISNUMBER(VALUE(J689))),0,1),1)=1,"Pincode; ","")&amp;IF(IFERROR(IF(ISNUMBER(MATCH(TRIM(I689),Lists!$A$2:$A$20,0)),0,1),1)=1,"State; ","")&amp;IF(IFERROR(IF(AND(LEN(K689)=10,VALUE(LEFT(K689,FIND("/",K689)-1))&gt;=1,VALUE(LEFT(K689,FIND("/",K689)-1))&lt;=31,VALUE(LEFT(MID(K689,FIND("/",K689)+1,10),FIND("/",MID(K689,FIND("/",K689)+1,10))-1))&gt;=1,VALUE(LEFT(MID(K689,FIND("/",K689)+1,10),FIND("/",MID(K689,FIND("/",K689)+1,10))-1))&lt;=12,VALUE(LEFT(K689,FIND("/",K689)-1))&lt;=DAY(EOMONTH(DATE(VALUE(MID(MID(K689,FIND("/",K689)+1,10),FIND("/",MID(K689,FIND("/",K689)+1,10))+1,4)),VALUE(LEFT(MID(K689,FIND("/",K689)+1,10),FIND("/",MID(K689,FIND("/",K689)+1,10))-1)),1),0))),0,1),1)=1,"Date; ","")&amp;IF(IFERROR(IF(M689&gt;=0,0,1),1)=1,"Amount; ","")&amp;IF(IFERROR(IF(ISNUMBER(MATCH(N689,Lists!$B$2:$B$7,0)),0,1),1)=1,"Payment; ","")))</f>
        <v/>
      </c>
      <c r="R689" s="3" t="str">
        <f aca="false">IF(D689="","",IF(COUNTIFS($D$2:$D$701,D689,$E$2:$E$701,E689)&gt;1,"DUPLICATE","Unique"))</f>
        <v/>
      </c>
    </row>
    <row r="690" customFormat="false" ht="15" hidden="false" customHeight="false" outlineLevel="0" collapsed="false">
      <c r="A690" s="3" t="n">
        <v>689</v>
      </c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3" t="n">
        <f aca="false">IFERROR(LEN(C690&amp;D690&amp;E690&amp;F690&amp;G690&amp;H690&amp;I690&amp;J690&amp;K690&amp;L690&amp;M690&amp;N690)/5,0)</f>
        <v>0</v>
      </c>
      <c r="P690" s="3" t="str">
        <f aca="false">IF(OR(D690="",C690=""),"",IF((IFERROR(IF(AND(TRIM(D690)=D690,LEN(D690)&gt;0),0,1),1)+IFERROR(IF(AND(LEN(E690)=10,ISNUMBER(VALUE(E690))),0,1),1)+IFERROR(IF(AND(ISNUMBER(SEARCH("@",F690)),ISNUMBER(SEARCH(".",F690))),0,1),1)+IFERROR(IF(AND(LEN(J690)=6,ISNUMBER(VALUE(J690))),0,1),1)+IFERROR(IF(ISNUMBER(MATCH(TRIM(I690),Lists!$A$2:$A$20,0)),0,1),1)+IFERROR(IF(AND(LEN(K690)=10,VALUE(LEFT(K690,FIND("/",K690)-1))&gt;=1,VALUE(LEFT(K690,FIND("/",K690)-1))&lt;=31,VALUE(LEFT(MID(K690,FIND("/",K690)+1,10),FIND("/",MID(K690,FIND("/",K690)+1,10))-1))&gt;=1,VALUE(LEFT(MID(K690,FIND("/",K690)+1,10),FIND("/",MID(K690,FIND("/",K690)+1,10))-1))&lt;=12,VALUE(LEFT(K690,FIND("/",K690)-1))&lt;=DAY(EOMONTH(DATE(VALUE(MID(MID(K690,FIND("/",K690)+1,10),FIND("/",MID(K690,FIND("/",K690)+1,10))+1,4)),VALUE(LEFT(MID(K690,FIND("/",K690)+1,10),FIND("/",MID(K690,FIND("/",K690)+1,10))-1)),1),0))),0,1),1)+IFERROR(IF(M690&gt;=0,0,1),1)+IFERROR(IF(ISNUMBER(MATCH(N690,Lists!$B$2:$B$7,0)),0,1),1))=0,"OK","ERROR"))</f>
        <v/>
      </c>
      <c r="Q690" s="3" t="str">
        <f aca="false">IF(D690="","",TRIM(IF(IFERROR(IF(AND(TRIM(D690)=D690,LEN(D690)&gt;0),0,1),1)=1,"Name; ","")&amp;IF(IFERROR(IF(AND(LEN(E690)=10,ISNUMBER(VALUE(E690))),0,1),1)=1,"Phone; ","")&amp;IF(IFERROR(IF(AND(ISNUMBER(SEARCH("@",F690)),ISNUMBER(SEARCH(".",F690))),0,1),1)=1,"Email; ","")&amp;IF(IFERROR(IF(AND(LEN(J690)=6,ISNUMBER(VALUE(J690))),0,1),1)=1,"Pincode; ","")&amp;IF(IFERROR(IF(ISNUMBER(MATCH(TRIM(I690),Lists!$A$2:$A$20,0)),0,1),1)=1,"State; ","")&amp;IF(IFERROR(IF(AND(LEN(K690)=10,VALUE(LEFT(K690,FIND("/",K690)-1))&gt;=1,VALUE(LEFT(K690,FIND("/",K690)-1))&lt;=31,VALUE(LEFT(MID(K690,FIND("/",K690)+1,10),FIND("/",MID(K690,FIND("/",K690)+1,10))-1))&gt;=1,VALUE(LEFT(MID(K690,FIND("/",K690)+1,10),FIND("/",MID(K690,FIND("/",K690)+1,10))-1))&lt;=12,VALUE(LEFT(K690,FIND("/",K690)-1))&lt;=DAY(EOMONTH(DATE(VALUE(MID(MID(K690,FIND("/",K690)+1,10),FIND("/",MID(K690,FIND("/",K690)+1,10))+1,4)),VALUE(LEFT(MID(K690,FIND("/",K690)+1,10),FIND("/",MID(K690,FIND("/",K690)+1,10))-1)),1),0))),0,1),1)=1,"Date; ","")&amp;IF(IFERROR(IF(M690&gt;=0,0,1),1)=1,"Amount; ","")&amp;IF(IFERROR(IF(ISNUMBER(MATCH(N690,Lists!$B$2:$B$7,0)),0,1),1)=1,"Payment; ","")))</f>
        <v/>
      </c>
      <c r="R690" s="3" t="str">
        <f aca="false">IF(D690="","",IF(COUNTIFS($D$2:$D$701,D690,$E$2:$E$701,E690)&gt;1,"DUPLICATE","Unique"))</f>
        <v/>
      </c>
    </row>
    <row r="691" customFormat="false" ht="15" hidden="false" customHeight="false" outlineLevel="0" collapsed="false">
      <c r="A691" s="3" t="n">
        <v>690</v>
      </c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3" t="n">
        <f aca="false">IFERROR(LEN(C691&amp;D691&amp;E691&amp;F691&amp;G691&amp;H691&amp;I691&amp;J691&amp;K691&amp;L691&amp;M691&amp;N691)/5,0)</f>
        <v>0</v>
      </c>
      <c r="P691" s="3" t="str">
        <f aca="false">IF(OR(D691="",C691=""),"",IF((IFERROR(IF(AND(TRIM(D691)=D691,LEN(D691)&gt;0),0,1),1)+IFERROR(IF(AND(LEN(E691)=10,ISNUMBER(VALUE(E691))),0,1),1)+IFERROR(IF(AND(ISNUMBER(SEARCH("@",F691)),ISNUMBER(SEARCH(".",F691))),0,1),1)+IFERROR(IF(AND(LEN(J691)=6,ISNUMBER(VALUE(J691))),0,1),1)+IFERROR(IF(ISNUMBER(MATCH(TRIM(I691),Lists!$A$2:$A$20,0)),0,1),1)+IFERROR(IF(AND(LEN(K691)=10,VALUE(LEFT(K691,FIND("/",K691)-1))&gt;=1,VALUE(LEFT(K691,FIND("/",K691)-1))&lt;=31,VALUE(LEFT(MID(K691,FIND("/",K691)+1,10),FIND("/",MID(K691,FIND("/",K691)+1,10))-1))&gt;=1,VALUE(LEFT(MID(K691,FIND("/",K691)+1,10),FIND("/",MID(K691,FIND("/",K691)+1,10))-1))&lt;=12,VALUE(LEFT(K691,FIND("/",K691)-1))&lt;=DAY(EOMONTH(DATE(VALUE(MID(MID(K691,FIND("/",K691)+1,10),FIND("/",MID(K691,FIND("/",K691)+1,10))+1,4)),VALUE(LEFT(MID(K691,FIND("/",K691)+1,10),FIND("/",MID(K691,FIND("/",K691)+1,10))-1)),1),0))),0,1),1)+IFERROR(IF(M691&gt;=0,0,1),1)+IFERROR(IF(ISNUMBER(MATCH(N691,Lists!$B$2:$B$7,0)),0,1),1))=0,"OK","ERROR"))</f>
        <v/>
      </c>
      <c r="Q691" s="3" t="str">
        <f aca="false">IF(D691="","",TRIM(IF(IFERROR(IF(AND(TRIM(D691)=D691,LEN(D691)&gt;0),0,1),1)=1,"Name; ","")&amp;IF(IFERROR(IF(AND(LEN(E691)=10,ISNUMBER(VALUE(E691))),0,1),1)=1,"Phone; ","")&amp;IF(IFERROR(IF(AND(ISNUMBER(SEARCH("@",F691)),ISNUMBER(SEARCH(".",F691))),0,1),1)=1,"Email; ","")&amp;IF(IFERROR(IF(AND(LEN(J691)=6,ISNUMBER(VALUE(J691))),0,1),1)=1,"Pincode; ","")&amp;IF(IFERROR(IF(ISNUMBER(MATCH(TRIM(I691),Lists!$A$2:$A$20,0)),0,1),1)=1,"State; ","")&amp;IF(IFERROR(IF(AND(LEN(K691)=10,VALUE(LEFT(K691,FIND("/",K691)-1))&gt;=1,VALUE(LEFT(K691,FIND("/",K691)-1))&lt;=31,VALUE(LEFT(MID(K691,FIND("/",K691)+1,10),FIND("/",MID(K691,FIND("/",K691)+1,10))-1))&gt;=1,VALUE(LEFT(MID(K691,FIND("/",K691)+1,10),FIND("/",MID(K691,FIND("/",K691)+1,10))-1))&lt;=12,VALUE(LEFT(K691,FIND("/",K691)-1))&lt;=DAY(EOMONTH(DATE(VALUE(MID(MID(K691,FIND("/",K691)+1,10),FIND("/",MID(K691,FIND("/",K691)+1,10))+1,4)),VALUE(LEFT(MID(K691,FIND("/",K691)+1,10),FIND("/",MID(K691,FIND("/",K691)+1,10))-1)),1),0))),0,1),1)=1,"Date; ","")&amp;IF(IFERROR(IF(M691&gt;=0,0,1),1)=1,"Amount; ","")&amp;IF(IFERROR(IF(ISNUMBER(MATCH(N691,Lists!$B$2:$B$7,0)),0,1),1)=1,"Payment; ","")))</f>
        <v/>
      </c>
      <c r="R691" s="3" t="str">
        <f aca="false">IF(D691="","",IF(COUNTIFS($D$2:$D$701,D691,$E$2:$E$701,E691)&gt;1,"DUPLICATE","Unique"))</f>
        <v/>
      </c>
    </row>
    <row r="692" customFormat="false" ht="15" hidden="false" customHeight="false" outlineLevel="0" collapsed="false">
      <c r="A692" s="3" t="n">
        <v>691</v>
      </c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3" t="n">
        <f aca="false">IFERROR(LEN(C692&amp;D692&amp;E692&amp;F692&amp;G692&amp;H692&amp;I692&amp;J692&amp;K692&amp;L692&amp;M692&amp;N692)/5,0)</f>
        <v>0</v>
      </c>
      <c r="P692" s="3" t="str">
        <f aca="false">IF(OR(D692="",C692=""),"",IF((IFERROR(IF(AND(TRIM(D692)=D692,LEN(D692)&gt;0),0,1),1)+IFERROR(IF(AND(LEN(E692)=10,ISNUMBER(VALUE(E692))),0,1),1)+IFERROR(IF(AND(ISNUMBER(SEARCH("@",F692)),ISNUMBER(SEARCH(".",F692))),0,1),1)+IFERROR(IF(AND(LEN(J692)=6,ISNUMBER(VALUE(J692))),0,1),1)+IFERROR(IF(ISNUMBER(MATCH(TRIM(I692),Lists!$A$2:$A$20,0)),0,1),1)+IFERROR(IF(AND(LEN(K692)=10,VALUE(LEFT(K692,FIND("/",K692)-1))&gt;=1,VALUE(LEFT(K692,FIND("/",K692)-1))&lt;=31,VALUE(LEFT(MID(K692,FIND("/",K692)+1,10),FIND("/",MID(K692,FIND("/",K692)+1,10))-1))&gt;=1,VALUE(LEFT(MID(K692,FIND("/",K692)+1,10),FIND("/",MID(K692,FIND("/",K692)+1,10))-1))&lt;=12,VALUE(LEFT(K692,FIND("/",K692)-1))&lt;=DAY(EOMONTH(DATE(VALUE(MID(MID(K692,FIND("/",K692)+1,10),FIND("/",MID(K692,FIND("/",K692)+1,10))+1,4)),VALUE(LEFT(MID(K692,FIND("/",K692)+1,10),FIND("/",MID(K692,FIND("/",K692)+1,10))-1)),1),0))),0,1),1)+IFERROR(IF(M692&gt;=0,0,1),1)+IFERROR(IF(ISNUMBER(MATCH(N692,Lists!$B$2:$B$7,0)),0,1),1))=0,"OK","ERROR"))</f>
        <v/>
      </c>
      <c r="Q692" s="3" t="str">
        <f aca="false">IF(D692="","",TRIM(IF(IFERROR(IF(AND(TRIM(D692)=D692,LEN(D692)&gt;0),0,1),1)=1,"Name; ","")&amp;IF(IFERROR(IF(AND(LEN(E692)=10,ISNUMBER(VALUE(E692))),0,1),1)=1,"Phone; ","")&amp;IF(IFERROR(IF(AND(ISNUMBER(SEARCH("@",F692)),ISNUMBER(SEARCH(".",F692))),0,1),1)=1,"Email; ","")&amp;IF(IFERROR(IF(AND(LEN(J692)=6,ISNUMBER(VALUE(J692))),0,1),1)=1,"Pincode; ","")&amp;IF(IFERROR(IF(ISNUMBER(MATCH(TRIM(I692),Lists!$A$2:$A$20,0)),0,1),1)=1,"State; ","")&amp;IF(IFERROR(IF(AND(LEN(K692)=10,VALUE(LEFT(K692,FIND("/",K692)-1))&gt;=1,VALUE(LEFT(K692,FIND("/",K692)-1))&lt;=31,VALUE(LEFT(MID(K692,FIND("/",K692)+1,10),FIND("/",MID(K692,FIND("/",K692)+1,10))-1))&gt;=1,VALUE(LEFT(MID(K692,FIND("/",K692)+1,10),FIND("/",MID(K692,FIND("/",K692)+1,10))-1))&lt;=12,VALUE(LEFT(K692,FIND("/",K692)-1))&lt;=DAY(EOMONTH(DATE(VALUE(MID(MID(K692,FIND("/",K692)+1,10),FIND("/",MID(K692,FIND("/",K692)+1,10))+1,4)),VALUE(LEFT(MID(K692,FIND("/",K692)+1,10),FIND("/",MID(K692,FIND("/",K692)+1,10))-1)),1),0))),0,1),1)=1,"Date; ","")&amp;IF(IFERROR(IF(M692&gt;=0,0,1),1)=1,"Amount; ","")&amp;IF(IFERROR(IF(ISNUMBER(MATCH(N692,Lists!$B$2:$B$7,0)),0,1),1)=1,"Payment; ","")))</f>
        <v/>
      </c>
      <c r="R692" s="3" t="str">
        <f aca="false">IF(D692="","",IF(COUNTIFS($D$2:$D$701,D692,$E$2:$E$701,E692)&gt;1,"DUPLICATE","Unique"))</f>
        <v/>
      </c>
    </row>
    <row r="693" customFormat="false" ht="15" hidden="false" customHeight="false" outlineLevel="0" collapsed="false">
      <c r="A693" s="3" t="n">
        <v>692</v>
      </c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3" t="n">
        <f aca="false">IFERROR(LEN(C693&amp;D693&amp;E693&amp;F693&amp;G693&amp;H693&amp;I693&amp;J693&amp;K693&amp;L693&amp;M693&amp;N693)/5,0)</f>
        <v>0</v>
      </c>
      <c r="P693" s="3" t="str">
        <f aca="false">IF(OR(D693="",C693=""),"",IF((IFERROR(IF(AND(TRIM(D693)=D693,LEN(D693)&gt;0),0,1),1)+IFERROR(IF(AND(LEN(E693)=10,ISNUMBER(VALUE(E693))),0,1),1)+IFERROR(IF(AND(ISNUMBER(SEARCH("@",F693)),ISNUMBER(SEARCH(".",F693))),0,1),1)+IFERROR(IF(AND(LEN(J693)=6,ISNUMBER(VALUE(J693))),0,1),1)+IFERROR(IF(ISNUMBER(MATCH(TRIM(I693),Lists!$A$2:$A$20,0)),0,1),1)+IFERROR(IF(AND(LEN(K693)=10,VALUE(LEFT(K693,FIND("/",K693)-1))&gt;=1,VALUE(LEFT(K693,FIND("/",K693)-1))&lt;=31,VALUE(LEFT(MID(K693,FIND("/",K693)+1,10),FIND("/",MID(K693,FIND("/",K693)+1,10))-1))&gt;=1,VALUE(LEFT(MID(K693,FIND("/",K693)+1,10),FIND("/",MID(K693,FIND("/",K693)+1,10))-1))&lt;=12,VALUE(LEFT(K693,FIND("/",K693)-1))&lt;=DAY(EOMONTH(DATE(VALUE(MID(MID(K693,FIND("/",K693)+1,10),FIND("/",MID(K693,FIND("/",K693)+1,10))+1,4)),VALUE(LEFT(MID(K693,FIND("/",K693)+1,10),FIND("/",MID(K693,FIND("/",K693)+1,10))-1)),1),0))),0,1),1)+IFERROR(IF(M693&gt;=0,0,1),1)+IFERROR(IF(ISNUMBER(MATCH(N693,Lists!$B$2:$B$7,0)),0,1),1))=0,"OK","ERROR"))</f>
        <v/>
      </c>
      <c r="Q693" s="3" t="str">
        <f aca="false">IF(D693="","",TRIM(IF(IFERROR(IF(AND(TRIM(D693)=D693,LEN(D693)&gt;0),0,1),1)=1,"Name; ","")&amp;IF(IFERROR(IF(AND(LEN(E693)=10,ISNUMBER(VALUE(E693))),0,1),1)=1,"Phone; ","")&amp;IF(IFERROR(IF(AND(ISNUMBER(SEARCH("@",F693)),ISNUMBER(SEARCH(".",F693))),0,1),1)=1,"Email; ","")&amp;IF(IFERROR(IF(AND(LEN(J693)=6,ISNUMBER(VALUE(J693))),0,1),1)=1,"Pincode; ","")&amp;IF(IFERROR(IF(ISNUMBER(MATCH(TRIM(I693),Lists!$A$2:$A$20,0)),0,1),1)=1,"State; ","")&amp;IF(IFERROR(IF(AND(LEN(K693)=10,VALUE(LEFT(K693,FIND("/",K693)-1))&gt;=1,VALUE(LEFT(K693,FIND("/",K693)-1))&lt;=31,VALUE(LEFT(MID(K693,FIND("/",K693)+1,10),FIND("/",MID(K693,FIND("/",K693)+1,10))-1))&gt;=1,VALUE(LEFT(MID(K693,FIND("/",K693)+1,10),FIND("/",MID(K693,FIND("/",K693)+1,10))-1))&lt;=12,VALUE(LEFT(K693,FIND("/",K693)-1))&lt;=DAY(EOMONTH(DATE(VALUE(MID(MID(K693,FIND("/",K693)+1,10),FIND("/",MID(K693,FIND("/",K693)+1,10))+1,4)),VALUE(LEFT(MID(K693,FIND("/",K693)+1,10),FIND("/",MID(K693,FIND("/",K693)+1,10))-1)),1),0))),0,1),1)=1,"Date; ","")&amp;IF(IFERROR(IF(M693&gt;=0,0,1),1)=1,"Amount; ","")&amp;IF(IFERROR(IF(ISNUMBER(MATCH(N693,Lists!$B$2:$B$7,0)),0,1),1)=1,"Payment; ","")))</f>
        <v/>
      </c>
      <c r="R693" s="3" t="str">
        <f aca="false">IF(D693="","",IF(COUNTIFS($D$2:$D$701,D693,$E$2:$E$701,E693)&gt;1,"DUPLICATE","Unique"))</f>
        <v/>
      </c>
    </row>
    <row r="694" customFormat="false" ht="15" hidden="false" customHeight="false" outlineLevel="0" collapsed="false">
      <c r="A694" s="3" t="n">
        <v>693</v>
      </c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3" t="n">
        <f aca="false">IFERROR(LEN(C694&amp;D694&amp;E694&amp;F694&amp;G694&amp;H694&amp;I694&amp;J694&amp;K694&amp;L694&amp;M694&amp;N694)/5,0)</f>
        <v>0</v>
      </c>
      <c r="P694" s="3" t="str">
        <f aca="false">IF(OR(D694="",C694=""),"",IF((IFERROR(IF(AND(TRIM(D694)=D694,LEN(D694)&gt;0),0,1),1)+IFERROR(IF(AND(LEN(E694)=10,ISNUMBER(VALUE(E694))),0,1),1)+IFERROR(IF(AND(ISNUMBER(SEARCH("@",F694)),ISNUMBER(SEARCH(".",F694))),0,1),1)+IFERROR(IF(AND(LEN(J694)=6,ISNUMBER(VALUE(J694))),0,1),1)+IFERROR(IF(ISNUMBER(MATCH(TRIM(I694),Lists!$A$2:$A$20,0)),0,1),1)+IFERROR(IF(AND(LEN(K694)=10,VALUE(LEFT(K694,FIND("/",K694)-1))&gt;=1,VALUE(LEFT(K694,FIND("/",K694)-1))&lt;=31,VALUE(LEFT(MID(K694,FIND("/",K694)+1,10),FIND("/",MID(K694,FIND("/",K694)+1,10))-1))&gt;=1,VALUE(LEFT(MID(K694,FIND("/",K694)+1,10),FIND("/",MID(K694,FIND("/",K694)+1,10))-1))&lt;=12,VALUE(LEFT(K694,FIND("/",K694)-1))&lt;=DAY(EOMONTH(DATE(VALUE(MID(MID(K694,FIND("/",K694)+1,10),FIND("/",MID(K694,FIND("/",K694)+1,10))+1,4)),VALUE(LEFT(MID(K694,FIND("/",K694)+1,10),FIND("/",MID(K694,FIND("/",K694)+1,10))-1)),1),0))),0,1),1)+IFERROR(IF(M694&gt;=0,0,1),1)+IFERROR(IF(ISNUMBER(MATCH(N694,Lists!$B$2:$B$7,0)),0,1),1))=0,"OK","ERROR"))</f>
        <v/>
      </c>
      <c r="Q694" s="3" t="str">
        <f aca="false">IF(D694="","",TRIM(IF(IFERROR(IF(AND(TRIM(D694)=D694,LEN(D694)&gt;0),0,1),1)=1,"Name; ","")&amp;IF(IFERROR(IF(AND(LEN(E694)=10,ISNUMBER(VALUE(E694))),0,1),1)=1,"Phone; ","")&amp;IF(IFERROR(IF(AND(ISNUMBER(SEARCH("@",F694)),ISNUMBER(SEARCH(".",F694))),0,1),1)=1,"Email; ","")&amp;IF(IFERROR(IF(AND(LEN(J694)=6,ISNUMBER(VALUE(J694))),0,1),1)=1,"Pincode; ","")&amp;IF(IFERROR(IF(ISNUMBER(MATCH(TRIM(I694),Lists!$A$2:$A$20,0)),0,1),1)=1,"State; ","")&amp;IF(IFERROR(IF(AND(LEN(K694)=10,VALUE(LEFT(K694,FIND("/",K694)-1))&gt;=1,VALUE(LEFT(K694,FIND("/",K694)-1))&lt;=31,VALUE(LEFT(MID(K694,FIND("/",K694)+1,10),FIND("/",MID(K694,FIND("/",K694)+1,10))-1))&gt;=1,VALUE(LEFT(MID(K694,FIND("/",K694)+1,10),FIND("/",MID(K694,FIND("/",K694)+1,10))-1))&lt;=12,VALUE(LEFT(K694,FIND("/",K694)-1))&lt;=DAY(EOMONTH(DATE(VALUE(MID(MID(K694,FIND("/",K694)+1,10),FIND("/",MID(K694,FIND("/",K694)+1,10))+1,4)),VALUE(LEFT(MID(K694,FIND("/",K694)+1,10),FIND("/",MID(K694,FIND("/",K694)+1,10))-1)),1),0))),0,1),1)=1,"Date; ","")&amp;IF(IFERROR(IF(M694&gt;=0,0,1),1)=1,"Amount; ","")&amp;IF(IFERROR(IF(ISNUMBER(MATCH(N694,Lists!$B$2:$B$7,0)),0,1),1)=1,"Payment; ","")))</f>
        <v/>
      </c>
      <c r="R694" s="3" t="str">
        <f aca="false">IF(D694="","",IF(COUNTIFS($D$2:$D$701,D694,$E$2:$E$701,E694)&gt;1,"DUPLICATE","Unique"))</f>
        <v/>
      </c>
    </row>
    <row r="695" customFormat="false" ht="15" hidden="false" customHeight="false" outlineLevel="0" collapsed="false">
      <c r="A695" s="3" t="n">
        <v>694</v>
      </c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3" t="n">
        <f aca="false">IFERROR(LEN(C695&amp;D695&amp;E695&amp;F695&amp;G695&amp;H695&amp;I695&amp;J695&amp;K695&amp;L695&amp;M695&amp;N695)/5,0)</f>
        <v>0</v>
      </c>
      <c r="P695" s="3" t="str">
        <f aca="false">IF(OR(D695="",C695=""),"",IF((IFERROR(IF(AND(TRIM(D695)=D695,LEN(D695)&gt;0),0,1),1)+IFERROR(IF(AND(LEN(E695)=10,ISNUMBER(VALUE(E695))),0,1),1)+IFERROR(IF(AND(ISNUMBER(SEARCH("@",F695)),ISNUMBER(SEARCH(".",F695))),0,1),1)+IFERROR(IF(AND(LEN(J695)=6,ISNUMBER(VALUE(J695))),0,1),1)+IFERROR(IF(ISNUMBER(MATCH(TRIM(I695),Lists!$A$2:$A$20,0)),0,1),1)+IFERROR(IF(AND(LEN(K695)=10,VALUE(LEFT(K695,FIND("/",K695)-1))&gt;=1,VALUE(LEFT(K695,FIND("/",K695)-1))&lt;=31,VALUE(LEFT(MID(K695,FIND("/",K695)+1,10),FIND("/",MID(K695,FIND("/",K695)+1,10))-1))&gt;=1,VALUE(LEFT(MID(K695,FIND("/",K695)+1,10),FIND("/",MID(K695,FIND("/",K695)+1,10))-1))&lt;=12,VALUE(LEFT(K695,FIND("/",K695)-1))&lt;=DAY(EOMONTH(DATE(VALUE(MID(MID(K695,FIND("/",K695)+1,10),FIND("/",MID(K695,FIND("/",K695)+1,10))+1,4)),VALUE(LEFT(MID(K695,FIND("/",K695)+1,10),FIND("/",MID(K695,FIND("/",K695)+1,10))-1)),1),0))),0,1),1)+IFERROR(IF(M695&gt;=0,0,1),1)+IFERROR(IF(ISNUMBER(MATCH(N695,Lists!$B$2:$B$7,0)),0,1),1))=0,"OK","ERROR"))</f>
        <v/>
      </c>
      <c r="Q695" s="3" t="str">
        <f aca="false">IF(D695="","",TRIM(IF(IFERROR(IF(AND(TRIM(D695)=D695,LEN(D695)&gt;0),0,1),1)=1,"Name; ","")&amp;IF(IFERROR(IF(AND(LEN(E695)=10,ISNUMBER(VALUE(E695))),0,1),1)=1,"Phone; ","")&amp;IF(IFERROR(IF(AND(ISNUMBER(SEARCH("@",F695)),ISNUMBER(SEARCH(".",F695))),0,1),1)=1,"Email; ","")&amp;IF(IFERROR(IF(AND(LEN(J695)=6,ISNUMBER(VALUE(J695))),0,1),1)=1,"Pincode; ","")&amp;IF(IFERROR(IF(ISNUMBER(MATCH(TRIM(I695),Lists!$A$2:$A$20,0)),0,1),1)=1,"State; ","")&amp;IF(IFERROR(IF(AND(LEN(K695)=10,VALUE(LEFT(K695,FIND("/",K695)-1))&gt;=1,VALUE(LEFT(K695,FIND("/",K695)-1))&lt;=31,VALUE(LEFT(MID(K695,FIND("/",K695)+1,10),FIND("/",MID(K695,FIND("/",K695)+1,10))-1))&gt;=1,VALUE(LEFT(MID(K695,FIND("/",K695)+1,10),FIND("/",MID(K695,FIND("/",K695)+1,10))-1))&lt;=12,VALUE(LEFT(K695,FIND("/",K695)-1))&lt;=DAY(EOMONTH(DATE(VALUE(MID(MID(K695,FIND("/",K695)+1,10),FIND("/",MID(K695,FIND("/",K695)+1,10))+1,4)),VALUE(LEFT(MID(K695,FIND("/",K695)+1,10),FIND("/",MID(K695,FIND("/",K695)+1,10))-1)),1),0))),0,1),1)=1,"Date; ","")&amp;IF(IFERROR(IF(M695&gt;=0,0,1),1)=1,"Amount; ","")&amp;IF(IFERROR(IF(ISNUMBER(MATCH(N695,Lists!$B$2:$B$7,0)),0,1),1)=1,"Payment; ","")))</f>
        <v/>
      </c>
      <c r="R695" s="3" t="str">
        <f aca="false">IF(D695="","",IF(COUNTIFS($D$2:$D$701,D695,$E$2:$E$701,E695)&gt;1,"DUPLICATE","Unique"))</f>
        <v/>
      </c>
    </row>
    <row r="696" customFormat="false" ht="15" hidden="false" customHeight="false" outlineLevel="0" collapsed="false">
      <c r="A696" s="3" t="n">
        <v>695</v>
      </c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3" t="n">
        <f aca="false">IFERROR(LEN(C696&amp;D696&amp;E696&amp;F696&amp;G696&amp;H696&amp;I696&amp;J696&amp;K696&amp;L696&amp;M696&amp;N696)/5,0)</f>
        <v>0</v>
      </c>
      <c r="P696" s="3" t="str">
        <f aca="false">IF(OR(D696="",C696=""),"",IF((IFERROR(IF(AND(TRIM(D696)=D696,LEN(D696)&gt;0),0,1),1)+IFERROR(IF(AND(LEN(E696)=10,ISNUMBER(VALUE(E696))),0,1),1)+IFERROR(IF(AND(ISNUMBER(SEARCH("@",F696)),ISNUMBER(SEARCH(".",F696))),0,1),1)+IFERROR(IF(AND(LEN(J696)=6,ISNUMBER(VALUE(J696))),0,1),1)+IFERROR(IF(ISNUMBER(MATCH(TRIM(I696),Lists!$A$2:$A$20,0)),0,1),1)+IFERROR(IF(AND(LEN(K696)=10,VALUE(LEFT(K696,FIND("/",K696)-1))&gt;=1,VALUE(LEFT(K696,FIND("/",K696)-1))&lt;=31,VALUE(LEFT(MID(K696,FIND("/",K696)+1,10),FIND("/",MID(K696,FIND("/",K696)+1,10))-1))&gt;=1,VALUE(LEFT(MID(K696,FIND("/",K696)+1,10),FIND("/",MID(K696,FIND("/",K696)+1,10))-1))&lt;=12,VALUE(LEFT(K696,FIND("/",K696)-1))&lt;=DAY(EOMONTH(DATE(VALUE(MID(MID(K696,FIND("/",K696)+1,10),FIND("/",MID(K696,FIND("/",K696)+1,10))+1,4)),VALUE(LEFT(MID(K696,FIND("/",K696)+1,10),FIND("/",MID(K696,FIND("/",K696)+1,10))-1)),1),0))),0,1),1)+IFERROR(IF(M696&gt;=0,0,1),1)+IFERROR(IF(ISNUMBER(MATCH(N696,Lists!$B$2:$B$7,0)),0,1),1))=0,"OK","ERROR"))</f>
        <v/>
      </c>
      <c r="Q696" s="3" t="str">
        <f aca="false">IF(D696="","",TRIM(IF(IFERROR(IF(AND(TRIM(D696)=D696,LEN(D696)&gt;0),0,1),1)=1,"Name; ","")&amp;IF(IFERROR(IF(AND(LEN(E696)=10,ISNUMBER(VALUE(E696))),0,1),1)=1,"Phone; ","")&amp;IF(IFERROR(IF(AND(ISNUMBER(SEARCH("@",F696)),ISNUMBER(SEARCH(".",F696))),0,1),1)=1,"Email; ","")&amp;IF(IFERROR(IF(AND(LEN(J696)=6,ISNUMBER(VALUE(J696))),0,1),1)=1,"Pincode; ","")&amp;IF(IFERROR(IF(ISNUMBER(MATCH(TRIM(I696),Lists!$A$2:$A$20,0)),0,1),1)=1,"State; ","")&amp;IF(IFERROR(IF(AND(LEN(K696)=10,VALUE(LEFT(K696,FIND("/",K696)-1))&gt;=1,VALUE(LEFT(K696,FIND("/",K696)-1))&lt;=31,VALUE(LEFT(MID(K696,FIND("/",K696)+1,10),FIND("/",MID(K696,FIND("/",K696)+1,10))-1))&gt;=1,VALUE(LEFT(MID(K696,FIND("/",K696)+1,10),FIND("/",MID(K696,FIND("/",K696)+1,10))-1))&lt;=12,VALUE(LEFT(K696,FIND("/",K696)-1))&lt;=DAY(EOMONTH(DATE(VALUE(MID(MID(K696,FIND("/",K696)+1,10),FIND("/",MID(K696,FIND("/",K696)+1,10))+1,4)),VALUE(LEFT(MID(K696,FIND("/",K696)+1,10),FIND("/",MID(K696,FIND("/",K696)+1,10))-1)),1),0))),0,1),1)=1,"Date; ","")&amp;IF(IFERROR(IF(M696&gt;=0,0,1),1)=1,"Amount; ","")&amp;IF(IFERROR(IF(ISNUMBER(MATCH(N696,Lists!$B$2:$B$7,0)),0,1),1)=1,"Payment; ","")))</f>
        <v/>
      </c>
      <c r="R696" s="3" t="str">
        <f aca="false">IF(D696="","",IF(COUNTIFS($D$2:$D$701,D696,$E$2:$E$701,E696)&gt;1,"DUPLICATE","Unique"))</f>
        <v/>
      </c>
    </row>
    <row r="697" customFormat="false" ht="15" hidden="false" customHeight="false" outlineLevel="0" collapsed="false">
      <c r="A697" s="3" t="n">
        <v>696</v>
      </c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3" t="n">
        <f aca="false">IFERROR(LEN(C697&amp;D697&amp;E697&amp;F697&amp;G697&amp;H697&amp;I697&amp;J697&amp;K697&amp;L697&amp;M697&amp;N697)/5,0)</f>
        <v>0</v>
      </c>
      <c r="P697" s="3" t="str">
        <f aca="false">IF(OR(D697="",C697=""),"",IF((IFERROR(IF(AND(TRIM(D697)=D697,LEN(D697)&gt;0),0,1),1)+IFERROR(IF(AND(LEN(E697)=10,ISNUMBER(VALUE(E697))),0,1),1)+IFERROR(IF(AND(ISNUMBER(SEARCH("@",F697)),ISNUMBER(SEARCH(".",F697))),0,1),1)+IFERROR(IF(AND(LEN(J697)=6,ISNUMBER(VALUE(J697))),0,1),1)+IFERROR(IF(ISNUMBER(MATCH(TRIM(I697),Lists!$A$2:$A$20,0)),0,1),1)+IFERROR(IF(AND(LEN(K697)=10,VALUE(LEFT(K697,FIND("/",K697)-1))&gt;=1,VALUE(LEFT(K697,FIND("/",K697)-1))&lt;=31,VALUE(LEFT(MID(K697,FIND("/",K697)+1,10),FIND("/",MID(K697,FIND("/",K697)+1,10))-1))&gt;=1,VALUE(LEFT(MID(K697,FIND("/",K697)+1,10),FIND("/",MID(K697,FIND("/",K697)+1,10))-1))&lt;=12,VALUE(LEFT(K697,FIND("/",K697)-1))&lt;=DAY(EOMONTH(DATE(VALUE(MID(MID(K697,FIND("/",K697)+1,10),FIND("/",MID(K697,FIND("/",K697)+1,10))+1,4)),VALUE(LEFT(MID(K697,FIND("/",K697)+1,10),FIND("/",MID(K697,FIND("/",K697)+1,10))-1)),1),0))),0,1),1)+IFERROR(IF(M697&gt;=0,0,1),1)+IFERROR(IF(ISNUMBER(MATCH(N697,Lists!$B$2:$B$7,0)),0,1),1))=0,"OK","ERROR"))</f>
        <v/>
      </c>
      <c r="Q697" s="3" t="str">
        <f aca="false">IF(D697="","",TRIM(IF(IFERROR(IF(AND(TRIM(D697)=D697,LEN(D697)&gt;0),0,1),1)=1,"Name; ","")&amp;IF(IFERROR(IF(AND(LEN(E697)=10,ISNUMBER(VALUE(E697))),0,1),1)=1,"Phone; ","")&amp;IF(IFERROR(IF(AND(ISNUMBER(SEARCH("@",F697)),ISNUMBER(SEARCH(".",F697))),0,1),1)=1,"Email; ","")&amp;IF(IFERROR(IF(AND(LEN(J697)=6,ISNUMBER(VALUE(J697))),0,1),1)=1,"Pincode; ","")&amp;IF(IFERROR(IF(ISNUMBER(MATCH(TRIM(I697),Lists!$A$2:$A$20,0)),0,1),1)=1,"State; ","")&amp;IF(IFERROR(IF(AND(LEN(K697)=10,VALUE(LEFT(K697,FIND("/",K697)-1))&gt;=1,VALUE(LEFT(K697,FIND("/",K697)-1))&lt;=31,VALUE(LEFT(MID(K697,FIND("/",K697)+1,10),FIND("/",MID(K697,FIND("/",K697)+1,10))-1))&gt;=1,VALUE(LEFT(MID(K697,FIND("/",K697)+1,10),FIND("/",MID(K697,FIND("/",K697)+1,10))-1))&lt;=12,VALUE(LEFT(K697,FIND("/",K697)-1))&lt;=DAY(EOMONTH(DATE(VALUE(MID(MID(K697,FIND("/",K697)+1,10),FIND("/",MID(K697,FIND("/",K697)+1,10))+1,4)),VALUE(LEFT(MID(K697,FIND("/",K697)+1,10),FIND("/",MID(K697,FIND("/",K697)+1,10))-1)),1),0))),0,1),1)=1,"Date; ","")&amp;IF(IFERROR(IF(M697&gt;=0,0,1),1)=1,"Amount; ","")&amp;IF(IFERROR(IF(ISNUMBER(MATCH(N697,Lists!$B$2:$B$7,0)),0,1),1)=1,"Payment; ","")))</f>
        <v/>
      </c>
      <c r="R697" s="3" t="str">
        <f aca="false">IF(D697="","",IF(COUNTIFS($D$2:$D$701,D697,$E$2:$E$701,E697)&gt;1,"DUPLICATE","Unique"))</f>
        <v/>
      </c>
    </row>
    <row r="698" customFormat="false" ht="15" hidden="false" customHeight="false" outlineLevel="0" collapsed="false">
      <c r="A698" s="3" t="n">
        <v>697</v>
      </c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3" t="n">
        <f aca="false">IFERROR(LEN(C698&amp;D698&amp;E698&amp;F698&amp;G698&amp;H698&amp;I698&amp;J698&amp;K698&amp;L698&amp;M698&amp;N698)/5,0)</f>
        <v>0</v>
      </c>
      <c r="P698" s="3" t="str">
        <f aca="false">IF(OR(D698="",C698=""),"",IF((IFERROR(IF(AND(TRIM(D698)=D698,LEN(D698)&gt;0),0,1),1)+IFERROR(IF(AND(LEN(E698)=10,ISNUMBER(VALUE(E698))),0,1),1)+IFERROR(IF(AND(ISNUMBER(SEARCH("@",F698)),ISNUMBER(SEARCH(".",F698))),0,1),1)+IFERROR(IF(AND(LEN(J698)=6,ISNUMBER(VALUE(J698))),0,1),1)+IFERROR(IF(ISNUMBER(MATCH(TRIM(I698),Lists!$A$2:$A$20,0)),0,1),1)+IFERROR(IF(AND(LEN(K698)=10,VALUE(LEFT(K698,FIND("/",K698)-1))&gt;=1,VALUE(LEFT(K698,FIND("/",K698)-1))&lt;=31,VALUE(LEFT(MID(K698,FIND("/",K698)+1,10),FIND("/",MID(K698,FIND("/",K698)+1,10))-1))&gt;=1,VALUE(LEFT(MID(K698,FIND("/",K698)+1,10),FIND("/",MID(K698,FIND("/",K698)+1,10))-1))&lt;=12,VALUE(LEFT(K698,FIND("/",K698)-1))&lt;=DAY(EOMONTH(DATE(VALUE(MID(MID(K698,FIND("/",K698)+1,10),FIND("/",MID(K698,FIND("/",K698)+1,10))+1,4)),VALUE(LEFT(MID(K698,FIND("/",K698)+1,10),FIND("/",MID(K698,FIND("/",K698)+1,10))-1)),1),0))),0,1),1)+IFERROR(IF(M698&gt;=0,0,1),1)+IFERROR(IF(ISNUMBER(MATCH(N698,Lists!$B$2:$B$7,0)),0,1),1))=0,"OK","ERROR"))</f>
        <v/>
      </c>
      <c r="Q698" s="3" t="str">
        <f aca="false">IF(D698="","",TRIM(IF(IFERROR(IF(AND(TRIM(D698)=D698,LEN(D698)&gt;0),0,1),1)=1,"Name; ","")&amp;IF(IFERROR(IF(AND(LEN(E698)=10,ISNUMBER(VALUE(E698))),0,1),1)=1,"Phone; ","")&amp;IF(IFERROR(IF(AND(ISNUMBER(SEARCH("@",F698)),ISNUMBER(SEARCH(".",F698))),0,1),1)=1,"Email; ","")&amp;IF(IFERROR(IF(AND(LEN(J698)=6,ISNUMBER(VALUE(J698))),0,1),1)=1,"Pincode; ","")&amp;IF(IFERROR(IF(ISNUMBER(MATCH(TRIM(I698),Lists!$A$2:$A$20,0)),0,1),1)=1,"State; ","")&amp;IF(IFERROR(IF(AND(LEN(K698)=10,VALUE(LEFT(K698,FIND("/",K698)-1))&gt;=1,VALUE(LEFT(K698,FIND("/",K698)-1))&lt;=31,VALUE(LEFT(MID(K698,FIND("/",K698)+1,10),FIND("/",MID(K698,FIND("/",K698)+1,10))-1))&gt;=1,VALUE(LEFT(MID(K698,FIND("/",K698)+1,10),FIND("/",MID(K698,FIND("/",K698)+1,10))-1))&lt;=12,VALUE(LEFT(K698,FIND("/",K698)-1))&lt;=DAY(EOMONTH(DATE(VALUE(MID(MID(K698,FIND("/",K698)+1,10),FIND("/",MID(K698,FIND("/",K698)+1,10))+1,4)),VALUE(LEFT(MID(K698,FIND("/",K698)+1,10),FIND("/",MID(K698,FIND("/",K698)+1,10))-1)),1),0))),0,1),1)=1,"Date; ","")&amp;IF(IFERROR(IF(M698&gt;=0,0,1),1)=1,"Amount; ","")&amp;IF(IFERROR(IF(ISNUMBER(MATCH(N698,Lists!$B$2:$B$7,0)),0,1),1)=1,"Payment; ","")))</f>
        <v/>
      </c>
      <c r="R698" s="3" t="str">
        <f aca="false">IF(D698="","",IF(COUNTIFS($D$2:$D$701,D698,$E$2:$E$701,E698)&gt;1,"DUPLICATE","Unique"))</f>
        <v/>
      </c>
    </row>
    <row r="699" customFormat="false" ht="15" hidden="false" customHeight="false" outlineLevel="0" collapsed="false">
      <c r="A699" s="3" t="n">
        <v>698</v>
      </c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3" t="n">
        <f aca="false">IFERROR(LEN(C699&amp;D699&amp;E699&amp;F699&amp;G699&amp;H699&amp;I699&amp;J699&amp;K699&amp;L699&amp;M699&amp;N699)/5,0)</f>
        <v>0</v>
      </c>
      <c r="P699" s="3" t="str">
        <f aca="false">IF(OR(D699="",C699=""),"",IF((IFERROR(IF(AND(TRIM(D699)=D699,LEN(D699)&gt;0),0,1),1)+IFERROR(IF(AND(LEN(E699)=10,ISNUMBER(VALUE(E699))),0,1),1)+IFERROR(IF(AND(ISNUMBER(SEARCH("@",F699)),ISNUMBER(SEARCH(".",F699))),0,1),1)+IFERROR(IF(AND(LEN(J699)=6,ISNUMBER(VALUE(J699))),0,1),1)+IFERROR(IF(ISNUMBER(MATCH(TRIM(I699),Lists!$A$2:$A$20,0)),0,1),1)+IFERROR(IF(AND(LEN(K699)=10,VALUE(LEFT(K699,FIND("/",K699)-1))&gt;=1,VALUE(LEFT(K699,FIND("/",K699)-1))&lt;=31,VALUE(LEFT(MID(K699,FIND("/",K699)+1,10),FIND("/",MID(K699,FIND("/",K699)+1,10))-1))&gt;=1,VALUE(LEFT(MID(K699,FIND("/",K699)+1,10),FIND("/",MID(K699,FIND("/",K699)+1,10))-1))&lt;=12,VALUE(LEFT(K699,FIND("/",K699)-1))&lt;=DAY(EOMONTH(DATE(VALUE(MID(MID(K699,FIND("/",K699)+1,10),FIND("/",MID(K699,FIND("/",K699)+1,10))+1,4)),VALUE(LEFT(MID(K699,FIND("/",K699)+1,10),FIND("/",MID(K699,FIND("/",K699)+1,10))-1)),1),0))),0,1),1)+IFERROR(IF(M699&gt;=0,0,1),1)+IFERROR(IF(ISNUMBER(MATCH(N699,Lists!$B$2:$B$7,0)),0,1),1))=0,"OK","ERROR"))</f>
        <v/>
      </c>
      <c r="Q699" s="3" t="str">
        <f aca="false">IF(D699="","",TRIM(IF(IFERROR(IF(AND(TRIM(D699)=D699,LEN(D699)&gt;0),0,1),1)=1,"Name; ","")&amp;IF(IFERROR(IF(AND(LEN(E699)=10,ISNUMBER(VALUE(E699))),0,1),1)=1,"Phone; ","")&amp;IF(IFERROR(IF(AND(ISNUMBER(SEARCH("@",F699)),ISNUMBER(SEARCH(".",F699))),0,1),1)=1,"Email; ","")&amp;IF(IFERROR(IF(AND(LEN(J699)=6,ISNUMBER(VALUE(J699))),0,1),1)=1,"Pincode; ","")&amp;IF(IFERROR(IF(ISNUMBER(MATCH(TRIM(I699),Lists!$A$2:$A$20,0)),0,1),1)=1,"State; ","")&amp;IF(IFERROR(IF(AND(LEN(K699)=10,VALUE(LEFT(K699,FIND("/",K699)-1))&gt;=1,VALUE(LEFT(K699,FIND("/",K699)-1))&lt;=31,VALUE(LEFT(MID(K699,FIND("/",K699)+1,10),FIND("/",MID(K699,FIND("/",K699)+1,10))-1))&gt;=1,VALUE(LEFT(MID(K699,FIND("/",K699)+1,10),FIND("/",MID(K699,FIND("/",K699)+1,10))-1))&lt;=12,VALUE(LEFT(K699,FIND("/",K699)-1))&lt;=DAY(EOMONTH(DATE(VALUE(MID(MID(K699,FIND("/",K699)+1,10),FIND("/",MID(K699,FIND("/",K699)+1,10))+1,4)),VALUE(LEFT(MID(K699,FIND("/",K699)+1,10),FIND("/",MID(K699,FIND("/",K699)+1,10))-1)),1),0))),0,1),1)=1,"Date; ","")&amp;IF(IFERROR(IF(M699&gt;=0,0,1),1)=1,"Amount; ","")&amp;IF(IFERROR(IF(ISNUMBER(MATCH(N699,Lists!$B$2:$B$7,0)),0,1),1)=1,"Payment; ","")))</f>
        <v/>
      </c>
      <c r="R699" s="3" t="str">
        <f aca="false">IF(D699="","",IF(COUNTIFS($D$2:$D$701,D699,$E$2:$E$701,E699)&gt;1,"DUPLICATE","Unique"))</f>
        <v/>
      </c>
    </row>
    <row r="700" customFormat="false" ht="15" hidden="false" customHeight="false" outlineLevel="0" collapsed="false">
      <c r="A700" s="3" t="n">
        <v>699</v>
      </c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3" t="n">
        <f aca="false">IFERROR(LEN(C700&amp;D700&amp;E700&amp;F700&amp;G700&amp;H700&amp;I700&amp;J700&amp;K700&amp;L700&amp;M700&amp;N700)/5,0)</f>
        <v>0</v>
      </c>
      <c r="P700" s="3" t="str">
        <f aca="false">IF(OR(D700="",C700=""),"",IF((IFERROR(IF(AND(TRIM(D700)=D700,LEN(D700)&gt;0),0,1),1)+IFERROR(IF(AND(LEN(E700)=10,ISNUMBER(VALUE(E700))),0,1),1)+IFERROR(IF(AND(ISNUMBER(SEARCH("@",F700)),ISNUMBER(SEARCH(".",F700))),0,1),1)+IFERROR(IF(AND(LEN(J700)=6,ISNUMBER(VALUE(J700))),0,1),1)+IFERROR(IF(ISNUMBER(MATCH(TRIM(I700),Lists!$A$2:$A$20,0)),0,1),1)+IFERROR(IF(AND(LEN(K700)=10,VALUE(LEFT(K700,FIND("/",K700)-1))&gt;=1,VALUE(LEFT(K700,FIND("/",K700)-1))&lt;=31,VALUE(LEFT(MID(K700,FIND("/",K700)+1,10),FIND("/",MID(K700,FIND("/",K700)+1,10))-1))&gt;=1,VALUE(LEFT(MID(K700,FIND("/",K700)+1,10),FIND("/",MID(K700,FIND("/",K700)+1,10))-1))&lt;=12,VALUE(LEFT(K700,FIND("/",K700)-1))&lt;=DAY(EOMONTH(DATE(VALUE(MID(MID(K700,FIND("/",K700)+1,10),FIND("/",MID(K700,FIND("/",K700)+1,10))+1,4)),VALUE(LEFT(MID(K700,FIND("/",K700)+1,10),FIND("/",MID(K700,FIND("/",K700)+1,10))-1)),1),0))),0,1),1)+IFERROR(IF(M700&gt;=0,0,1),1)+IFERROR(IF(ISNUMBER(MATCH(N700,Lists!$B$2:$B$7,0)),0,1),1))=0,"OK","ERROR"))</f>
        <v/>
      </c>
      <c r="Q700" s="3" t="str">
        <f aca="false">IF(D700="","",TRIM(IF(IFERROR(IF(AND(TRIM(D700)=D700,LEN(D700)&gt;0),0,1),1)=1,"Name; ","")&amp;IF(IFERROR(IF(AND(LEN(E700)=10,ISNUMBER(VALUE(E700))),0,1),1)=1,"Phone; ","")&amp;IF(IFERROR(IF(AND(ISNUMBER(SEARCH("@",F700)),ISNUMBER(SEARCH(".",F700))),0,1),1)=1,"Email; ","")&amp;IF(IFERROR(IF(AND(LEN(J700)=6,ISNUMBER(VALUE(J700))),0,1),1)=1,"Pincode; ","")&amp;IF(IFERROR(IF(ISNUMBER(MATCH(TRIM(I700),Lists!$A$2:$A$20,0)),0,1),1)=1,"State; ","")&amp;IF(IFERROR(IF(AND(LEN(K700)=10,VALUE(LEFT(K700,FIND("/",K700)-1))&gt;=1,VALUE(LEFT(K700,FIND("/",K700)-1))&lt;=31,VALUE(LEFT(MID(K700,FIND("/",K700)+1,10),FIND("/",MID(K700,FIND("/",K700)+1,10))-1))&gt;=1,VALUE(LEFT(MID(K700,FIND("/",K700)+1,10),FIND("/",MID(K700,FIND("/",K700)+1,10))-1))&lt;=12,VALUE(LEFT(K700,FIND("/",K700)-1))&lt;=DAY(EOMONTH(DATE(VALUE(MID(MID(K700,FIND("/",K700)+1,10),FIND("/",MID(K700,FIND("/",K700)+1,10))+1,4)),VALUE(LEFT(MID(K700,FIND("/",K700)+1,10),FIND("/",MID(K700,FIND("/",K700)+1,10))-1)),1),0))),0,1),1)=1,"Date; ","")&amp;IF(IFERROR(IF(M700&gt;=0,0,1),1)=1,"Amount; ","")&amp;IF(IFERROR(IF(ISNUMBER(MATCH(N700,Lists!$B$2:$B$7,0)),0,1),1)=1,"Payment; ","")))</f>
        <v/>
      </c>
      <c r="R700" s="3" t="str">
        <f aca="false">IF(D700="","",IF(COUNTIFS($D$2:$D$701,D700,$E$2:$E$701,E700)&gt;1,"DUPLICATE","Unique"))</f>
        <v/>
      </c>
    </row>
    <row r="701" customFormat="false" ht="15" hidden="false" customHeight="false" outlineLevel="0" collapsed="false">
      <c r="A701" s="3" t="n">
        <v>700</v>
      </c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3" t="n">
        <f aca="false">IFERROR(LEN(C701&amp;D701&amp;E701&amp;F701&amp;G701&amp;H701&amp;I701&amp;J701&amp;K701&amp;L701&amp;M701&amp;N701)/5,0)</f>
        <v>0</v>
      </c>
      <c r="P701" s="3" t="str">
        <f aca="false">IF(OR(D701="",C701=""),"",IF((IFERROR(IF(AND(TRIM(D701)=D701,LEN(D701)&gt;0),0,1),1)+IFERROR(IF(AND(LEN(E701)=10,ISNUMBER(VALUE(E701))),0,1),1)+IFERROR(IF(AND(ISNUMBER(SEARCH("@",F701)),ISNUMBER(SEARCH(".",F701))),0,1),1)+IFERROR(IF(AND(LEN(J701)=6,ISNUMBER(VALUE(J701))),0,1),1)+IFERROR(IF(ISNUMBER(MATCH(TRIM(I701),Lists!$A$2:$A$20,0)),0,1),1)+IFERROR(IF(AND(LEN(K701)=10,VALUE(LEFT(K701,FIND("/",K701)-1))&gt;=1,VALUE(LEFT(K701,FIND("/",K701)-1))&lt;=31,VALUE(LEFT(MID(K701,FIND("/",K701)+1,10),FIND("/",MID(K701,FIND("/",K701)+1,10))-1))&gt;=1,VALUE(LEFT(MID(K701,FIND("/",K701)+1,10),FIND("/",MID(K701,FIND("/",K701)+1,10))-1))&lt;=12,VALUE(LEFT(K701,FIND("/",K701)-1))&lt;=DAY(EOMONTH(DATE(VALUE(MID(MID(K701,FIND("/",K701)+1,10),FIND("/",MID(K701,FIND("/",K701)+1,10))+1,4)),VALUE(LEFT(MID(K701,FIND("/",K701)+1,10),FIND("/",MID(K701,FIND("/",K701)+1,10))-1)),1),0))),0,1),1)+IFERROR(IF(M701&gt;=0,0,1),1)+IFERROR(IF(ISNUMBER(MATCH(N701,Lists!$B$2:$B$7,0)),0,1),1))=0,"OK","ERROR"))</f>
        <v/>
      </c>
      <c r="Q701" s="3" t="str">
        <f aca="false">IF(D701="","",TRIM(IF(IFERROR(IF(AND(TRIM(D701)=D701,LEN(D701)&gt;0),0,1),1)=1,"Name; ","")&amp;IF(IFERROR(IF(AND(LEN(E701)=10,ISNUMBER(VALUE(E701))),0,1),1)=1,"Phone; ","")&amp;IF(IFERROR(IF(AND(ISNUMBER(SEARCH("@",F701)),ISNUMBER(SEARCH(".",F701))),0,1),1)=1,"Email; ","")&amp;IF(IFERROR(IF(AND(LEN(J701)=6,ISNUMBER(VALUE(J701))),0,1),1)=1,"Pincode; ","")&amp;IF(IFERROR(IF(ISNUMBER(MATCH(TRIM(I701),Lists!$A$2:$A$20,0)),0,1),1)=1,"State; ","")&amp;IF(IFERROR(IF(AND(LEN(K701)=10,VALUE(LEFT(K701,FIND("/",K701)-1))&gt;=1,VALUE(LEFT(K701,FIND("/",K701)-1))&lt;=31,VALUE(LEFT(MID(K701,FIND("/",K701)+1,10),FIND("/",MID(K701,FIND("/",K701)+1,10))-1))&gt;=1,VALUE(LEFT(MID(K701,FIND("/",K701)+1,10),FIND("/",MID(K701,FIND("/",K701)+1,10))-1))&lt;=12,VALUE(LEFT(K701,FIND("/",K701)-1))&lt;=DAY(EOMONTH(DATE(VALUE(MID(MID(K701,FIND("/",K701)+1,10),FIND("/",MID(K701,FIND("/",K701)+1,10))+1,4)),VALUE(LEFT(MID(K701,FIND("/",K701)+1,10),FIND("/",MID(K701,FIND("/",K701)+1,10))-1)),1),0))),0,1),1)=1,"Date; ","")&amp;IF(IFERROR(IF(M701&gt;=0,0,1),1)=1,"Amount; ","")&amp;IF(IFERROR(IF(ISNUMBER(MATCH(N701,Lists!$B$2:$B$7,0)),0,1),1)=1,"Payment; ","")))</f>
        <v/>
      </c>
      <c r="R701" s="3" t="str">
        <f aca="false">IF(D701="","",IF(COUNTIFS($D$2:$D$701,D701,$E$2:$E$701,E701)&gt;1,"DUPLICATE","Unique"))</f>
        <v/>
      </c>
    </row>
  </sheetData>
  <conditionalFormatting sqref="P2:P70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"ERROR"</formula>
    </cfRule>
  </conditionalFormatting>
  <conditionalFormatting sqref="R2:R701">
    <cfRule type="cellIs" priority="4" operator="equal" aboveAverage="0" equalAverage="0" bottom="0" percent="0" rank="0" text="" dxfId="1">
      <formula>"DUPLICATE"</formula>
    </cfRule>
  </conditionalFormatting>
  <dataValidations count="6">
    <dataValidation allowBlank="true" error="Please pick a state from the list." errorStyle="stop" errorTitle="Invalid State" operator="between" showDropDown="false" showErrorMessage="false" showInputMessage="false" sqref="I2:I701" type="list">
      <formula1>Lists!$A$2:$A$20</formula1>
      <formula2>0</formula2>
    </dataValidation>
    <dataValidation allowBlank="true" error="Please pick a payment mode from the list." errorStyle="stop" errorTitle="Invalid Payment Mode" operator="between" showDropDown="false" showErrorMessage="false" showInputMessage="false" sqref="N2:N701" type="list">
      <formula1>Lists!$B$2:$B$7</formula1>
      <formula2>0</formula2>
    </dataValidation>
    <dataValidation allowBlank="true" error="Please pick a product from the list." errorStyle="stop" errorTitle="Invalid Product" operator="between" showDropDown="false" showErrorMessage="false" showInputMessage="false" sqref="L2:L701" type="list">
      <formula1>Lists!$C$2:$C$16</formula1>
      <formula2>0</formula2>
    </dataValidation>
    <dataValidation allowBlank="true" error="Pincode must be exactly 6 digits." errorStyle="stop" errorTitle="Invalid Pincode" operator="equal" showDropDown="false" showErrorMessage="false" showInputMessage="false" sqref="J2:J701" type="textLength">
      <formula1>6</formula1>
      <formula2>0</formula2>
    </dataValidation>
    <dataValidation allowBlank="true" error="Phone number must be exactly 10 digits." errorStyle="stop" errorTitle="Invalid Phone" operator="equal" showDropDown="false" showErrorMessage="false" showInputMessage="false" sqref="E2:E701" type="textLength">
      <formula1>10</formula1>
      <formula2>0</formula2>
    </dataValidation>
    <dataValidation allowBlank="true" error="Amount cannot be negative." errorStyle="stop" errorTitle="Invalid Amount" operator="greaterThanOrEqual" showDropDown="false" showErrorMessage="false" showInputMessage="false" sqref="M2:M7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4" min="3" style="0" width="11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3552</v>
      </c>
    </row>
    <row r="2" customFormat="false" ht="15" hidden="false" customHeight="false" outlineLevel="0" collapsed="false">
      <c r="A2" s="2" t="s">
        <v>3553</v>
      </c>
    </row>
    <row r="4" customFormat="false" ht="27.75" hidden="false" customHeight="true" outlineLevel="0" collapsed="false">
      <c r="A4" s="6" t="s">
        <v>80</v>
      </c>
      <c r="B4" s="6" t="s">
        <v>3554</v>
      </c>
      <c r="C4" s="6" t="s">
        <v>3555</v>
      </c>
      <c r="D4" s="6" t="s">
        <v>3556</v>
      </c>
      <c r="E4" s="6" t="s">
        <v>3557</v>
      </c>
      <c r="F4" s="6" t="s">
        <v>3558</v>
      </c>
      <c r="G4" s="6" t="s">
        <v>3559</v>
      </c>
      <c r="H4" s="6" t="s">
        <v>3560</v>
      </c>
      <c r="I4" s="6" t="s">
        <v>3561</v>
      </c>
    </row>
    <row r="5" customFormat="false" ht="15" hidden="false" customHeight="false" outlineLevel="0" collapsed="false">
      <c r="A5" s="8" t="n">
        <v>1</v>
      </c>
      <c r="B5" s="8" t="n">
        <v>50</v>
      </c>
      <c r="C5" s="9" t="s">
        <v>3562</v>
      </c>
      <c r="D5" s="9" t="s">
        <v>3563</v>
      </c>
      <c r="E5" s="10" t="n">
        <f aca="false">(TIMEVALUE(D5)-TIMEVALUE(C5))*1440</f>
        <v>41.4333333333333</v>
      </c>
      <c r="F5" s="11" t="n">
        <f aca="false">SUMIF(Data_Entry!$B$2:$B$701,A5,Data_Entry!$O$2:$O$701)</f>
        <v>1367.4</v>
      </c>
      <c r="G5" s="10" t="n">
        <f aca="false">IFERROR(F5/E5,0)</f>
        <v>33.0024135156879</v>
      </c>
      <c r="H5" s="8" t="n">
        <f aca="false">COUNTIFS(Data_Entry!$B$2:$B$701,A5,Data_Entry!$P$2:$P$701,"ERROR")</f>
        <v>3</v>
      </c>
      <c r="I5" s="12" t="n">
        <f aca="false">IFERROR((B5-H5)/B5,0)</f>
        <v>0.94</v>
      </c>
    </row>
    <row r="6" customFormat="false" ht="15" hidden="false" customHeight="false" outlineLevel="0" collapsed="false">
      <c r="A6" s="8" t="n">
        <v>2</v>
      </c>
      <c r="B6" s="8" t="n">
        <v>50</v>
      </c>
      <c r="C6" s="9" t="s">
        <v>3564</v>
      </c>
      <c r="D6" s="9" t="s">
        <v>3565</v>
      </c>
      <c r="E6" s="10" t="n">
        <f aca="false">(TIMEVALUE(D6)-TIMEVALUE(C6))*1440</f>
        <v>40.1</v>
      </c>
      <c r="F6" s="11" t="n">
        <f aca="false">SUMIF(Data_Entry!$B$2:$B$701,A6,Data_Entry!$O$2:$O$701)</f>
        <v>1362.6</v>
      </c>
      <c r="G6" s="10" t="n">
        <f aca="false">IFERROR(F6/E6,0)</f>
        <v>33.9800498753117</v>
      </c>
      <c r="H6" s="8" t="n">
        <f aca="false">COUNTIFS(Data_Entry!$B$2:$B$701,A6,Data_Entry!$P$2:$P$701,"ERROR")</f>
        <v>3</v>
      </c>
      <c r="I6" s="12" t="n">
        <f aca="false">IFERROR((B6-H6)/B6,0)</f>
        <v>0.94</v>
      </c>
    </row>
    <row r="7" customFormat="false" ht="15" hidden="false" customHeight="false" outlineLevel="0" collapsed="false">
      <c r="A7" s="8" t="n">
        <v>3</v>
      </c>
      <c r="B7" s="8" t="n">
        <v>50</v>
      </c>
      <c r="C7" s="9" t="s">
        <v>3566</v>
      </c>
      <c r="D7" s="9" t="s">
        <v>3567</v>
      </c>
      <c r="E7" s="10" t="n">
        <f aca="false">(TIMEVALUE(D7)-TIMEVALUE(C7))*1440</f>
        <v>39.0666666666667</v>
      </c>
      <c r="F7" s="11" t="n">
        <f aca="false">SUMIF(Data_Entry!$B$2:$B$701,A7,Data_Entry!$O$2:$O$701)</f>
        <v>1367</v>
      </c>
      <c r="G7" s="10" t="n">
        <f aca="false">IFERROR(F7/E7,0)</f>
        <v>34.9914675767918</v>
      </c>
      <c r="H7" s="8" t="n">
        <f aca="false">COUNTIFS(Data_Entry!$B$2:$B$701,A7,Data_Entry!$P$2:$P$701,"ERROR")</f>
        <v>2</v>
      </c>
      <c r="I7" s="12" t="n">
        <f aca="false">IFERROR((B7-H7)/B7,0)</f>
        <v>0.96</v>
      </c>
    </row>
    <row r="8" customFormat="false" ht="15" hidden="false" customHeight="false" outlineLevel="0" collapsed="false">
      <c r="A8" s="8" t="n">
        <v>4</v>
      </c>
      <c r="B8" s="8" t="n">
        <v>50</v>
      </c>
      <c r="C8" s="9" t="s">
        <v>3568</v>
      </c>
      <c r="D8" s="9" t="s">
        <v>3569</v>
      </c>
      <c r="E8" s="10" t="n">
        <f aca="false">(TIMEVALUE(D8)-TIMEVALUE(C8))*1440</f>
        <v>38.8166666666667</v>
      </c>
      <c r="F8" s="11" t="n">
        <f aca="false">SUMIF(Data_Entry!$B$2:$B$701,A8,Data_Entry!$O$2:$O$701)</f>
        <v>1358</v>
      </c>
      <c r="G8" s="10" t="n">
        <f aca="false">IFERROR(F8/E8,0)</f>
        <v>34.9849720910262</v>
      </c>
      <c r="H8" s="8" t="n">
        <f aca="false">COUNTIFS(Data_Entry!$B$2:$B$701,A8,Data_Entry!$P$2:$P$701,"ERROR")</f>
        <v>0</v>
      </c>
      <c r="I8" s="12" t="n">
        <f aca="false">IFERROR((B8-H8)/B8,0)</f>
        <v>1</v>
      </c>
    </row>
    <row r="9" customFormat="false" ht="15" hidden="false" customHeight="false" outlineLevel="0" collapsed="false">
      <c r="A9" s="8" t="n">
        <v>5</v>
      </c>
      <c r="B9" s="8" t="n">
        <v>50</v>
      </c>
      <c r="C9" s="9" t="s">
        <v>3570</v>
      </c>
      <c r="D9" s="9" t="s">
        <v>3571</v>
      </c>
      <c r="E9" s="10" t="n">
        <f aca="false">(TIMEVALUE(D9)-TIMEVALUE(C9))*1440</f>
        <v>37.8833333333333</v>
      </c>
      <c r="F9" s="11" t="n">
        <f aca="false">SUMIF(Data_Entry!$B$2:$B$701,A9,Data_Entry!$O$2:$O$701)</f>
        <v>1363.4</v>
      </c>
      <c r="G9" s="10" t="n">
        <f aca="false">IFERROR(F9/E9,0)</f>
        <v>35.989441267048</v>
      </c>
      <c r="H9" s="8" t="n">
        <f aca="false">COUNTIFS(Data_Entry!$B$2:$B$701,A9,Data_Entry!$P$2:$P$701,"ERROR")</f>
        <v>0</v>
      </c>
      <c r="I9" s="12" t="n">
        <f aca="false">IFERROR((B9-H9)/B9,0)</f>
        <v>1</v>
      </c>
    </row>
    <row r="10" customFormat="false" ht="15" hidden="false" customHeight="false" outlineLevel="0" collapsed="false">
      <c r="A10" s="8" t="n">
        <v>6</v>
      </c>
      <c r="B10" s="8" t="n">
        <v>50</v>
      </c>
      <c r="C10" s="9" t="s">
        <v>3572</v>
      </c>
      <c r="D10" s="9" t="s">
        <v>3573</v>
      </c>
      <c r="E10" s="10" t="n">
        <f aca="false">(TIMEVALUE(D10)-TIMEVALUE(C10))*1440</f>
        <v>37.0333333333333</v>
      </c>
      <c r="F10" s="11" t="n">
        <f aca="false">SUMIF(Data_Entry!$B$2:$B$701,A10,Data_Entry!$O$2:$O$701)</f>
        <v>1333.2</v>
      </c>
      <c r="G10" s="10" t="n">
        <f aca="false">IFERROR(F10/E10,0)</f>
        <v>36</v>
      </c>
      <c r="H10" s="8" t="n">
        <f aca="false">COUNTIFS(Data_Entry!$B$2:$B$701,A10,Data_Entry!$P$2:$P$701,"ERROR")</f>
        <v>1</v>
      </c>
      <c r="I10" s="12" t="n">
        <f aca="false">IFERROR((B10-H10)/B10,0)</f>
        <v>0.98</v>
      </c>
    </row>
    <row r="11" customFormat="false" ht="15" hidden="false" customHeight="false" outlineLevel="0" collapsed="false">
      <c r="A11" s="8" t="n">
        <v>7</v>
      </c>
      <c r="B11" s="8" t="n">
        <v>50</v>
      </c>
      <c r="C11" s="9" t="s">
        <v>3574</v>
      </c>
      <c r="D11" s="9" t="s">
        <v>3575</v>
      </c>
      <c r="E11" s="10" t="n">
        <f aca="false">(TIMEVALUE(D11)-TIMEVALUE(C11))*1440</f>
        <v>36.7166666666667</v>
      </c>
      <c r="F11" s="11" t="n">
        <f aca="false">SUMIF(Data_Entry!$B$2:$B$701,A11,Data_Entry!$O$2:$O$701)</f>
        <v>1358.6</v>
      </c>
      <c r="G11" s="10" t="n">
        <f aca="false">IFERROR(F11/E11,0)</f>
        <v>37.0022696323196</v>
      </c>
      <c r="H11" s="8" t="n">
        <f aca="false">COUNTIFS(Data_Entry!$B$2:$B$701,A11,Data_Entry!$P$2:$P$701,"ERROR")</f>
        <v>2</v>
      </c>
      <c r="I11" s="12" t="n">
        <f aca="false">IFERROR((B11-H11)/B11,0)</f>
        <v>0.96</v>
      </c>
    </row>
    <row r="12" customFormat="false" ht="15" hidden="false" customHeight="false" outlineLevel="0" collapsed="false">
      <c r="A12" s="8" t="n">
        <v>8</v>
      </c>
      <c r="B12" s="8" t="n">
        <v>50</v>
      </c>
      <c r="C12" s="9" t="s">
        <v>3576</v>
      </c>
      <c r="D12" s="9" t="s">
        <v>3577</v>
      </c>
      <c r="E12" s="10" t="n">
        <f aca="false">(TIMEVALUE(D12)-TIMEVALUE(C12))*1440</f>
        <v>37.3333333333333</v>
      </c>
      <c r="F12" s="11" t="n">
        <f aca="false">SUMIF(Data_Entry!$B$2:$B$701,A12,Data_Entry!$O$2:$O$701)</f>
        <v>1381.2</v>
      </c>
      <c r="G12" s="10" t="n">
        <f aca="false">IFERROR(F12/E12,0)</f>
        <v>36.9964285714286</v>
      </c>
      <c r="H12" s="8" t="n">
        <f aca="false">COUNTIFS(Data_Entry!$B$2:$B$701,A12,Data_Entry!$P$2:$P$701,"ERROR")</f>
        <v>3</v>
      </c>
      <c r="I12" s="12" t="n">
        <f aca="false">IFERROR((B12-H12)/B12,0)</f>
        <v>0.94</v>
      </c>
    </row>
    <row r="13" customFormat="false" ht="15" hidden="false" customHeight="false" outlineLevel="0" collapsed="false">
      <c r="A13" s="8" t="n">
        <v>9</v>
      </c>
      <c r="B13" s="8" t="n">
        <v>50</v>
      </c>
      <c r="C13" s="9" t="s">
        <v>3578</v>
      </c>
      <c r="D13" s="9" t="s">
        <v>3579</v>
      </c>
      <c r="E13" s="10" t="n">
        <f aca="false">(TIMEVALUE(D13)-TIMEVALUE(C13))*1440</f>
        <v>36.0166666666667</v>
      </c>
      <c r="F13" s="11" t="n">
        <f aca="false">SUMIF(Data_Entry!$B$2:$B$701,A13,Data_Entry!$O$2:$O$701)</f>
        <v>1368.6</v>
      </c>
      <c r="G13" s="10" t="n">
        <f aca="false">IFERROR(F13/E13,0)</f>
        <v>37.9990745025451</v>
      </c>
      <c r="H13" s="8" t="n">
        <f aca="false">COUNTIFS(Data_Entry!$B$2:$B$701,A13,Data_Entry!$P$2:$P$701,"ERROR")</f>
        <v>2</v>
      </c>
      <c r="I13" s="12" t="n">
        <f aca="false">IFERROR((B13-H13)/B13,0)</f>
        <v>0.96</v>
      </c>
    </row>
    <row r="14" customFormat="false" ht="15" hidden="false" customHeight="false" outlineLevel="0" collapsed="false">
      <c r="A14" s="8" t="n">
        <v>10</v>
      </c>
      <c r="B14" s="8" t="n">
        <v>50</v>
      </c>
      <c r="C14" s="9" t="s">
        <v>3580</v>
      </c>
      <c r="D14" s="9" t="s">
        <v>3581</v>
      </c>
      <c r="E14" s="10" t="n">
        <f aca="false">(TIMEVALUE(D14)-TIMEVALUE(C14))*1440</f>
        <v>34.8833333333333</v>
      </c>
      <c r="F14" s="11" t="n">
        <f aca="false">SUMIF(Data_Entry!$B$2:$B$701,A14,Data_Entry!$O$2:$O$701)</f>
        <v>1360.2</v>
      </c>
      <c r="G14" s="10" t="n">
        <f aca="false">IFERROR(F14/E14,0)</f>
        <v>38.9928332537028</v>
      </c>
      <c r="H14" s="8" t="n">
        <f aca="false">COUNTIFS(Data_Entry!$B$2:$B$701,A14,Data_Entry!$P$2:$P$701,"ERROR")</f>
        <v>0</v>
      </c>
      <c r="I14" s="12" t="n">
        <f aca="false">IFERROR((B14-H14)/B14,0)</f>
        <v>1</v>
      </c>
    </row>
    <row r="15" customFormat="false" ht="15" hidden="false" customHeight="false" outlineLevel="0" collapsed="false">
      <c r="A15" s="13" t="s">
        <v>3582</v>
      </c>
      <c r="B15" s="13" t="n">
        <f aca="false">SUM(B5:B14)</f>
        <v>500</v>
      </c>
      <c r="C15" s="14"/>
      <c r="D15" s="14"/>
      <c r="E15" s="15" t="n">
        <f aca="false">SUM(E5:E14)</f>
        <v>379.283333333333</v>
      </c>
      <c r="F15" s="16" t="n">
        <f aca="false">SUM(F5:F14)</f>
        <v>13620.2</v>
      </c>
      <c r="G15" s="15" t="n">
        <f aca="false">IFERROR(F15/E15,0)</f>
        <v>35.9103572527135</v>
      </c>
      <c r="H15" s="13" t="n">
        <f aca="false">SUM(H5:H14)</f>
        <v>16</v>
      </c>
      <c r="I15" s="17" t="n">
        <f aca="false">IFERROR((B15-H15)/B15,0)</f>
        <v>0.968</v>
      </c>
    </row>
    <row r="17" customFormat="false" ht="15" hidden="false" customHeight="false" outlineLevel="0" collapsed="false">
      <c r="A17" s="18" t="s">
        <v>3583</v>
      </c>
    </row>
    <row r="18" customFormat="false" ht="15" hidden="false" customHeight="false" outlineLevel="0" collapsed="false">
      <c r="A18" s="18" t="s">
        <v>3584</v>
      </c>
    </row>
  </sheetData>
  <conditionalFormatting sqref="I5:I15">
    <cfRule type="cellIs" priority="2" operator="greaterThanOrEqual" aboveAverage="0" equalAverage="0" bottom="0" percent="0" rank="0" text="" dxfId="0">
      <formula>0.95</formula>
    </cfRule>
    <cfRule type="cellIs" priority="3" operator="lessThan" aboveAverage="0" equalAverage="0" bottom="0" percent="0" rank="0" text="" dxfId="1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2026-08-02T15:19:08Z</dcterms:created>
  <dc:creator>openpyxl</dc:creator>
  <dc:description/>
  <dc:language>en-US</dc:language>
  <cp:lastModifiedBy/>
  <dcterms:modified xsi:type="dcterms:W3CDTF">2026-08-02T15:19:09Z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