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yroll_Master" sheetId="1" state="visible" r:id="rId3"/>
    <sheet name="TDS_Working" sheetId="2" state="visible" r:id="rId4"/>
    <sheet name="Tally_Journal" sheetId="3" state="visible" r:id="rId5"/>
    <sheet name="Assump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<sst xmlns="http://schemas.openxmlformats.org/spreadsheetml/2006/main" count="146" uniqueCount="140">
  <si>
    <t xml:space="preserve">Payroll Master Sheet - April 2026</t>
  </si>
  <si>
    <t xml:space="preserve">Nexus Tech Distribution Pvt. Ltd. | Rs | Dummy employees. Blue = inputs (Basic, Special Allowance, LOP days); everything else is a formula.</t>
  </si>
  <si>
    <t xml:space="preserve">Sr</t>
  </si>
  <si>
    <t xml:space="preserve">Employee</t>
  </si>
  <si>
    <t xml:space="preserve">Designation</t>
  </si>
  <si>
    <t xml:space="preserve">Basic (Fixed)</t>
  </si>
  <si>
    <t xml:space="preserve">HRA (Fixed)</t>
  </si>
  <si>
    <t xml:space="preserve">Special Allowance (Fixed)</t>
  </si>
  <si>
    <t xml:space="preserve">Gross (Fixed)</t>
  </si>
  <si>
    <t xml:space="preserve">Days in Month</t>
  </si>
  <si>
    <t xml:space="preserve">LOP Days</t>
  </si>
  <si>
    <t xml:space="preserve">Days Paid</t>
  </si>
  <si>
    <t xml:space="preserve">Basic (Earned)</t>
  </si>
  <si>
    <t xml:space="preserve">HRA (Earned)</t>
  </si>
  <si>
    <t xml:space="preserve">Special Allow. (Earned)</t>
  </si>
  <si>
    <t xml:space="preserve">Gross (Earned)</t>
  </si>
  <si>
    <t xml:space="preserve">LOP Deduction</t>
  </si>
  <si>
    <t xml:space="preserve">PF - Employee</t>
  </si>
  <si>
    <t xml:space="preserve">ESI - Employee</t>
  </si>
  <si>
    <t xml:space="preserve">TDS (Sec 392)</t>
  </si>
  <si>
    <t xml:space="preserve">Total Deductions</t>
  </si>
  <si>
    <t xml:space="preserve">Net Salary Payable</t>
  </si>
  <si>
    <t xml:space="preserve">PF - Employer</t>
  </si>
  <si>
    <t xml:space="preserve">ESI - Employer</t>
  </si>
  <si>
    <t xml:space="preserve">Total Cost to Company</t>
  </si>
  <si>
    <t xml:space="preserve">Rakesh Sahoo</t>
  </si>
  <si>
    <t xml:space="preserve">Manager</t>
  </si>
  <si>
    <t xml:space="preserve">Smita Mohanty</t>
  </si>
  <si>
    <t xml:space="preserve">Accounts Head</t>
  </si>
  <si>
    <t xml:space="preserve">Prakash Nayak</t>
  </si>
  <si>
    <t xml:space="preserve">Sales Executive</t>
  </si>
  <si>
    <t xml:space="preserve">Anita Das</t>
  </si>
  <si>
    <t xml:space="preserve">MIS Executive</t>
  </si>
  <si>
    <t xml:space="preserve">Sanjay Behera</t>
  </si>
  <si>
    <t xml:space="preserve">Tally Operator</t>
  </si>
  <si>
    <t xml:space="preserve">Pooja Sharma</t>
  </si>
  <si>
    <t xml:space="preserve">Junior Accountant</t>
  </si>
  <si>
    <t xml:space="preserve">Ramesh Pradhan</t>
  </si>
  <si>
    <t xml:space="preserve">Store Assistant</t>
  </si>
  <si>
    <t xml:space="preserve">Lata Munda</t>
  </si>
  <si>
    <t xml:space="preserve">Office Helper</t>
  </si>
  <si>
    <t xml:space="preserve">TOTAL</t>
  </si>
  <si>
    <t xml:space="preserve">Notes: HRA defaults to the % in Assumptions. PF = 12% of earned Basic up to the Rs 15,000 ceiling. ESI applies when fixed gross is up to Rs 21,000. TDS is linked from TDS_Working. Net Salary = Earned Gross - PF - ESI - TDS.</t>
  </si>
  <si>
    <t xml:space="preserve">Rows 5-16 hold up to 12 employees. To add one, type name, designation, Basic, Special Allowance and LOP days in the next blank row; add the same name order in TDS_Working (it reads Payroll_Master automatically).</t>
  </si>
  <si>
    <t xml:space="preserve">TDS on Salary - Section 392 (erstwhile 192) Working</t>
  </si>
  <si>
    <t xml:space="preserve">New tax regime FY 2026-27. Annual projection on fixed gross; monthly TDS = annual tax / 12.</t>
  </si>
  <si>
    <t xml:space="preserve">Monthly Gross (Fixed)</t>
  </si>
  <si>
    <t xml:space="preserve">Annual Gross</t>
  </si>
  <si>
    <t xml:space="preserve">Standard Deduction</t>
  </si>
  <si>
    <t xml:space="preserve">Taxable Income</t>
  </si>
  <si>
    <t xml:space="preserve">Tax as per Slabs</t>
  </si>
  <si>
    <t xml:space="preserve">Tax after Rebate / Marginal Relief</t>
  </si>
  <si>
    <t xml:space="preserve">Cess</t>
  </si>
  <si>
    <t xml:space="preserve">Annual Tax</t>
  </si>
  <si>
    <t xml:space="preserve">Monthly TDS</t>
  </si>
  <si>
    <t xml:space="preserve">Rebate: no tax if taxable income is up to the rebate limit. Just above it, tax is limited to the income above the limit (marginal relief). Employees with annual gross up to about Rs 12.75 lakh show nil TDS.</t>
  </si>
  <si>
    <t xml:space="preserve">Simplification: other income, deductions declared by the employee and previous-employer salary are ignored. Verify the slabs on Assumptions against the latest Finance Act.</t>
  </si>
  <si>
    <t xml:space="preserve">Payroll Journal Entry for Tally Prime - April 2026</t>
  </si>
  <si>
    <t xml:space="preserve">Figures link to Payroll_Master. Pass this in Tally (Vouchers &gt; F7 Journal), then pass the payment vouchers when salary and dues are paid.</t>
  </si>
  <si>
    <t xml:space="preserve">1. PAYROLL JOURNAL ENTRY  |  Voucher type: Journal  |  Date: 30-Apr-2026</t>
  </si>
  <si>
    <t xml:space="preserve">Ledger Account</t>
  </si>
  <si>
    <t xml:space="preserve">Group (create if not present)</t>
  </si>
  <si>
    <t xml:space="preserve">Debit (Rs)</t>
  </si>
  <si>
    <t xml:space="preserve">Credit (Rs)</t>
  </si>
  <si>
    <t xml:space="preserve">Salary Expense A/c</t>
  </si>
  <si>
    <t xml:space="preserve">Indirect Expenses</t>
  </si>
  <si>
    <t xml:space="preserve">Salary Payable A/c</t>
  </si>
  <si>
    <t xml:space="preserve">Current Liabilities</t>
  </si>
  <si>
    <t xml:space="preserve">PF Payable A/c (employee + employer)</t>
  </si>
  <si>
    <t xml:space="preserve">ESI Payable A/c (employee + employer)</t>
  </si>
  <si>
    <t xml:space="preserve">TDS Payable A/c (salary TDS)</t>
  </si>
  <si>
    <t xml:space="preserve">Duties &amp; Taxes (already exists)</t>
  </si>
  <si>
    <t xml:space="preserve">Check: Debit - Credit (must be 0)</t>
  </si>
  <si>
    <t xml:space="preserve">Narration: Being salary of April 2026 booked, with employee and employer PF/ESI and TDS on salary (Sec 392, erstwhile 192) payable.</t>
  </si>
  <si>
    <t xml:space="preserve">2. PAYMENT VOUCHERS (pass when paid)</t>
  </si>
  <si>
    <t xml:space="preserve">Payment</t>
  </si>
  <si>
    <t xml:space="preserve">Voucher / Entries</t>
  </si>
  <si>
    <t xml:space="preserve">Amount (Rs)</t>
  </si>
  <si>
    <t xml:space="preserve">Due date</t>
  </si>
  <si>
    <t xml:space="preserve">Salary paid to employees</t>
  </si>
  <si>
    <t xml:space="preserve">Payment: Dr Salary Payable A/c, Cr HDFC Bank A/c</t>
  </si>
  <si>
    <t xml:space="preserve">TDS on salary deposited</t>
  </si>
  <si>
    <t xml:space="preserve">Payment: Dr TDS Payable A/c, Cr HDFC Bank A/c</t>
  </si>
  <si>
    <t xml:space="preserve">PF deposited</t>
  </si>
  <si>
    <t xml:space="preserve">Payment: Dr PF Payable A/c, Cr HDFC Bank A/c</t>
  </si>
  <si>
    <t xml:space="preserve">ESI deposited</t>
  </si>
  <si>
    <t xml:space="preserve">Payment: Dr ESI Payable A/c, Cr HDFC Bank A/c</t>
  </si>
  <si>
    <t xml:space="preserve">Due dates: TDS by 7th and PF/ESI by 15th of the following month (statutory dates). Salary payment date is assumed 30-Apr-26. Payment vouchers reduce the bank balance, so enter them in Tally and in the Bank statement only when you want them in the books.</t>
  </si>
  <si>
    <t xml:space="preserve">3. STEPS IN TALLY PRIME</t>
  </si>
  <si>
    <t xml:space="preserve">1. Gateway of Tally &gt; Create &gt; Ledger. Create Salary Expense A/c (Under: Indirect Expenses).</t>
  </si>
  <si>
    <t xml:space="preserve">2. Create Salary Payable A/c, PF Payable A/c and ESI Payable A/c (Under: Current Liabilities). TDS Payable A/c already exists.</t>
  </si>
  <si>
    <t xml:space="preserve">3. Gateway of Tally &gt; Vouchers &gt; press F7 (Journal). Set the date to 30-Apr-2026.</t>
  </si>
  <si>
    <t xml:space="preserve">4. Dr Salary Expense A/c with the debit amount above. Then Cr Salary Payable, PF Payable, ESI Payable and TDS Payable with the credit amounts above.</t>
  </si>
  <si>
    <t xml:space="preserve">5. Add the narration and press Ctrl+A to save. Total Dr must equal total Cr.</t>
  </si>
  <si>
    <t xml:space="preserve">6. Check Display More Reports &gt; Trial Balance. Salary Expense now appears under Indirect Expenses and the new payables under Current Liabilities.</t>
  </si>
  <si>
    <t xml:space="preserve">7. Pass the payment vouchers (F5 Payment) from section 2 when the salary and dues are paid.</t>
  </si>
  <si>
    <t xml:space="preserve">After posting, the P&amp;L loss will increase because salary expense is added. This is expected for the practice data; increase the Sales figure if you want the project to show a profit.</t>
  </si>
  <si>
    <t xml:space="preserve">Payroll Assumptions and Rates</t>
  </si>
  <si>
    <t xml:space="preserve">Blue / yellow cells are inputs. All payroll and TDS sheets read from here. Dummy data for practice.</t>
  </si>
  <si>
    <t xml:space="preserve">Parameter</t>
  </si>
  <si>
    <t xml:space="preserve">Value</t>
  </si>
  <si>
    <t xml:space="preserve">Note</t>
  </si>
  <si>
    <t xml:space="preserve">Pay period</t>
  </si>
  <si>
    <t xml:space="preserve">April 2026</t>
  </si>
  <si>
    <t xml:space="preserve">Month-end payroll for Nexus Tech Distribution Pvt. Ltd.</t>
  </si>
  <si>
    <t xml:space="preserve">Days in month</t>
  </si>
  <si>
    <t xml:space="preserve">Calendar days used for LOP (loss of pay) calculation</t>
  </si>
  <si>
    <t xml:space="preserve">HRA as % of Basic</t>
  </si>
  <si>
    <t xml:space="preserve">Assumed 40% (non-metro). Used only to fill HRA by default</t>
  </si>
  <si>
    <t xml:space="preserve">PF - employee rate</t>
  </si>
  <si>
    <t xml:space="preserve">On Basic, subject to wage ceiling below</t>
  </si>
  <si>
    <t xml:space="preserve">PF - employer rate</t>
  </si>
  <si>
    <t xml:space="preserve">Assumed at 12% for this practice project; actual EPF/EPS and administrative charges may be accounted for separately</t>
  </si>
  <si>
    <t xml:space="preserve">PF wage ceiling (Rs)</t>
  </si>
  <si>
    <t xml:space="preserve">PF calculated on Basic up to this amount (assumption)</t>
  </si>
  <si>
    <t xml:space="preserve">ESI applies if monthly gross up to (Rs)</t>
  </si>
  <si>
    <t xml:space="preserve">Eligibility based on fixed monthly gross</t>
  </si>
  <si>
    <t xml:space="preserve">ESI - employee rate</t>
  </si>
  <si>
    <t xml:space="preserve">0.75% of earned gross</t>
  </si>
  <si>
    <t xml:space="preserve">ESI - employer rate</t>
  </si>
  <si>
    <t xml:space="preserve">3.25% of earned gross</t>
  </si>
  <si>
    <t xml:space="preserve">Standard deduction (Rs)</t>
  </si>
  <si>
    <t xml:space="preserve">New tax regime, salaried employees</t>
  </si>
  <si>
    <t xml:space="preserve">Rebate limit - taxable income (Rs)</t>
  </si>
  <si>
    <t xml:space="preserve">No tax up to this taxable income (with marginal relief just above it)</t>
  </si>
  <si>
    <t xml:space="preserve">Health &amp; education cess</t>
  </si>
  <si>
    <t xml:space="preserve">On income tax</t>
  </si>
  <si>
    <t xml:space="preserve">Months in year</t>
  </si>
  <si>
    <t xml:space="preserve">Monthly TDS = annual tax / 12</t>
  </si>
  <si>
    <t xml:space="preserve">New tax regime slabs (default regime)</t>
  </si>
  <si>
    <t xml:space="preserve">Slab starts above (Rs)</t>
  </si>
  <si>
    <t xml:space="preserve">Slab ends at (Rs)</t>
  </si>
  <si>
    <t xml:space="preserve">Rate on slab</t>
  </si>
  <si>
    <t xml:space="preserve">Incremental rate (used in formula)</t>
  </si>
  <si>
    <t xml:space="preserve">and above</t>
  </si>
  <si>
    <t xml:space="preserve">Income up to Rs 4,00,000 is nil. Tax = sum over slabs of (income above slab start) x incremental rate.</t>
  </si>
  <si>
    <t xml:space="preserve">Legal note</t>
  </si>
  <si>
    <t xml:space="preserve">1. From 1-Apr-2026 the Income-tax Act, 2025 applies. TDS on salary is under Section 392 (erstwhile Section 192 of the 1961 Act). Rates and slabs shown are the new-regime slabs for FY 2026-27 as per published guides; please verify against the latest Finance Act before real use.</t>
  </si>
  <si>
    <t xml:space="preserve">2. TDS is a projection: annual tax on fixed gross less standard deduction, divided by 12. Other income, declarations and previous-employer salary are ignored (simplification).</t>
  </si>
  <si>
    <t xml:space="preserve">3. ESI contribution is rounded up to the next rupee. Professional Tax is not included.</t>
  </si>
</sst>
</file>

<file path=xl/styles.xml><?xml version="1.0" encoding="utf-8"?>
<styleSheet xmlns="http://schemas.openxmlformats.org/spreadsheetml/2006/main">
  <numFmts count="6">
    <numFmt numFmtId="164" formatCode="General"/>
    <numFmt numFmtId="165" formatCode="#,##0;\(#,##0\);\-"/>
    <numFmt numFmtId="166" formatCode="#,##0"/>
    <numFmt numFmtId="167" formatCode="dd\-mmm\-yy"/>
    <numFmt numFmtId="168" formatCode="0.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sz val="10"/>
      <name val="Arial"/>
      <family val="0"/>
      <charset val="1"/>
    </font>
    <font>
      <sz val="10"/>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W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18"/>
    <col collapsed="false" customWidth="true" hidden="false" outlineLevel="0" max="4" min="4" style="0" width="11"/>
    <col collapsed="false" customWidth="true" hidden="false" outlineLevel="0" max="5" min="5" style="0" width="10"/>
    <col collapsed="false" customWidth="true" hidden="false" outlineLevel="0" max="6" min="6" style="0" width="13"/>
    <col collapsed="false" customWidth="true" hidden="false" outlineLevel="0" max="7" min="7" style="0" width="11"/>
    <col collapsed="false" customWidth="true" hidden="false" outlineLevel="0" max="8" min="8" style="0" width="9"/>
    <col collapsed="false" customWidth="true" hidden="false" outlineLevel="0" max="10" min="9" style="0" width="8"/>
    <col collapsed="false" customWidth="true" hidden="false" outlineLevel="0" max="11" min="11" style="0" width="11"/>
    <col collapsed="false" customWidth="true" hidden="false" outlineLevel="0" max="12" min="12" style="0" width="10"/>
    <col collapsed="false" customWidth="true" hidden="false" outlineLevel="0" max="13" min="13" style="0" width="12"/>
    <col collapsed="false" customWidth="true" hidden="false" outlineLevel="0" max="15" min="14" style="0" width="11"/>
    <col collapsed="false" customWidth="true" hidden="false" outlineLevel="0" max="18" min="16" style="0" width="10"/>
    <col collapsed="false" customWidth="true" hidden="false" outlineLevel="0" max="19" min="19" style="0" width="12"/>
    <col collapsed="false" customWidth="true" hidden="false" outlineLevel="0" max="20" min="20" style="0" width="13"/>
    <col collapsed="false" customWidth="true" hidden="false" outlineLevel="0" max="22" min="21" style="0" width="11"/>
    <col collapsed="false" customWidth="true" hidden="false" outlineLevel="0" max="23" min="23" style="0" width="13"/>
  </cols>
  <sheetData>
    <row r="1" customFormat="false" ht="17.3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row>
    <row r="5" customFormat="false" ht="15" hidden="false" customHeight="false" outlineLevel="0" collapsed="false">
      <c r="A5" s="4" t="n">
        <v>1</v>
      </c>
      <c r="B5" s="5" t="s">
        <v>25</v>
      </c>
      <c r="C5" s="5" t="s">
        <v>26</v>
      </c>
      <c r="D5" s="6" t="n">
        <v>70000</v>
      </c>
      <c r="E5" s="7" t="n">
        <f aca="false">IF($B5="","",ROUND(D5*Assumptions!$B$6,0))</f>
        <v>28000</v>
      </c>
      <c r="F5" s="6" t="n">
        <v>55000</v>
      </c>
      <c r="G5" s="7" t="n">
        <f aca="false">IF($B5="","",D5+E5+F5)</f>
        <v>153000</v>
      </c>
      <c r="H5" s="8" t="n">
        <f aca="false">IF($B5="","",Assumptions!$B$5)</f>
        <v>30</v>
      </c>
      <c r="I5" s="5" t="n">
        <v>0</v>
      </c>
      <c r="J5" s="4" t="n">
        <f aca="false">IF($B5="","",H5-I5)</f>
        <v>30</v>
      </c>
      <c r="K5" s="7" t="n">
        <f aca="false">IF($B5="","",ROUND(D5*J5/H5,0))</f>
        <v>70000</v>
      </c>
      <c r="L5" s="7" t="n">
        <f aca="false">IF($B5="","",ROUND(E5*J5/H5,0))</f>
        <v>28000</v>
      </c>
      <c r="M5" s="7" t="n">
        <f aca="false">IF($B5="","",ROUND(F5*J5/H5,0))</f>
        <v>55000</v>
      </c>
      <c r="N5" s="7" t="n">
        <f aca="false">IF($B5="","",K5+L5+M5)</f>
        <v>153000</v>
      </c>
      <c r="O5" s="7" t="n">
        <f aca="false">IF($B5="","",G5-N5)</f>
        <v>0</v>
      </c>
      <c r="P5" s="7" t="n">
        <f aca="false">IF($B5="","",ROUND(Assumptions!$B$7*MIN(K5,Assumptions!$B$9),0))</f>
        <v>1800</v>
      </c>
      <c r="Q5" s="7" t="n">
        <f aca="false">IF($B5="","",IF(G5&lt;=Assumptions!$B$10,ROUNDUP(N5*Assumptions!$B$11,0),0))</f>
        <v>0</v>
      </c>
      <c r="R5" s="7" t="n">
        <f aca="false">IF($B5="","",TDS_Working!K5)</f>
        <v>13191</v>
      </c>
      <c r="S5" s="7" t="n">
        <f aca="false">IF($B5="","",P5+Q5+R5)</f>
        <v>14991</v>
      </c>
      <c r="T5" s="7" t="n">
        <f aca="false">IF($B5="","",N5-S5)</f>
        <v>138009</v>
      </c>
      <c r="U5" s="7" t="n">
        <f aca="false">IF($B5="","",ROUND(Assumptions!$B$8*MIN(K5,Assumptions!$B$9),0))</f>
        <v>1800</v>
      </c>
      <c r="V5" s="7" t="n">
        <f aca="false">IF($B5="","",IF(G5&lt;=Assumptions!$B$10,ROUNDUP(N5*Assumptions!$B$12,0),0))</f>
        <v>0</v>
      </c>
      <c r="W5" s="7" t="n">
        <f aca="false">IF($B5="","",N5+U5+V5)</f>
        <v>154800</v>
      </c>
    </row>
    <row r="6" customFormat="false" ht="15" hidden="false" customHeight="false" outlineLevel="0" collapsed="false">
      <c r="A6" s="4" t="n">
        <v>2</v>
      </c>
      <c r="B6" s="5" t="s">
        <v>27</v>
      </c>
      <c r="C6" s="5" t="s">
        <v>28</v>
      </c>
      <c r="D6" s="6" t="n">
        <v>50000</v>
      </c>
      <c r="E6" s="7" t="n">
        <f aca="false">IF($B6="","",ROUND(D6*Assumptions!$B$6,0))</f>
        <v>20000</v>
      </c>
      <c r="F6" s="6" t="n">
        <v>40000</v>
      </c>
      <c r="G6" s="7" t="n">
        <f aca="false">IF($B6="","",D6+E6+F6)</f>
        <v>110000</v>
      </c>
      <c r="H6" s="8" t="n">
        <f aca="false">IF($B6="","",Assumptions!$B$5)</f>
        <v>30</v>
      </c>
      <c r="I6" s="5" t="n">
        <v>0</v>
      </c>
      <c r="J6" s="4" t="n">
        <f aca="false">IF($B6="","",H6-I6)</f>
        <v>30</v>
      </c>
      <c r="K6" s="7" t="n">
        <f aca="false">IF($B6="","",ROUND(D6*J6/H6,0))</f>
        <v>50000</v>
      </c>
      <c r="L6" s="7" t="n">
        <f aca="false">IF($B6="","",ROUND(E6*J6/H6,0))</f>
        <v>20000</v>
      </c>
      <c r="M6" s="7" t="n">
        <f aca="false">IF($B6="","",ROUND(F6*J6/H6,0))</f>
        <v>40000</v>
      </c>
      <c r="N6" s="7" t="n">
        <f aca="false">IF($B6="","",K6+L6+M6)</f>
        <v>110000</v>
      </c>
      <c r="O6" s="7" t="n">
        <f aca="false">IF($B6="","",G6-N6)</f>
        <v>0</v>
      </c>
      <c r="P6" s="7" t="n">
        <f aca="false">IF($B6="","",ROUND(Assumptions!$B$7*MIN(K6,Assumptions!$B$9),0))</f>
        <v>1800</v>
      </c>
      <c r="Q6" s="7" t="n">
        <f aca="false">IF($B6="","",IF(G6&lt;=Assumptions!$B$10,ROUNDUP(N6*Assumptions!$B$11,0),0))</f>
        <v>0</v>
      </c>
      <c r="R6" s="7" t="n">
        <f aca="false">IF($B6="","",TDS_Working!K6)</f>
        <v>3900</v>
      </c>
      <c r="S6" s="7" t="n">
        <f aca="false">IF($B6="","",P6+Q6+R6)</f>
        <v>5700</v>
      </c>
      <c r="T6" s="7" t="n">
        <f aca="false">IF($B6="","",N6-S6)</f>
        <v>104300</v>
      </c>
      <c r="U6" s="7" t="n">
        <f aca="false">IF($B6="","",ROUND(Assumptions!$B$8*MIN(K6,Assumptions!$B$9),0))</f>
        <v>1800</v>
      </c>
      <c r="V6" s="7" t="n">
        <f aca="false">IF($B6="","",IF(G6&lt;=Assumptions!$B$10,ROUNDUP(N6*Assumptions!$B$12,0),0))</f>
        <v>0</v>
      </c>
      <c r="W6" s="7" t="n">
        <f aca="false">IF($B6="","",N6+U6+V6)</f>
        <v>111800</v>
      </c>
    </row>
    <row r="7" customFormat="false" ht="15" hidden="false" customHeight="false" outlineLevel="0" collapsed="false">
      <c r="A7" s="4" t="n">
        <v>3</v>
      </c>
      <c r="B7" s="5" t="s">
        <v>29</v>
      </c>
      <c r="C7" s="5" t="s">
        <v>30</v>
      </c>
      <c r="D7" s="6" t="n">
        <v>25000</v>
      </c>
      <c r="E7" s="7" t="n">
        <f aca="false">IF($B7="","",ROUND(D7*Assumptions!$B$6,0))</f>
        <v>10000</v>
      </c>
      <c r="F7" s="6" t="n">
        <v>15000</v>
      </c>
      <c r="G7" s="7" t="n">
        <f aca="false">IF($B7="","",D7+E7+F7)</f>
        <v>50000</v>
      </c>
      <c r="H7" s="8" t="n">
        <f aca="false">IF($B7="","",Assumptions!$B$5)</f>
        <v>30</v>
      </c>
      <c r="I7" s="5" t="n">
        <v>2</v>
      </c>
      <c r="J7" s="4" t="n">
        <f aca="false">IF($B7="","",H7-I7)</f>
        <v>28</v>
      </c>
      <c r="K7" s="7" t="n">
        <f aca="false">IF($B7="","",ROUND(D7*J7/H7,0))</f>
        <v>23333</v>
      </c>
      <c r="L7" s="7" t="n">
        <f aca="false">IF($B7="","",ROUND(E7*J7/H7,0))</f>
        <v>9333</v>
      </c>
      <c r="M7" s="7" t="n">
        <f aca="false">IF($B7="","",ROUND(F7*J7/H7,0))</f>
        <v>14000</v>
      </c>
      <c r="N7" s="7" t="n">
        <f aca="false">IF($B7="","",K7+L7+M7)</f>
        <v>46666</v>
      </c>
      <c r="O7" s="7" t="n">
        <f aca="false">IF($B7="","",G7-N7)</f>
        <v>3334</v>
      </c>
      <c r="P7" s="7" t="n">
        <f aca="false">IF($B7="","",ROUND(Assumptions!$B$7*MIN(K7,Assumptions!$B$9),0))</f>
        <v>1800</v>
      </c>
      <c r="Q7" s="7" t="n">
        <f aca="false">IF($B7="","",IF(G7&lt;=Assumptions!$B$10,ROUNDUP(N7*Assumptions!$B$11,0),0))</f>
        <v>0</v>
      </c>
      <c r="R7" s="7" t="n">
        <f aca="false">IF($B7="","",TDS_Working!K7)</f>
        <v>0</v>
      </c>
      <c r="S7" s="7" t="n">
        <f aca="false">IF($B7="","",P7+Q7+R7)</f>
        <v>1800</v>
      </c>
      <c r="T7" s="7" t="n">
        <f aca="false">IF($B7="","",N7-S7)</f>
        <v>44866</v>
      </c>
      <c r="U7" s="7" t="n">
        <f aca="false">IF($B7="","",ROUND(Assumptions!$B$8*MIN(K7,Assumptions!$B$9),0))</f>
        <v>1800</v>
      </c>
      <c r="V7" s="7" t="n">
        <f aca="false">IF($B7="","",IF(G7&lt;=Assumptions!$B$10,ROUNDUP(N7*Assumptions!$B$12,0),0))</f>
        <v>0</v>
      </c>
      <c r="W7" s="7" t="n">
        <f aca="false">IF($B7="","",N7+U7+V7)</f>
        <v>48466</v>
      </c>
    </row>
    <row r="8" customFormat="false" ht="15" hidden="false" customHeight="false" outlineLevel="0" collapsed="false">
      <c r="A8" s="4" t="n">
        <v>4</v>
      </c>
      <c r="B8" s="5" t="s">
        <v>31</v>
      </c>
      <c r="C8" s="5" t="s">
        <v>32</v>
      </c>
      <c r="D8" s="6" t="n">
        <v>22000</v>
      </c>
      <c r="E8" s="7" t="n">
        <f aca="false">IF($B8="","",ROUND(D8*Assumptions!$B$6,0))</f>
        <v>8800</v>
      </c>
      <c r="F8" s="6" t="n">
        <v>9200</v>
      </c>
      <c r="G8" s="7" t="n">
        <f aca="false">IF($B8="","",D8+E8+F8)</f>
        <v>40000</v>
      </c>
      <c r="H8" s="8" t="n">
        <f aca="false">IF($B8="","",Assumptions!$B$5)</f>
        <v>30</v>
      </c>
      <c r="I8" s="5" t="n">
        <v>0</v>
      </c>
      <c r="J8" s="4" t="n">
        <f aca="false">IF($B8="","",H8-I8)</f>
        <v>30</v>
      </c>
      <c r="K8" s="7" t="n">
        <f aca="false">IF($B8="","",ROUND(D8*J8/H8,0))</f>
        <v>22000</v>
      </c>
      <c r="L8" s="7" t="n">
        <f aca="false">IF($B8="","",ROUND(E8*J8/H8,0))</f>
        <v>8800</v>
      </c>
      <c r="M8" s="7" t="n">
        <f aca="false">IF($B8="","",ROUND(F8*J8/H8,0))</f>
        <v>9200</v>
      </c>
      <c r="N8" s="7" t="n">
        <f aca="false">IF($B8="","",K8+L8+M8)</f>
        <v>40000</v>
      </c>
      <c r="O8" s="7" t="n">
        <f aca="false">IF($B8="","",G8-N8)</f>
        <v>0</v>
      </c>
      <c r="P8" s="7" t="n">
        <f aca="false">IF($B8="","",ROUND(Assumptions!$B$7*MIN(K8,Assumptions!$B$9),0))</f>
        <v>1800</v>
      </c>
      <c r="Q8" s="7" t="n">
        <f aca="false">IF($B8="","",IF(G8&lt;=Assumptions!$B$10,ROUNDUP(N8*Assumptions!$B$11,0),0))</f>
        <v>0</v>
      </c>
      <c r="R8" s="7" t="n">
        <f aca="false">IF($B8="","",TDS_Working!K8)</f>
        <v>0</v>
      </c>
      <c r="S8" s="7" t="n">
        <f aca="false">IF($B8="","",P8+Q8+R8)</f>
        <v>1800</v>
      </c>
      <c r="T8" s="7" t="n">
        <f aca="false">IF($B8="","",N8-S8)</f>
        <v>38200</v>
      </c>
      <c r="U8" s="7" t="n">
        <f aca="false">IF($B8="","",ROUND(Assumptions!$B$8*MIN(K8,Assumptions!$B$9),0))</f>
        <v>1800</v>
      </c>
      <c r="V8" s="7" t="n">
        <f aca="false">IF($B8="","",IF(G8&lt;=Assumptions!$B$10,ROUNDUP(N8*Assumptions!$B$12,0),0))</f>
        <v>0</v>
      </c>
      <c r="W8" s="7" t="n">
        <f aca="false">IF($B8="","",N8+U8+V8)</f>
        <v>41800</v>
      </c>
    </row>
    <row r="9" customFormat="false" ht="15" hidden="false" customHeight="false" outlineLevel="0" collapsed="false">
      <c r="A9" s="4" t="n">
        <v>5</v>
      </c>
      <c r="B9" s="5" t="s">
        <v>33</v>
      </c>
      <c r="C9" s="5" t="s">
        <v>34</v>
      </c>
      <c r="D9" s="6" t="n">
        <v>18000</v>
      </c>
      <c r="E9" s="7" t="n">
        <f aca="false">IF($B9="","",ROUND(D9*Assumptions!$B$6,0))</f>
        <v>7200</v>
      </c>
      <c r="F9" s="6" t="n">
        <v>4800</v>
      </c>
      <c r="G9" s="7" t="n">
        <f aca="false">IF($B9="","",D9+E9+F9)</f>
        <v>30000</v>
      </c>
      <c r="H9" s="8" t="n">
        <f aca="false">IF($B9="","",Assumptions!$B$5)</f>
        <v>30</v>
      </c>
      <c r="I9" s="5" t="n">
        <v>1</v>
      </c>
      <c r="J9" s="4" t="n">
        <f aca="false">IF($B9="","",H9-I9)</f>
        <v>29</v>
      </c>
      <c r="K9" s="7" t="n">
        <f aca="false">IF($B9="","",ROUND(D9*J9/H9,0))</f>
        <v>17400</v>
      </c>
      <c r="L9" s="7" t="n">
        <f aca="false">IF($B9="","",ROUND(E9*J9/H9,0))</f>
        <v>6960</v>
      </c>
      <c r="M9" s="7" t="n">
        <f aca="false">IF($B9="","",ROUND(F9*J9/H9,0))</f>
        <v>4640</v>
      </c>
      <c r="N9" s="7" t="n">
        <f aca="false">IF($B9="","",K9+L9+M9)</f>
        <v>29000</v>
      </c>
      <c r="O9" s="7" t="n">
        <f aca="false">IF($B9="","",G9-N9)</f>
        <v>1000</v>
      </c>
      <c r="P9" s="7" t="n">
        <f aca="false">IF($B9="","",ROUND(Assumptions!$B$7*MIN(K9,Assumptions!$B$9),0))</f>
        <v>1800</v>
      </c>
      <c r="Q9" s="7" t="n">
        <f aca="false">IF($B9="","",IF(G9&lt;=Assumptions!$B$10,ROUNDUP(N9*Assumptions!$B$11,0),0))</f>
        <v>0</v>
      </c>
      <c r="R9" s="7" t="n">
        <f aca="false">IF($B9="","",TDS_Working!K9)</f>
        <v>0</v>
      </c>
      <c r="S9" s="7" t="n">
        <f aca="false">IF($B9="","",P9+Q9+R9)</f>
        <v>1800</v>
      </c>
      <c r="T9" s="7" t="n">
        <f aca="false">IF($B9="","",N9-S9)</f>
        <v>27200</v>
      </c>
      <c r="U9" s="7" t="n">
        <f aca="false">IF($B9="","",ROUND(Assumptions!$B$8*MIN(K9,Assumptions!$B$9),0))</f>
        <v>1800</v>
      </c>
      <c r="V9" s="7" t="n">
        <f aca="false">IF($B9="","",IF(G9&lt;=Assumptions!$B$10,ROUNDUP(N9*Assumptions!$B$12,0),0))</f>
        <v>0</v>
      </c>
      <c r="W9" s="7" t="n">
        <f aca="false">IF($B9="","",N9+U9+V9)</f>
        <v>30800</v>
      </c>
    </row>
    <row r="10" customFormat="false" ht="15" hidden="false" customHeight="false" outlineLevel="0" collapsed="false">
      <c r="A10" s="4" t="n">
        <v>6</v>
      </c>
      <c r="B10" s="5" t="s">
        <v>35</v>
      </c>
      <c r="C10" s="5" t="s">
        <v>36</v>
      </c>
      <c r="D10" s="6" t="n">
        <v>16000</v>
      </c>
      <c r="E10" s="7" t="n">
        <f aca="false">IF($B10="","",ROUND(D10*Assumptions!$B$6,0))</f>
        <v>6400</v>
      </c>
      <c r="F10" s="6" t="n">
        <v>3600</v>
      </c>
      <c r="G10" s="7" t="n">
        <f aca="false">IF($B10="","",D10+E10+F10)</f>
        <v>26000</v>
      </c>
      <c r="H10" s="8" t="n">
        <f aca="false">IF($B10="","",Assumptions!$B$5)</f>
        <v>30</v>
      </c>
      <c r="I10" s="5" t="n">
        <v>0</v>
      </c>
      <c r="J10" s="4" t="n">
        <f aca="false">IF($B10="","",H10-I10)</f>
        <v>30</v>
      </c>
      <c r="K10" s="7" t="n">
        <f aca="false">IF($B10="","",ROUND(D10*J10/H10,0))</f>
        <v>16000</v>
      </c>
      <c r="L10" s="7" t="n">
        <f aca="false">IF($B10="","",ROUND(E10*J10/H10,0))</f>
        <v>6400</v>
      </c>
      <c r="M10" s="7" t="n">
        <f aca="false">IF($B10="","",ROUND(F10*J10/H10,0))</f>
        <v>3600</v>
      </c>
      <c r="N10" s="7" t="n">
        <f aca="false">IF($B10="","",K10+L10+M10)</f>
        <v>26000</v>
      </c>
      <c r="O10" s="7" t="n">
        <f aca="false">IF($B10="","",G10-N10)</f>
        <v>0</v>
      </c>
      <c r="P10" s="7" t="n">
        <f aca="false">IF($B10="","",ROUND(Assumptions!$B$7*MIN(K10,Assumptions!$B$9),0))</f>
        <v>1800</v>
      </c>
      <c r="Q10" s="7" t="n">
        <f aca="false">IF($B10="","",IF(G10&lt;=Assumptions!$B$10,ROUNDUP(N10*Assumptions!$B$11,0),0))</f>
        <v>0</v>
      </c>
      <c r="R10" s="7" t="n">
        <f aca="false">IF($B10="","",TDS_Working!K10)</f>
        <v>0</v>
      </c>
      <c r="S10" s="7" t="n">
        <f aca="false">IF($B10="","",P10+Q10+R10)</f>
        <v>1800</v>
      </c>
      <c r="T10" s="7" t="n">
        <f aca="false">IF($B10="","",N10-S10)</f>
        <v>24200</v>
      </c>
      <c r="U10" s="7" t="n">
        <f aca="false">IF($B10="","",ROUND(Assumptions!$B$8*MIN(K10,Assumptions!$B$9),0))</f>
        <v>1800</v>
      </c>
      <c r="V10" s="7" t="n">
        <f aca="false">IF($B10="","",IF(G10&lt;=Assumptions!$B$10,ROUNDUP(N10*Assumptions!$B$12,0),0))</f>
        <v>0</v>
      </c>
      <c r="W10" s="7" t="n">
        <f aca="false">IF($B10="","",N10+U10+V10)</f>
        <v>27800</v>
      </c>
    </row>
    <row r="11" customFormat="false" ht="15" hidden="false" customHeight="false" outlineLevel="0" collapsed="false">
      <c r="A11" s="4" t="n">
        <v>7</v>
      </c>
      <c r="B11" s="5" t="s">
        <v>37</v>
      </c>
      <c r="C11" s="5" t="s">
        <v>38</v>
      </c>
      <c r="D11" s="6" t="n">
        <v>10000</v>
      </c>
      <c r="E11" s="7" t="n">
        <f aca="false">IF($B11="","",ROUND(D11*Assumptions!$B$6,0))</f>
        <v>4000</v>
      </c>
      <c r="F11" s="6" t="n">
        <v>3000</v>
      </c>
      <c r="G11" s="7" t="n">
        <f aca="false">IF($B11="","",D11+E11+F11)</f>
        <v>17000</v>
      </c>
      <c r="H11" s="8" t="n">
        <f aca="false">IF($B11="","",Assumptions!$B$5)</f>
        <v>30</v>
      </c>
      <c r="I11" s="5" t="n">
        <v>3</v>
      </c>
      <c r="J11" s="4" t="n">
        <f aca="false">IF($B11="","",H11-I11)</f>
        <v>27</v>
      </c>
      <c r="K11" s="7" t="n">
        <f aca="false">IF($B11="","",ROUND(D11*J11/H11,0))</f>
        <v>9000</v>
      </c>
      <c r="L11" s="7" t="n">
        <f aca="false">IF($B11="","",ROUND(E11*J11/H11,0))</f>
        <v>3600</v>
      </c>
      <c r="M11" s="7" t="n">
        <f aca="false">IF($B11="","",ROUND(F11*J11/H11,0))</f>
        <v>2700</v>
      </c>
      <c r="N11" s="7" t="n">
        <f aca="false">IF($B11="","",K11+L11+M11)</f>
        <v>15300</v>
      </c>
      <c r="O11" s="7" t="n">
        <f aca="false">IF($B11="","",G11-N11)</f>
        <v>1700</v>
      </c>
      <c r="P11" s="7" t="n">
        <f aca="false">IF($B11="","",ROUND(Assumptions!$B$7*MIN(K11,Assumptions!$B$9),0))</f>
        <v>1080</v>
      </c>
      <c r="Q11" s="7" t="n">
        <f aca="false">IF($B11="","",IF(G11&lt;=Assumptions!$B$10,ROUNDUP(N11*Assumptions!$B$11,0),0))</f>
        <v>115</v>
      </c>
      <c r="R11" s="7" t="n">
        <f aca="false">IF($B11="","",TDS_Working!K11)</f>
        <v>0</v>
      </c>
      <c r="S11" s="7" t="n">
        <f aca="false">IF($B11="","",P11+Q11+R11)</f>
        <v>1195</v>
      </c>
      <c r="T11" s="7" t="n">
        <f aca="false">IF($B11="","",N11-S11)</f>
        <v>14105</v>
      </c>
      <c r="U11" s="7" t="n">
        <f aca="false">IF($B11="","",ROUND(Assumptions!$B$8*MIN(K11,Assumptions!$B$9),0))</f>
        <v>1080</v>
      </c>
      <c r="V11" s="7" t="n">
        <f aca="false">IF($B11="","",IF(G11&lt;=Assumptions!$B$10,ROUNDUP(N11*Assumptions!$B$12,0),0))</f>
        <v>498</v>
      </c>
      <c r="W11" s="7" t="n">
        <f aca="false">IF($B11="","",N11+U11+V11)</f>
        <v>16878</v>
      </c>
    </row>
    <row r="12" customFormat="false" ht="15" hidden="false" customHeight="false" outlineLevel="0" collapsed="false">
      <c r="A12" s="4" t="n">
        <v>8</v>
      </c>
      <c r="B12" s="5" t="s">
        <v>39</v>
      </c>
      <c r="C12" s="5" t="s">
        <v>40</v>
      </c>
      <c r="D12" s="6" t="n">
        <v>8000</v>
      </c>
      <c r="E12" s="7" t="n">
        <f aca="false">IF($B12="","",ROUND(D12*Assumptions!$B$6,0))</f>
        <v>3200</v>
      </c>
      <c r="F12" s="6" t="n">
        <v>2300</v>
      </c>
      <c r="G12" s="7" t="n">
        <f aca="false">IF($B12="","",D12+E12+F12)</f>
        <v>13500</v>
      </c>
      <c r="H12" s="8" t="n">
        <f aca="false">IF($B12="","",Assumptions!$B$5)</f>
        <v>30</v>
      </c>
      <c r="I12" s="5" t="n">
        <v>0</v>
      </c>
      <c r="J12" s="4" t="n">
        <f aca="false">IF($B12="","",H12-I12)</f>
        <v>30</v>
      </c>
      <c r="K12" s="7" t="n">
        <f aca="false">IF($B12="","",ROUND(D12*J12/H12,0))</f>
        <v>8000</v>
      </c>
      <c r="L12" s="7" t="n">
        <f aca="false">IF($B12="","",ROUND(E12*J12/H12,0))</f>
        <v>3200</v>
      </c>
      <c r="M12" s="7" t="n">
        <f aca="false">IF($B12="","",ROUND(F12*J12/H12,0))</f>
        <v>2300</v>
      </c>
      <c r="N12" s="7" t="n">
        <f aca="false">IF($B12="","",K12+L12+M12)</f>
        <v>13500</v>
      </c>
      <c r="O12" s="7" t="n">
        <f aca="false">IF($B12="","",G12-N12)</f>
        <v>0</v>
      </c>
      <c r="P12" s="7" t="n">
        <f aca="false">IF($B12="","",ROUND(Assumptions!$B$7*MIN(K12,Assumptions!$B$9),0))</f>
        <v>960</v>
      </c>
      <c r="Q12" s="7" t="n">
        <f aca="false">IF($B12="","",IF(G12&lt;=Assumptions!$B$10,ROUNDUP(N12*Assumptions!$B$11,0),0))</f>
        <v>102</v>
      </c>
      <c r="R12" s="7" t="n">
        <f aca="false">IF($B12="","",TDS_Working!K12)</f>
        <v>0</v>
      </c>
      <c r="S12" s="7" t="n">
        <f aca="false">IF($B12="","",P12+Q12+R12)</f>
        <v>1062</v>
      </c>
      <c r="T12" s="7" t="n">
        <f aca="false">IF($B12="","",N12-S12)</f>
        <v>12438</v>
      </c>
      <c r="U12" s="7" t="n">
        <f aca="false">IF($B12="","",ROUND(Assumptions!$B$8*MIN(K12,Assumptions!$B$9),0))</f>
        <v>960</v>
      </c>
      <c r="V12" s="7" t="n">
        <f aca="false">IF($B12="","",IF(G12&lt;=Assumptions!$B$10,ROUNDUP(N12*Assumptions!$B$12,0),0))</f>
        <v>439</v>
      </c>
      <c r="W12" s="7" t="n">
        <f aca="false">IF($B12="","",N12+U12+V12)</f>
        <v>14899</v>
      </c>
    </row>
    <row r="13" customFormat="false" ht="15" hidden="false" customHeight="false" outlineLevel="0" collapsed="false">
      <c r="A13" s="4" t="n">
        <v>9</v>
      </c>
      <c r="B13" s="4"/>
      <c r="C13" s="4"/>
      <c r="D13" s="7"/>
      <c r="E13" s="7" t="str">
        <f aca="false">IF($B13="","",ROUND(D13*Assumptions!$B$6,0))</f>
        <v/>
      </c>
      <c r="F13" s="7"/>
      <c r="G13" s="7" t="str">
        <f aca="false">IF($B13="","",D13+E13+F13)</f>
        <v/>
      </c>
      <c r="H13" s="4" t="str">
        <f aca="false">IF($B13="","",Assumptions!$B$5)</f>
        <v/>
      </c>
      <c r="I13" s="4"/>
      <c r="J13" s="4" t="str">
        <f aca="false">IF($B13="","",H13-I13)</f>
        <v/>
      </c>
      <c r="K13" s="7" t="str">
        <f aca="false">IF($B13="","",ROUND(D13*J13/H13,0))</f>
        <v/>
      </c>
      <c r="L13" s="7" t="str">
        <f aca="false">IF($B13="","",ROUND(E13*J13/H13,0))</f>
        <v/>
      </c>
      <c r="M13" s="7" t="str">
        <f aca="false">IF($B13="","",ROUND(F13*J13/H13,0))</f>
        <v/>
      </c>
      <c r="N13" s="7" t="str">
        <f aca="false">IF($B13="","",K13+L13+M13)</f>
        <v/>
      </c>
      <c r="O13" s="7" t="str">
        <f aca="false">IF($B13="","",G13-N13)</f>
        <v/>
      </c>
      <c r="P13" s="7" t="str">
        <f aca="false">IF($B13="","",ROUND(Assumptions!$B$7*MIN(K13,Assumptions!$B$9),0))</f>
        <v/>
      </c>
      <c r="Q13" s="7" t="str">
        <f aca="false">IF($B13="","",IF(G13&lt;=Assumptions!$B$10,ROUNDUP(N13*Assumptions!$B$11,0),0))</f>
        <v/>
      </c>
      <c r="R13" s="7" t="str">
        <f aca="false">IF($B13="","",TDS_Working!K13)</f>
        <v/>
      </c>
      <c r="S13" s="7" t="str">
        <f aca="false">IF($B13="","",P13+Q13+R13)</f>
        <v/>
      </c>
      <c r="T13" s="7" t="str">
        <f aca="false">IF($B13="","",N13-S13)</f>
        <v/>
      </c>
      <c r="U13" s="7" t="str">
        <f aca="false">IF($B13="","",ROUND(Assumptions!$B$8*MIN(K13,Assumptions!$B$9),0))</f>
        <v/>
      </c>
      <c r="V13" s="7" t="str">
        <f aca="false">IF($B13="","",IF(G13&lt;=Assumptions!$B$10,ROUNDUP(N13*Assumptions!$B$12,0),0))</f>
        <v/>
      </c>
      <c r="W13" s="7" t="str">
        <f aca="false">IF($B13="","",N13+U13+V13)</f>
        <v/>
      </c>
    </row>
    <row r="14" customFormat="false" ht="15" hidden="false" customHeight="false" outlineLevel="0" collapsed="false">
      <c r="A14" s="4" t="n">
        <v>10</v>
      </c>
      <c r="B14" s="4"/>
      <c r="C14" s="4"/>
      <c r="D14" s="7"/>
      <c r="E14" s="7" t="str">
        <f aca="false">IF($B14="","",ROUND(D14*Assumptions!$B$6,0))</f>
        <v/>
      </c>
      <c r="F14" s="7"/>
      <c r="G14" s="7" t="str">
        <f aca="false">IF($B14="","",D14+E14+F14)</f>
        <v/>
      </c>
      <c r="H14" s="4" t="str">
        <f aca="false">IF($B14="","",Assumptions!$B$5)</f>
        <v/>
      </c>
      <c r="I14" s="4"/>
      <c r="J14" s="4" t="str">
        <f aca="false">IF($B14="","",H14-I14)</f>
        <v/>
      </c>
      <c r="K14" s="7" t="str">
        <f aca="false">IF($B14="","",ROUND(D14*J14/H14,0))</f>
        <v/>
      </c>
      <c r="L14" s="7" t="str">
        <f aca="false">IF($B14="","",ROUND(E14*J14/H14,0))</f>
        <v/>
      </c>
      <c r="M14" s="7" t="str">
        <f aca="false">IF($B14="","",ROUND(F14*J14/H14,0))</f>
        <v/>
      </c>
      <c r="N14" s="7" t="str">
        <f aca="false">IF($B14="","",K14+L14+M14)</f>
        <v/>
      </c>
      <c r="O14" s="7" t="str">
        <f aca="false">IF($B14="","",G14-N14)</f>
        <v/>
      </c>
      <c r="P14" s="7" t="str">
        <f aca="false">IF($B14="","",ROUND(Assumptions!$B$7*MIN(K14,Assumptions!$B$9),0))</f>
        <v/>
      </c>
      <c r="Q14" s="7" t="str">
        <f aca="false">IF($B14="","",IF(G14&lt;=Assumptions!$B$10,ROUNDUP(N14*Assumptions!$B$11,0),0))</f>
        <v/>
      </c>
      <c r="R14" s="7" t="str">
        <f aca="false">IF($B14="","",TDS_Working!K14)</f>
        <v/>
      </c>
      <c r="S14" s="7" t="str">
        <f aca="false">IF($B14="","",P14+Q14+R14)</f>
        <v/>
      </c>
      <c r="T14" s="7" t="str">
        <f aca="false">IF($B14="","",N14-S14)</f>
        <v/>
      </c>
      <c r="U14" s="7" t="str">
        <f aca="false">IF($B14="","",ROUND(Assumptions!$B$8*MIN(K14,Assumptions!$B$9),0))</f>
        <v/>
      </c>
      <c r="V14" s="7" t="str">
        <f aca="false">IF($B14="","",IF(G14&lt;=Assumptions!$B$10,ROUNDUP(N14*Assumptions!$B$12,0),0))</f>
        <v/>
      </c>
      <c r="W14" s="7" t="str">
        <f aca="false">IF($B14="","",N14+U14+V14)</f>
        <v/>
      </c>
    </row>
    <row r="15" customFormat="false" ht="15" hidden="false" customHeight="false" outlineLevel="0" collapsed="false">
      <c r="A15" s="4" t="n">
        <v>11</v>
      </c>
      <c r="B15" s="4"/>
      <c r="C15" s="4"/>
      <c r="D15" s="7"/>
      <c r="E15" s="7" t="str">
        <f aca="false">IF($B15="","",ROUND(D15*Assumptions!$B$6,0))</f>
        <v/>
      </c>
      <c r="F15" s="7"/>
      <c r="G15" s="7" t="str">
        <f aca="false">IF($B15="","",D15+E15+F15)</f>
        <v/>
      </c>
      <c r="H15" s="4" t="str">
        <f aca="false">IF($B15="","",Assumptions!$B$5)</f>
        <v/>
      </c>
      <c r="I15" s="4"/>
      <c r="J15" s="4" t="str">
        <f aca="false">IF($B15="","",H15-I15)</f>
        <v/>
      </c>
      <c r="K15" s="7" t="str">
        <f aca="false">IF($B15="","",ROUND(D15*J15/H15,0))</f>
        <v/>
      </c>
      <c r="L15" s="7" t="str">
        <f aca="false">IF($B15="","",ROUND(E15*J15/H15,0))</f>
        <v/>
      </c>
      <c r="M15" s="7" t="str">
        <f aca="false">IF($B15="","",ROUND(F15*J15/H15,0))</f>
        <v/>
      </c>
      <c r="N15" s="7" t="str">
        <f aca="false">IF($B15="","",K15+L15+M15)</f>
        <v/>
      </c>
      <c r="O15" s="7" t="str">
        <f aca="false">IF($B15="","",G15-N15)</f>
        <v/>
      </c>
      <c r="P15" s="7" t="str">
        <f aca="false">IF($B15="","",ROUND(Assumptions!$B$7*MIN(K15,Assumptions!$B$9),0))</f>
        <v/>
      </c>
      <c r="Q15" s="7" t="str">
        <f aca="false">IF($B15="","",IF(G15&lt;=Assumptions!$B$10,ROUNDUP(N15*Assumptions!$B$11,0),0))</f>
        <v/>
      </c>
      <c r="R15" s="7" t="str">
        <f aca="false">IF($B15="","",TDS_Working!K15)</f>
        <v/>
      </c>
      <c r="S15" s="7" t="str">
        <f aca="false">IF($B15="","",P15+Q15+R15)</f>
        <v/>
      </c>
      <c r="T15" s="7" t="str">
        <f aca="false">IF($B15="","",N15-S15)</f>
        <v/>
      </c>
      <c r="U15" s="7" t="str">
        <f aca="false">IF($B15="","",ROUND(Assumptions!$B$8*MIN(K15,Assumptions!$B$9),0))</f>
        <v/>
      </c>
      <c r="V15" s="7" t="str">
        <f aca="false">IF($B15="","",IF(G15&lt;=Assumptions!$B$10,ROUNDUP(N15*Assumptions!$B$12,0),0))</f>
        <v/>
      </c>
      <c r="W15" s="7" t="str">
        <f aca="false">IF($B15="","",N15+U15+V15)</f>
        <v/>
      </c>
    </row>
    <row r="16" customFormat="false" ht="15" hidden="false" customHeight="false" outlineLevel="0" collapsed="false">
      <c r="A16" s="4" t="n">
        <v>12</v>
      </c>
      <c r="B16" s="4"/>
      <c r="C16" s="4"/>
      <c r="D16" s="7"/>
      <c r="E16" s="7" t="str">
        <f aca="false">IF($B16="","",ROUND(D16*Assumptions!$B$6,0))</f>
        <v/>
      </c>
      <c r="F16" s="7"/>
      <c r="G16" s="7" t="str">
        <f aca="false">IF($B16="","",D16+E16+F16)</f>
        <v/>
      </c>
      <c r="H16" s="4" t="str">
        <f aca="false">IF($B16="","",Assumptions!$B$5)</f>
        <v/>
      </c>
      <c r="I16" s="4"/>
      <c r="J16" s="4" t="str">
        <f aca="false">IF($B16="","",H16-I16)</f>
        <v/>
      </c>
      <c r="K16" s="7" t="str">
        <f aca="false">IF($B16="","",ROUND(D16*J16/H16,0))</f>
        <v/>
      </c>
      <c r="L16" s="7" t="str">
        <f aca="false">IF($B16="","",ROUND(E16*J16/H16,0))</f>
        <v/>
      </c>
      <c r="M16" s="7" t="str">
        <f aca="false">IF($B16="","",ROUND(F16*J16/H16,0))</f>
        <v/>
      </c>
      <c r="N16" s="7" t="str">
        <f aca="false">IF($B16="","",K16+L16+M16)</f>
        <v/>
      </c>
      <c r="O16" s="7" t="str">
        <f aca="false">IF($B16="","",G16-N16)</f>
        <v/>
      </c>
      <c r="P16" s="7" t="str">
        <f aca="false">IF($B16="","",ROUND(Assumptions!$B$7*MIN(K16,Assumptions!$B$9),0))</f>
        <v/>
      </c>
      <c r="Q16" s="7" t="str">
        <f aca="false">IF($B16="","",IF(G16&lt;=Assumptions!$B$10,ROUNDUP(N16*Assumptions!$B$11,0),0))</f>
        <v/>
      </c>
      <c r="R16" s="7" t="str">
        <f aca="false">IF($B16="","",TDS_Working!K16)</f>
        <v/>
      </c>
      <c r="S16" s="7" t="str">
        <f aca="false">IF($B16="","",P16+Q16+R16)</f>
        <v/>
      </c>
      <c r="T16" s="7" t="str">
        <f aca="false">IF($B16="","",N16-S16)</f>
        <v/>
      </c>
      <c r="U16" s="7" t="str">
        <f aca="false">IF($B16="","",ROUND(Assumptions!$B$8*MIN(K16,Assumptions!$B$9),0))</f>
        <v/>
      </c>
      <c r="V16" s="7" t="str">
        <f aca="false">IF($B16="","",IF(G16&lt;=Assumptions!$B$10,ROUNDUP(N16*Assumptions!$B$12,0),0))</f>
        <v/>
      </c>
      <c r="W16" s="7" t="str">
        <f aca="false">IF($B16="","",N16+U16+V16)</f>
        <v/>
      </c>
    </row>
    <row r="17" customFormat="false" ht="15" hidden="false" customHeight="false" outlineLevel="0" collapsed="false">
      <c r="A17" s="9"/>
      <c r="B17" s="10" t="s">
        <v>41</v>
      </c>
      <c r="C17" s="9"/>
      <c r="D17" s="11" t="n">
        <f aca="false">SUM(D5:D16)</f>
        <v>219000</v>
      </c>
      <c r="E17" s="11" t="n">
        <f aca="false">SUM(E5:E16)</f>
        <v>87600</v>
      </c>
      <c r="F17" s="11" t="n">
        <f aca="false">SUM(F5:F16)</f>
        <v>132900</v>
      </c>
      <c r="G17" s="11" t="n">
        <f aca="false">SUM(G5:G16)</f>
        <v>439500</v>
      </c>
      <c r="H17" s="9"/>
      <c r="I17" s="9"/>
      <c r="J17" s="9"/>
      <c r="K17" s="11" t="n">
        <f aca="false">SUM(K5:K16)</f>
        <v>215733</v>
      </c>
      <c r="L17" s="11" t="n">
        <f aca="false">SUM(L5:L16)</f>
        <v>86293</v>
      </c>
      <c r="M17" s="11" t="n">
        <f aca="false">SUM(M5:M16)</f>
        <v>131440</v>
      </c>
      <c r="N17" s="11" t="n">
        <f aca="false">SUM(N5:N16)</f>
        <v>433466</v>
      </c>
      <c r="O17" s="11" t="n">
        <f aca="false">SUM(O5:O16)</f>
        <v>6034</v>
      </c>
      <c r="P17" s="11" t="n">
        <f aca="false">SUM(P5:P16)</f>
        <v>12840</v>
      </c>
      <c r="Q17" s="11" t="n">
        <f aca="false">SUM(Q5:Q16)</f>
        <v>217</v>
      </c>
      <c r="R17" s="11" t="n">
        <f aca="false">SUM(R5:R16)</f>
        <v>17091</v>
      </c>
      <c r="S17" s="11" t="n">
        <f aca="false">SUM(S5:S16)</f>
        <v>30148</v>
      </c>
      <c r="T17" s="11" t="n">
        <f aca="false">SUM(T5:T16)</f>
        <v>403318</v>
      </c>
      <c r="U17" s="11" t="n">
        <f aca="false">SUM(U5:U16)</f>
        <v>12840</v>
      </c>
      <c r="V17" s="11" t="n">
        <f aca="false">SUM(V5:V16)</f>
        <v>937</v>
      </c>
      <c r="W17" s="11" t="n">
        <f aca="false">SUM(W5:W16)</f>
        <v>447243</v>
      </c>
    </row>
    <row r="19" customFormat="false" ht="15" hidden="false" customHeight="false" outlineLevel="0" collapsed="false">
      <c r="A19" s="2" t="s">
        <v>42</v>
      </c>
    </row>
    <row r="20" customFormat="false" ht="15" hidden="false" customHeight="false" outlineLevel="0" collapsed="false">
      <c r="A20" s="2"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4" min="3" style="0" width="14"/>
    <col collapsed="false" customWidth="true" hidden="false" outlineLevel="0" max="5" min="5" style="0" width="13"/>
    <col collapsed="false" customWidth="true" hidden="false" outlineLevel="0" max="7" min="6" style="0" width="14"/>
    <col collapsed="false" customWidth="true" hidden="false" outlineLevel="0" max="8" min="8" style="0" width="16"/>
    <col collapsed="false" customWidth="true" hidden="false" outlineLevel="0" max="9" min="9" style="0" width="10"/>
    <col collapsed="false" customWidth="true" hidden="false" outlineLevel="0" max="11" min="10" style="0" width="12"/>
  </cols>
  <sheetData>
    <row r="1" customFormat="false" ht="17.35" hidden="false" customHeight="false" outlineLevel="0" collapsed="false">
      <c r="A1" s="1" t="s">
        <v>44</v>
      </c>
    </row>
    <row r="2" customFormat="false" ht="15" hidden="false" customHeight="false" outlineLevel="0" collapsed="false">
      <c r="A2" s="2" t="s">
        <v>45</v>
      </c>
    </row>
    <row r="4" customFormat="false" ht="43.5" hidden="false" customHeight="true" outlineLevel="0" collapsed="false">
      <c r="A4" s="3" t="s">
        <v>2</v>
      </c>
      <c r="B4" s="3" t="s">
        <v>3</v>
      </c>
      <c r="C4" s="3" t="s">
        <v>46</v>
      </c>
      <c r="D4" s="3" t="s">
        <v>47</v>
      </c>
      <c r="E4" s="3" t="s">
        <v>48</v>
      </c>
      <c r="F4" s="3" t="s">
        <v>49</v>
      </c>
      <c r="G4" s="3" t="s">
        <v>50</v>
      </c>
      <c r="H4" s="3" t="s">
        <v>51</v>
      </c>
      <c r="I4" s="3" t="s">
        <v>52</v>
      </c>
      <c r="J4" s="3" t="s">
        <v>53</v>
      </c>
      <c r="K4" s="3" t="s">
        <v>54</v>
      </c>
    </row>
    <row r="5" customFormat="false" ht="15" hidden="false" customHeight="false" outlineLevel="0" collapsed="false">
      <c r="A5" s="12" t="n">
        <v>1</v>
      </c>
      <c r="B5" s="13" t="str">
        <f aca="false">IF(Payroll_Master!$B5="","",Payroll_Master!B5)</f>
        <v>Rakesh Sahoo</v>
      </c>
      <c r="C5" s="14" t="n">
        <f aca="false">IF(Payroll_Master!$B5="","",Payroll_Master!G5)</f>
        <v>153000</v>
      </c>
      <c r="D5" s="15" t="n">
        <f aca="false">IF(Payroll_Master!$B5="","",C5*Assumptions!$B$16)</f>
        <v>1836000</v>
      </c>
      <c r="E5" s="15" t="n">
        <f aca="false">IF(Payroll_Master!$B5="","",Assumptions!$B$13)</f>
        <v>75000</v>
      </c>
      <c r="F5" s="15" t="n">
        <f aca="false">IF(Payroll_Master!$B5="","",MAX(0,D5-E5))</f>
        <v>1761000</v>
      </c>
      <c r="G5" s="15" t="n">
        <f aca="false">IF(Payroll_Master!$B5="","",ROUND(SUMPRODUCT((F5&gt;Assumptions!$A$20:$A$25)*(F5-Assumptions!$A$20:$A$25)*Assumptions!$D$20:$D$25),0))</f>
        <v>152200</v>
      </c>
      <c r="H5" s="15" t="n">
        <f aca="false">IF(Payroll_Master!$B5="","",IF(F5&lt;=Assumptions!$B$14,0,MIN(G5,F5-Assumptions!$B$14)))</f>
        <v>152200</v>
      </c>
      <c r="I5" s="15" t="n">
        <f aca="false">IF(Payroll_Master!$B5="","",ROUND(H5*Assumptions!$B$15,0))</f>
        <v>6088</v>
      </c>
      <c r="J5" s="15" t="n">
        <f aca="false">IF(Payroll_Master!$B5="","",H5+I5)</f>
        <v>158288</v>
      </c>
      <c r="K5" s="15" t="n">
        <f aca="false">IF(Payroll_Master!$B5="","",ROUND(J5/Assumptions!$B$16,0))</f>
        <v>13191</v>
      </c>
    </row>
    <row r="6" customFormat="false" ht="15" hidden="false" customHeight="false" outlineLevel="0" collapsed="false">
      <c r="A6" s="12" t="n">
        <v>2</v>
      </c>
      <c r="B6" s="13" t="str">
        <f aca="false">IF(Payroll_Master!$B6="","",Payroll_Master!B6)</f>
        <v>Smita Mohanty</v>
      </c>
      <c r="C6" s="14" t="n">
        <f aca="false">IF(Payroll_Master!$B6="","",Payroll_Master!G6)</f>
        <v>110000</v>
      </c>
      <c r="D6" s="15" t="n">
        <f aca="false">IF(Payroll_Master!$B6="","",C6*Assumptions!$B$16)</f>
        <v>1320000</v>
      </c>
      <c r="E6" s="15" t="n">
        <f aca="false">IF(Payroll_Master!$B6="","",Assumptions!$B$13)</f>
        <v>75000</v>
      </c>
      <c r="F6" s="15" t="n">
        <f aca="false">IF(Payroll_Master!$B6="","",MAX(0,D6-E6))</f>
        <v>1245000</v>
      </c>
      <c r="G6" s="15" t="n">
        <f aca="false">IF(Payroll_Master!$B6="","",ROUND(SUMPRODUCT((F6&gt;Assumptions!$A$20:$A$25)*(F6-Assumptions!$A$20:$A$25)*Assumptions!$D$20:$D$25),0))</f>
        <v>66750</v>
      </c>
      <c r="H6" s="15" t="n">
        <f aca="false">IF(Payroll_Master!$B6="","",IF(F6&lt;=Assumptions!$B$14,0,MIN(G6,F6-Assumptions!$B$14)))</f>
        <v>45000</v>
      </c>
      <c r="I6" s="15" t="n">
        <f aca="false">IF(Payroll_Master!$B6="","",ROUND(H6*Assumptions!$B$15,0))</f>
        <v>1800</v>
      </c>
      <c r="J6" s="15" t="n">
        <f aca="false">IF(Payroll_Master!$B6="","",H6+I6)</f>
        <v>46800</v>
      </c>
      <c r="K6" s="15" t="n">
        <f aca="false">IF(Payroll_Master!$B6="","",ROUND(J6/Assumptions!$B$16,0))</f>
        <v>3900</v>
      </c>
    </row>
    <row r="7" customFormat="false" ht="15" hidden="false" customHeight="false" outlineLevel="0" collapsed="false">
      <c r="A7" s="12" t="n">
        <v>3</v>
      </c>
      <c r="B7" s="13" t="str">
        <f aca="false">IF(Payroll_Master!$B7="","",Payroll_Master!B7)</f>
        <v>Prakash Nayak</v>
      </c>
      <c r="C7" s="14" t="n">
        <f aca="false">IF(Payroll_Master!$B7="","",Payroll_Master!G7)</f>
        <v>50000</v>
      </c>
      <c r="D7" s="15" t="n">
        <f aca="false">IF(Payroll_Master!$B7="","",C7*Assumptions!$B$16)</f>
        <v>600000</v>
      </c>
      <c r="E7" s="15" t="n">
        <f aca="false">IF(Payroll_Master!$B7="","",Assumptions!$B$13)</f>
        <v>75000</v>
      </c>
      <c r="F7" s="15" t="n">
        <f aca="false">IF(Payroll_Master!$B7="","",MAX(0,D7-E7))</f>
        <v>525000</v>
      </c>
      <c r="G7" s="15" t="n">
        <f aca="false">IF(Payroll_Master!$B7="","",ROUND(SUMPRODUCT((F7&gt;Assumptions!$A$20:$A$25)*(F7-Assumptions!$A$20:$A$25)*Assumptions!$D$20:$D$25),0))</f>
        <v>6250</v>
      </c>
      <c r="H7" s="15" t="n">
        <f aca="false">IF(Payroll_Master!$B7="","",IF(F7&lt;=Assumptions!$B$14,0,MIN(G7,F7-Assumptions!$B$14)))</f>
        <v>0</v>
      </c>
      <c r="I7" s="15" t="n">
        <f aca="false">IF(Payroll_Master!$B7="","",ROUND(H7*Assumptions!$B$15,0))</f>
        <v>0</v>
      </c>
      <c r="J7" s="15" t="n">
        <f aca="false">IF(Payroll_Master!$B7="","",H7+I7)</f>
        <v>0</v>
      </c>
      <c r="K7" s="15" t="n">
        <f aca="false">IF(Payroll_Master!$B7="","",ROUND(J7/Assumptions!$B$16,0))</f>
        <v>0</v>
      </c>
    </row>
    <row r="8" customFormat="false" ht="15" hidden="false" customHeight="false" outlineLevel="0" collapsed="false">
      <c r="A8" s="12" t="n">
        <v>4</v>
      </c>
      <c r="B8" s="13" t="str">
        <f aca="false">IF(Payroll_Master!$B8="","",Payroll_Master!B8)</f>
        <v>Anita Das</v>
      </c>
      <c r="C8" s="14" t="n">
        <f aca="false">IF(Payroll_Master!$B8="","",Payroll_Master!G8)</f>
        <v>40000</v>
      </c>
      <c r="D8" s="15" t="n">
        <f aca="false">IF(Payroll_Master!$B8="","",C8*Assumptions!$B$16)</f>
        <v>480000</v>
      </c>
      <c r="E8" s="15" t="n">
        <f aca="false">IF(Payroll_Master!$B8="","",Assumptions!$B$13)</f>
        <v>75000</v>
      </c>
      <c r="F8" s="15" t="n">
        <f aca="false">IF(Payroll_Master!$B8="","",MAX(0,D8-E8))</f>
        <v>405000</v>
      </c>
      <c r="G8" s="15" t="n">
        <f aca="false">IF(Payroll_Master!$B8="","",ROUND(SUMPRODUCT((F8&gt;Assumptions!$A$20:$A$25)*(F8-Assumptions!$A$20:$A$25)*Assumptions!$D$20:$D$25),0))</f>
        <v>250</v>
      </c>
      <c r="H8" s="15" t="n">
        <f aca="false">IF(Payroll_Master!$B8="","",IF(F8&lt;=Assumptions!$B$14,0,MIN(G8,F8-Assumptions!$B$14)))</f>
        <v>0</v>
      </c>
      <c r="I8" s="15" t="n">
        <f aca="false">IF(Payroll_Master!$B8="","",ROUND(H8*Assumptions!$B$15,0))</f>
        <v>0</v>
      </c>
      <c r="J8" s="15" t="n">
        <f aca="false">IF(Payroll_Master!$B8="","",H8+I8)</f>
        <v>0</v>
      </c>
      <c r="K8" s="15" t="n">
        <f aca="false">IF(Payroll_Master!$B8="","",ROUND(J8/Assumptions!$B$16,0))</f>
        <v>0</v>
      </c>
    </row>
    <row r="9" customFormat="false" ht="15" hidden="false" customHeight="false" outlineLevel="0" collapsed="false">
      <c r="A9" s="12" t="n">
        <v>5</v>
      </c>
      <c r="B9" s="13" t="str">
        <f aca="false">IF(Payroll_Master!$B9="","",Payroll_Master!B9)</f>
        <v>Sanjay Behera</v>
      </c>
      <c r="C9" s="14" t="n">
        <f aca="false">IF(Payroll_Master!$B9="","",Payroll_Master!G9)</f>
        <v>30000</v>
      </c>
      <c r="D9" s="15" t="n">
        <f aca="false">IF(Payroll_Master!$B9="","",C9*Assumptions!$B$16)</f>
        <v>360000</v>
      </c>
      <c r="E9" s="15" t="n">
        <f aca="false">IF(Payroll_Master!$B9="","",Assumptions!$B$13)</f>
        <v>75000</v>
      </c>
      <c r="F9" s="15" t="n">
        <f aca="false">IF(Payroll_Master!$B9="","",MAX(0,D9-E9))</f>
        <v>285000</v>
      </c>
      <c r="G9" s="15" t="n">
        <f aca="false">IF(Payroll_Master!$B9="","",ROUND(SUMPRODUCT((F9&gt;Assumptions!$A$20:$A$25)*(F9-Assumptions!$A$20:$A$25)*Assumptions!$D$20:$D$25),0))</f>
        <v>0</v>
      </c>
      <c r="H9" s="15" t="n">
        <f aca="false">IF(Payroll_Master!$B9="","",IF(F9&lt;=Assumptions!$B$14,0,MIN(G9,F9-Assumptions!$B$14)))</f>
        <v>0</v>
      </c>
      <c r="I9" s="15" t="n">
        <f aca="false">IF(Payroll_Master!$B9="","",ROUND(H9*Assumptions!$B$15,0))</f>
        <v>0</v>
      </c>
      <c r="J9" s="15" t="n">
        <f aca="false">IF(Payroll_Master!$B9="","",H9+I9)</f>
        <v>0</v>
      </c>
      <c r="K9" s="15" t="n">
        <f aca="false">IF(Payroll_Master!$B9="","",ROUND(J9/Assumptions!$B$16,0))</f>
        <v>0</v>
      </c>
    </row>
    <row r="10" customFormat="false" ht="15" hidden="false" customHeight="false" outlineLevel="0" collapsed="false">
      <c r="A10" s="12" t="n">
        <v>6</v>
      </c>
      <c r="B10" s="13" t="str">
        <f aca="false">IF(Payroll_Master!$B10="","",Payroll_Master!B10)</f>
        <v>Pooja Sharma</v>
      </c>
      <c r="C10" s="14" t="n">
        <f aca="false">IF(Payroll_Master!$B10="","",Payroll_Master!G10)</f>
        <v>26000</v>
      </c>
      <c r="D10" s="15" t="n">
        <f aca="false">IF(Payroll_Master!$B10="","",C10*Assumptions!$B$16)</f>
        <v>312000</v>
      </c>
      <c r="E10" s="15" t="n">
        <f aca="false">IF(Payroll_Master!$B10="","",Assumptions!$B$13)</f>
        <v>75000</v>
      </c>
      <c r="F10" s="15" t="n">
        <f aca="false">IF(Payroll_Master!$B10="","",MAX(0,D10-E10))</f>
        <v>237000</v>
      </c>
      <c r="G10" s="15" t="n">
        <f aca="false">IF(Payroll_Master!$B10="","",ROUND(SUMPRODUCT((F10&gt;Assumptions!$A$20:$A$25)*(F10-Assumptions!$A$20:$A$25)*Assumptions!$D$20:$D$25),0))</f>
        <v>0</v>
      </c>
      <c r="H10" s="15" t="n">
        <f aca="false">IF(Payroll_Master!$B10="","",IF(F10&lt;=Assumptions!$B$14,0,MIN(G10,F10-Assumptions!$B$14)))</f>
        <v>0</v>
      </c>
      <c r="I10" s="15" t="n">
        <f aca="false">IF(Payroll_Master!$B10="","",ROUND(H10*Assumptions!$B$15,0))</f>
        <v>0</v>
      </c>
      <c r="J10" s="15" t="n">
        <f aca="false">IF(Payroll_Master!$B10="","",H10+I10)</f>
        <v>0</v>
      </c>
      <c r="K10" s="15" t="n">
        <f aca="false">IF(Payroll_Master!$B10="","",ROUND(J10/Assumptions!$B$16,0))</f>
        <v>0</v>
      </c>
    </row>
    <row r="11" customFormat="false" ht="15" hidden="false" customHeight="false" outlineLevel="0" collapsed="false">
      <c r="A11" s="12" t="n">
        <v>7</v>
      </c>
      <c r="B11" s="13" t="str">
        <f aca="false">IF(Payroll_Master!$B11="","",Payroll_Master!B11)</f>
        <v>Ramesh Pradhan</v>
      </c>
      <c r="C11" s="14" t="n">
        <f aca="false">IF(Payroll_Master!$B11="","",Payroll_Master!G11)</f>
        <v>17000</v>
      </c>
      <c r="D11" s="15" t="n">
        <f aca="false">IF(Payroll_Master!$B11="","",C11*Assumptions!$B$16)</f>
        <v>204000</v>
      </c>
      <c r="E11" s="15" t="n">
        <f aca="false">IF(Payroll_Master!$B11="","",Assumptions!$B$13)</f>
        <v>75000</v>
      </c>
      <c r="F11" s="15" t="n">
        <f aca="false">IF(Payroll_Master!$B11="","",MAX(0,D11-E11))</f>
        <v>129000</v>
      </c>
      <c r="G11" s="15" t="n">
        <f aca="false">IF(Payroll_Master!$B11="","",ROUND(SUMPRODUCT((F11&gt;Assumptions!$A$20:$A$25)*(F11-Assumptions!$A$20:$A$25)*Assumptions!$D$20:$D$25),0))</f>
        <v>0</v>
      </c>
      <c r="H11" s="15" t="n">
        <f aca="false">IF(Payroll_Master!$B11="","",IF(F11&lt;=Assumptions!$B$14,0,MIN(G11,F11-Assumptions!$B$14)))</f>
        <v>0</v>
      </c>
      <c r="I11" s="15" t="n">
        <f aca="false">IF(Payroll_Master!$B11="","",ROUND(H11*Assumptions!$B$15,0))</f>
        <v>0</v>
      </c>
      <c r="J11" s="15" t="n">
        <f aca="false">IF(Payroll_Master!$B11="","",H11+I11)</f>
        <v>0</v>
      </c>
      <c r="K11" s="15" t="n">
        <f aca="false">IF(Payroll_Master!$B11="","",ROUND(J11/Assumptions!$B$16,0))</f>
        <v>0</v>
      </c>
    </row>
    <row r="12" customFormat="false" ht="15" hidden="false" customHeight="false" outlineLevel="0" collapsed="false">
      <c r="A12" s="12" t="n">
        <v>8</v>
      </c>
      <c r="B12" s="13" t="str">
        <f aca="false">IF(Payroll_Master!$B12="","",Payroll_Master!B12)</f>
        <v>Lata Munda</v>
      </c>
      <c r="C12" s="14" t="n">
        <f aca="false">IF(Payroll_Master!$B12="","",Payroll_Master!G12)</f>
        <v>13500</v>
      </c>
      <c r="D12" s="15" t="n">
        <f aca="false">IF(Payroll_Master!$B12="","",C12*Assumptions!$B$16)</f>
        <v>162000</v>
      </c>
      <c r="E12" s="15" t="n">
        <f aca="false">IF(Payroll_Master!$B12="","",Assumptions!$B$13)</f>
        <v>75000</v>
      </c>
      <c r="F12" s="15" t="n">
        <f aca="false">IF(Payroll_Master!$B12="","",MAX(0,D12-E12))</f>
        <v>87000</v>
      </c>
      <c r="G12" s="15" t="n">
        <f aca="false">IF(Payroll_Master!$B12="","",ROUND(SUMPRODUCT((F12&gt;Assumptions!$A$20:$A$25)*(F12-Assumptions!$A$20:$A$25)*Assumptions!$D$20:$D$25),0))</f>
        <v>0</v>
      </c>
      <c r="H12" s="15" t="n">
        <f aca="false">IF(Payroll_Master!$B12="","",IF(F12&lt;=Assumptions!$B$14,0,MIN(G12,F12-Assumptions!$B$14)))</f>
        <v>0</v>
      </c>
      <c r="I12" s="15" t="n">
        <f aca="false">IF(Payroll_Master!$B12="","",ROUND(H12*Assumptions!$B$15,0))</f>
        <v>0</v>
      </c>
      <c r="J12" s="15" t="n">
        <f aca="false">IF(Payroll_Master!$B12="","",H12+I12)</f>
        <v>0</v>
      </c>
      <c r="K12" s="15" t="n">
        <f aca="false">IF(Payroll_Master!$B12="","",ROUND(J12/Assumptions!$B$16,0))</f>
        <v>0</v>
      </c>
    </row>
    <row r="13" customFormat="false" ht="15" hidden="false" customHeight="false" outlineLevel="0" collapsed="false">
      <c r="A13" s="12" t="n">
        <v>9</v>
      </c>
      <c r="B13" s="13" t="str">
        <f aca="false">IF(Payroll_Master!$B13="","",Payroll_Master!B13)</f>
        <v/>
      </c>
      <c r="C13" s="14" t="str">
        <f aca="false">IF(Payroll_Master!$B13="","",Payroll_Master!G13)</f>
        <v/>
      </c>
      <c r="D13" s="15" t="str">
        <f aca="false">IF(Payroll_Master!$B13="","",C13*Assumptions!$B$16)</f>
        <v/>
      </c>
      <c r="E13" s="15" t="str">
        <f aca="false">IF(Payroll_Master!$B13="","",Assumptions!$B$13)</f>
        <v/>
      </c>
      <c r="F13" s="15" t="str">
        <f aca="false">IF(Payroll_Master!$B13="","",MAX(0,D13-E13))</f>
        <v/>
      </c>
      <c r="G13" s="15" t="str">
        <f aca="false">IF(Payroll_Master!$B13="","",ROUND(SUMPRODUCT((F13&gt;Assumptions!$A$20:$A$25)*(F13-Assumptions!$A$20:$A$25)*Assumptions!$D$20:$D$25),0))</f>
        <v/>
      </c>
      <c r="H13" s="15" t="str">
        <f aca="false">IF(Payroll_Master!$B13="","",IF(F13&lt;=Assumptions!$B$14,0,MIN(G13,F13-Assumptions!$B$14)))</f>
        <v/>
      </c>
      <c r="I13" s="15" t="str">
        <f aca="false">IF(Payroll_Master!$B13="","",ROUND(H13*Assumptions!$B$15,0))</f>
        <v/>
      </c>
      <c r="J13" s="15" t="str">
        <f aca="false">IF(Payroll_Master!$B13="","",H13+I13)</f>
        <v/>
      </c>
      <c r="K13" s="15" t="str">
        <f aca="false">IF(Payroll_Master!$B13="","",ROUND(J13/Assumptions!$B$16,0))</f>
        <v/>
      </c>
    </row>
    <row r="14" customFormat="false" ht="15" hidden="false" customHeight="false" outlineLevel="0" collapsed="false">
      <c r="A14" s="12" t="n">
        <v>10</v>
      </c>
      <c r="B14" s="13" t="str">
        <f aca="false">IF(Payroll_Master!$B14="","",Payroll_Master!B14)</f>
        <v/>
      </c>
      <c r="C14" s="14" t="str">
        <f aca="false">IF(Payroll_Master!$B14="","",Payroll_Master!G14)</f>
        <v/>
      </c>
      <c r="D14" s="15" t="str">
        <f aca="false">IF(Payroll_Master!$B14="","",C14*Assumptions!$B$16)</f>
        <v/>
      </c>
      <c r="E14" s="15" t="str">
        <f aca="false">IF(Payroll_Master!$B14="","",Assumptions!$B$13)</f>
        <v/>
      </c>
      <c r="F14" s="15" t="str">
        <f aca="false">IF(Payroll_Master!$B14="","",MAX(0,D14-E14))</f>
        <v/>
      </c>
      <c r="G14" s="15" t="str">
        <f aca="false">IF(Payroll_Master!$B14="","",ROUND(SUMPRODUCT((F14&gt;Assumptions!$A$20:$A$25)*(F14-Assumptions!$A$20:$A$25)*Assumptions!$D$20:$D$25),0))</f>
        <v/>
      </c>
      <c r="H14" s="15" t="str">
        <f aca="false">IF(Payroll_Master!$B14="","",IF(F14&lt;=Assumptions!$B$14,0,MIN(G14,F14-Assumptions!$B$14)))</f>
        <v/>
      </c>
      <c r="I14" s="15" t="str">
        <f aca="false">IF(Payroll_Master!$B14="","",ROUND(H14*Assumptions!$B$15,0))</f>
        <v/>
      </c>
      <c r="J14" s="15" t="str">
        <f aca="false">IF(Payroll_Master!$B14="","",H14+I14)</f>
        <v/>
      </c>
      <c r="K14" s="15" t="str">
        <f aca="false">IF(Payroll_Master!$B14="","",ROUND(J14/Assumptions!$B$16,0))</f>
        <v/>
      </c>
    </row>
    <row r="15" customFormat="false" ht="15" hidden="false" customHeight="false" outlineLevel="0" collapsed="false">
      <c r="A15" s="12" t="n">
        <v>11</v>
      </c>
      <c r="B15" s="13" t="str">
        <f aca="false">IF(Payroll_Master!$B15="","",Payroll_Master!B15)</f>
        <v/>
      </c>
      <c r="C15" s="14" t="str">
        <f aca="false">IF(Payroll_Master!$B15="","",Payroll_Master!G15)</f>
        <v/>
      </c>
      <c r="D15" s="15" t="str">
        <f aca="false">IF(Payroll_Master!$B15="","",C15*Assumptions!$B$16)</f>
        <v/>
      </c>
      <c r="E15" s="15" t="str">
        <f aca="false">IF(Payroll_Master!$B15="","",Assumptions!$B$13)</f>
        <v/>
      </c>
      <c r="F15" s="15" t="str">
        <f aca="false">IF(Payroll_Master!$B15="","",MAX(0,D15-E15))</f>
        <v/>
      </c>
      <c r="G15" s="15" t="str">
        <f aca="false">IF(Payroll_Master!$B15="","",ROUND(SUMPRODUCT((F15&gt;Assumptions!$A$20:$A$25)*(F15-Assumptions!$A$20:$A$25)*Assumptions!$D$20:$D$25),0))</f>
        <v/>
      </c>
      <c r="H15" s="15" t="str">
        <f aca="false">IF(Payroll_Master!$B15="","",IF(F15&lt;=Assumptions!$B$14,0,MIN(G15,F15-Assumptions!$B$14)))</f>
        <v/>
      </c>
      <c r="I15" s="15" t="str">
        <f aca="false">IF(Payroll_Master!$B15="","",ROUND(H15*Assumptions!$B$15,0))</f>
        <v/>
      </c>
      <c r="J15" s="15" t="str">
        <f aca="false">IF(Payroll_Master!$B15="","",H15+I15)</f>
        <v/>
      </c>
      <c r="K15" s="15" t="str">
        <f aca="false">IF(Payroll_Master!$B15="","",ROUND(J15/Assumptions!$B$16,0))</f>
        <v/>
      </c>
    </row>
    <row r="16" customFormat="false" ht="15" hidden="false" customHeight="false" outlineLevel="0" collapsed="false">
      <c r="A16" s="12" t="n">
        <v>12</v>
      </c>
      <c r="B16" s="13" t="str">
        <f aca="false">IF(Payroll_Master!$B16="","",Payroll_Master!B16)</f>
        <v/>
      </c>
      <c r="C16" s="14" t="str">
        <f aca="false">IF(Payroll_Master!$B16="","",Payroll_Master!G16)</f>
        <v/>
      </c>
      <c r="D16" s="15" t="str">
        <f aca="false">IF(Payroll_Master!$B16="","",C16*Assumptions!$B$16)</f>
        <v/>
      </c>
      <c r="E16" s="15" t="str">
        <f aca="false">IF(Payroll_Master!$B16="","",Assumptions!$B$13)</f>
        <v/>
      </c>
      <c r="F16" s="15" t="str">
        <f aca="false">IF(Payroll_Master!$B16="","",MAX(0,D16-E16))</f>
        <v/>
      </c>
      <c r="G16" s="15" t="str">
        <f aca="false">IF(Payroll_Master!$B16="","",ROUND(SUMPRODUCT((F16&gt;Assumptions!$A$20:$A$25)*(F16-Assumptions!$A$20:$A$25)*Assumptions!$D$20:$D$25),0))</f>
        <v/>
      </c>
      <c r="H16" s="15" t="str">
        <f aca="false">IF(Payroll_Master!$B16="","",IF(F16&lt;=Assumptions!$B$14,0,MIN(G16,F16-Assumptions!$B$14)))</f>
        <v/>
      </c>
      <c r="I16" s="15" t="str">
        <f aca="false">IF(Payroll_Master!$B16="","",ROUND(H16*Assumptions!$B$15,0))</f>
        <v/>
      </c>
      <c r="J16" s="15" t="str">
        <f aca="false">IF(Payroll_Master!$B16="","",H16+I16)</f>
        <v/>
      </c>
      <c r="K16" s="15" t="str">
        <f aca="false">IF(Payroll_Master!$B16="","",ROUND(J16/Assumptions!$B$16,0))</f>
        <v/>
      </c>
    </row>
    <row r="17" customFormat="false" ht="15" hidden="false" customHeight="false" outlineLevel="0" collapsed="false">
      <c r="A17" s="9"/>
      <c r="B17" s="10" t="s">
        <v>41</v>
      </c>
      <c r="C17" s="11" t="n">
        <f aca="false">SUM(C5:C16)</f>
        <v>439500</v>
      </c>
      <c r="D17" s="11" t="n">
        <f aca="false">SUM(D5:D16)</f>
        <v>5274000</v>
      </c>
      <c r="E17" s="9"/>
      <c r="F17" s="11" t="n">
        <f aca="false">SUM(F5:F16)</f>
        <v>4674000</v>
      </c>
      <c r="G17" s="11" t="n">
        <f aca="false">SUM(G5:G16)</f>
        <v>225450</v>
      </c>
      <c r="H17" s="11" t="n">
        <f aca="false">SUM(H5:H16)</f>
        <v>197200</v>
      </c>
      <c r="I17" s="11" t="n">
        <f aca="false">SUM(I5:I16)</f>
        <v>7888</v>
      </c>
      <c r="J17" s="11" t="n">
        <f aca="false">SUM(J5:J16)</f>
        <v>205088</v>
      </c>
      <c r="K17" s="11" t="n">
        <f aca="false">SUM(K5:K16)</f>
        <v>17091</v>
      </c>
    </row>
    <row r="19" customFormat="false" ht="15" hidden="false" customHeight="false" outlineLevel="0" collapsed="false">
      <c r="A19" s="2" t="s">
        <v>55</v>
      </c>
    </row>
    <row r="20" customFormat="false" ht="15" hidden="false" customHeight="false" outlineLevel="0" collapsed="false">
      <c r="A20" s="2"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52"/>
    <col collapsed="false" customWidth="true" hidden="false" outlineLevel="0" max="4" min="3" style="0" width="16"/>
  </cols>
  <sheetData>
    <row r="1" customFormat="false" ht="17.35" hidden="false" customHeight="false" outlineLevel="0" collapsed="false">
      <c r="A1" s="1" t="s">
        <v>57</v>
      </c>
    </row>
    <row r="2" customFormat="false" ht="15" hidden="false" customHeight="false" outlineLevel="0" collapsed="false">
      <c r="A2" s="2" t="s">
        <v>58</v>
      </c>
    </row>
    <row r="4" customFormat="false" ht="15" hidden="false" customHeight="false" outlineLevel="0" collapsed="false">
      <c r="A4" s="16" t="s">
        <v>59</v>
      </c>
    </row>
    <row r="5" customFormat="false" ht="43.5" hidden="false" customHeight="true" outlineLevel="0" collapsed="false">
      <c r="A5" s="3" t="s">
        <v>60</v>
      </c>
      <c r="B5" s="3" t="s">
        <v>61</v>
      </c>
      <c r="C5" s="3" t="s">
        <v>62</v>
      </c>
      <c r="D5" s="3" t="s">
        <v>63</v>
      </c>
    </row>
    <row r="6" customFormat="false" ht="15" hidden="false" customHeight="false" outlineLevel="0" collapsed="false">
      <c r="A6" s="12" t="s">
        <v>64</v>
      </c>
      <c r="B6" s="12" t="s">
        <v>65</v>
      </c>
      <c r="C6" s="14" t="n">
        <f aca="false">Payroll_Master!W17</f>
        <v>447243</v>
      </c>
      <c r="D6" s="7"/>
    </row>
    <row r="7" customFormat="false" ht="15" hidden="false" customHeight="false" outlineLevel="0" collapsed="false">
      <c r="A7" s="12" t="s">
        <v>66</v>
      </c>
      <c r="B7" s="12" t="s">
        <v>67</v>
      </c>
      <c r="C7" s="7"/>
      <c r="D7" s="14" t="n">
        <f aca="false">Payroll_Master!T17</f>
        <v>403318</v>
      </c>
    </row>
    <row r="8" customFormat="false" ht="15" hidden="false" customHeight="false" outlineLevel="0" collapsed="false">
      <c r="A8" s="12" t="s">
        <v>68</v>
      </c>
      <c r="B8" s="12" t="s">
        <v>67</v>
      </c>
      <c r="C8" s="7"/>
      <c r="D8" s="14" t="n">
        <f aca="false">Payroll_Master!P17+Payroll_Master!U17</f>
        <v>25680</v>
      </c>
    </row>
    <row r="9" customFormat="false" ht="15" hidden="false" customHeight="false" outlineLevel="0" collapsed="false">
      <c r="A9" s="12" t="s">
        <v>69</v>
      </c>
      <c r="B9" s="12" t="s">
        <v>67</v>
      </c>
      <c r="C9" s="7"/>
      <c r="D9" s="14" t="n">
        <f aca="false">Payroll_Master!Q17+Payroll_Master!V17</f>
        <v>1154</v>
      </c>
    </row>
    <row r="10" customFormat="false" ht="15" hidden="false" customHeight="false" outlineLevel="0" collapsed="false">
      <c r="A10" s="12" t="s">
        <v>70</v>
      </c>
      <c r="B10" s="12" t="s">
        <v>71</v>
      </c>
      <c r="C10" s="7"/>
      <c r="D10" s="14" t="n">
        <f aca="false">Payroll_Master!R17</f>
        <v>17091</v>
      </c>
    </row>
    <row r="11" customFormat="false" ht="15" hidden="false" customHeight="false" outlineLevel="0" collapsed="false">
      <c r="A11" s="10" t="s">
        <v>41</v>
      </c>
      <c r="B11" s="9"/>
      <c r="C11" s="11" t="n">
        <f aca="false">SUM(C6:C10)</f>
        <v>447243</v>
      </c>
      <c r="D11" s="11" t="n">
        <f aca="false">SUM(D6:D10)</f>
        <v>447243</v>
      </c>
    </row>
    <row r="12" customFormat="false" ht="15" hidden="false" customHeight="false" outlineLevel="0" collapsed="false">
      <c r="A12" s="2" t="s">
        <v>72</v>
      </c>
      <c r="C12" s="17" t="n">
        <f aca="false">C11-D11</f>
        <v>0</v>
      </c>
    </row>
    <row r="13" customFormat="false" ht="15" hidden="false" customHeight="false" outlineLevel="0" collapsed="false">
      <c r="A13" s="2" t="s">
        <v>73</v>
      </c>
    </row>
    <row r="15" customFormat="false" ht="15" hidden="false" customHeight="false" outlineLevel="0" collapsed="false">
      <c r="A15" s="16" t="s">
        <v>74</v>
      </c>
    </row>
    <row r="16" customFormat="false" ht="43.5" hidden="false" customHeight="true" outlineLevel="0" collapsed="false">
      <c r="A16" s="3" t="s">
        <v>75</v>
      </c>
      <c r="B16" s="3" t="s">
        <v>76</v>
      </c>
      <c r="C16" s="3" t="s">
        <v>77</v>
      </c>
      <c r="D16" s="3" t="s">
        <v>78</v>
      </c>
    </row>
    <row r="17" customFormat="false" ht="15" hidden="false" customHeight="false" outlineLevel="0" collapsed="false">
      <c r="A17" s="12" t="s">
        <v>79</v>
      </c>
      <c r="B17" s="12" t="s">
        <v>80</v>
      </c>
      <c r="C17" s="14" t="n">
        <f aca="false">Payroll_Master!T17</f>
        <v>403318</v>
      </c>
      <c r="D17" s="18" t="n">
        <v>46142</v>
      </c>
    </row>
    <row r="18" customFormat="false" ht="15" hidden="false" customHeight="false" outlineLevel="0" collapsed="false">
      <c r="A18" s="12" t="s">
        <v>81</v>
      </c>
      <c r="B18" s="12" t="s">
        <v>82</v>
      </c>
      <c r="C18" s="14" t="n">
        <f aca="false">Payroll_Master!R17</f>
        <v>17091</v>
      </c>
      <c r="D18" s="18" t="n">
        <v>46149</v>
      </c>
    </row>
    <row r="19" customFormat="false" ht="15" hidden="false" customHeight="false" outlineLevel="0" collapsed="false">
      <c r="A19" s="12" t="s">
        <v>83</v>
      </c>
      <c r="B19" s="12" t="s">
        <v>84</v>
      </c>
      <c r="C19" s="14" t="n">
        <f aca="false">Payroll_Master!P17+Payroll_Master!U17</f>
        <v>25680</v>
      </c>
      <c r="D19" s="18" t="n">
        <v>46157</v>
      </c>
    </row>
    <row r="20" customFormat="false" ht="15" hidden="false" customHeight="false" outlineLevel="0" collapsed="false">
      <c r="A20" s="12" t="s">
        <v>85</v>
      </c>
      <c r="B20" s="12" t="s">
        <v>86</v>
      </c>
      <c r="C20" s="14" t="n">
        <f aca="false">Payroll_Master!Q17+Payroll_Master!V17</f>
        <v>1154</v>
      </c>
      <c r="D20" s="18" t="n">
        <v>46157</v>
      </c>
    </row>
    <row r="21" customFormat="false" ht="15" hidden="false" customHeight="false" outlineLevel="0" collapsed="false">
      <c r="A21" s="2" t="s">
        <v>87</v>
      </c>
    </row>
    <row r="23" customFormat="false" ht="15" hidden="false" customHeight="false" outlineLevel="0" collapsed="false">
      <c r="A23" s="16" t="s">
        <v>88</v>
      </c>
    </row>
    <row r="24" customFormat="false" ht="15" hidden="false" customHeight="false" outlineLevel="0" collapsed="false">
      <c r="A24" s="19" t="s">
        <v>89</v>
      </c>
    </row>
    <row r="25" customFormat="false" ht="15" hidden="false" customHeight="false" outlineLevel="0" collapsed="false">
      <c r="A25" s="19" t="s">
        <v>90</v>
      </c>
    </row>
    <row r="26" customFormat="false" ht="15" hidden="false" customHeight="false" outlineLevel="0" collapsed="false">
      <c r="A26" s="19" t="s">
        <v>91</v>
      </c>
    </row>
    <row r="27" customFormat="false" ht="15" hidden="false" customHeight="false" outlineLevel="0" collapsed="false">
      <c r="A27" s="19" t="s">
        <v>92</v>
      </c>
    </row>
    <row r="28" customFormat="false" ht="15" hidden="false" customHeight="false" outlineLevel="0" collapsed="false">
      <c r="A28" s="19" t="s">
        <v>93</v>
      </c>
    </row>
    <row r="29" customFormat="false" ht="15" hidden="false" customHeight="false" outlineLevel="0" collapsed="false">
      <c r="A29" s="19" t="s">
        <v>94</v>
      </c>
    </row>
    <row r="30" customFormat="false" ht="15" hidden="false" customHeight="false" outlineLevel="0" collapsed="false">
      <c r="A30" s="19" t="s">
        <v>95</v>
      </c>
    </row>
    <row r="32" customFormat="false" ht="15" hidden="false" customHeight="false" outlineLevel="0" collapsed="false">
      <c r="A32" s="2"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60"/>
    <col collapsed="false" customWidth="true" hidden="false" outlineLevel="0" max="4" min="4" style="0" width="30"/>
  </cols>
  <sheetData>
    <row r="1" customFormat="false" ht="17.35" hidden="false" customHeight="false" outlineLevel="0" collapsed="false">
      <c r="A1" s="1" t="s">
        <v>97</v>
      </c>
    </row>
    <row r="2" customFormat="false" ht="15" hidden="false" customHeight="false" outlineLevel="0" collapsed="false">
      <c r="A2" s="2" t="s">
        <v>98</v>
      </c>
    </row>
    <row r="3" customFormat="false" ht="43.5" hidden="false" customHeight="true" outlineLevel="0" collapsed="false">
      <c r="A3" s="3" t="s">
        <v>99</v>
      </c>
      <c r="B3" s="3" t="s">
        <v>100</v>
      </c>
      <c r="C3" s="3" t="s">
        <v>101</v>
      </c>
    </row>
    <row r="4" customFormat="false" ht="15" hidden="false" customHeight="false" outlineLevel="0" collapsed="false">
      <c r="A4" s="12" t="s">
        <v>102</v>
      </c>
      <c r="B4" s="20" t="s">
        <v>103</v>
      </c>
      <c r="C4" s="21" t="s">
        <v>104</v>
      </c>
    </row>
    <row r="5" customFormat="false" ht="15" hidden="false" customHeight="false" outlineLevel="0" collapsed="false">
      <c r="A5" s="12" t="s">
        <v>105</v>
      </c>
      <c r="B5" s="22" t="n">
        <v>30</v>
      </c>
      <c r="C5" s="21" t="s">
        <v>106</v>
      </c>
    </row>
    <row r="6" customFormat="false" ht="15" hidden="false" customHeight="false" outlineLevel="0" collapsed="false">
      <c r="A6" s="12" t="s">
        <v>107</v>
      </c>
      <c r="B6" s="23" t="n">
        <v>0.4</v>
      </c>
      <c r="C6" s="21" t="s">
        <v>108</v>
      </c>
    </row>
    <row r="7" customFormat="false" ht="15" hidden="false" customHeight="false" outlineLevel="0" collapsed="false">
      <c r="A7" s="12" t="s">
        <v>109</v>
      </c>
      <c r="B7" s="23" t="n">
        <v>0.12</v>
      </c>
      <c r="C7" s="21" t="s">
        <v>110</v>
      </c>
    </row>
    <row r="8" customFormat="false" ht="15" hidden="false" customHeight="false" outlineLevel="0" collapsed="false">
      <c r="A8" s="12" t="s">
        <v>111</v>
      </c>
      <c r="B8" s="23" t="n">
        <v>0.12</v>
      </c>
      <c r="C8" s="21" t="s">
        <v>112</v>
      </c>
    </row>
    <row r="9" customFormat="false" ht="15" hidden="false" customHeight="false" outlineLevel="0" collapsed="false">
      <c r="A9" s="12" t="s">
        <v>113</v>
      </c>
      <c r="B9" s="22" t="n">
        <v>15000</v>
      </c>
      <c r="C9" s="21" t="s">
        <v>114</v>
      </c>
    </row>
    <row r="10" customFormat="false" ht="15" hidden="false" customHeight="false" outlineLevel="0" collapsed="false">
      <c r="A10" s="12" t="s">
        <v>115</v>
      </c>
      <c r="B10" s="22" t="n">
        <v>21000</v>
      </c>
      <c r="C10" s="21" t="s">
        <v>116</v>
      </c>
    </row>
    <row r="11" customFormat="false" ht="15" hidden="false" customHeight="false" outlineLevel="0" collapsed="false">
      <c r="A11" s="12" t="s">
        <v>117</v>
      </c>
      <c r="B11" s="23" t="n">
        <v>0.0075</v>
      </c>
      <c r="C11" s="21" t="s">
        <v>118</v>
      </c>
    </row>
    <row r="12" customFormat="false" ht="15" hidden="false" customHeight="false" outlineLevel="0" collapsed="false">
      <c r="A12" s="12" t="s">
        <v>119</v>
      </c>
      <c r="B12" s="23" t="n">
        <v>0.0325</v>
      </c>
      <c r="C12" s="21" t="s">
        <v>120</v>
      </c>
    </row>
    <row r="13" customFormat="false" ht="15" hidden="false" customHeight="false" outlineLevel="0" collapsed="false">
      <c r="A13" s="12" t="s">
        <v>121</v>
      </c>
      <c r="B13" s="22" t="n">
        <v>75000</v>
      </c>
      <c r="C13" s="21" t="s">
        <v>122</v>
      </c>
    </row>
    <row r="14" customFormat="false" ht="15" hidden="false" customHeight="false" outlineLevel="0" collapsed="false">
      <c r="A14" s="12" t="s">
        <v>123</v>
      </c>
      <c r="B14" s="22" t="n">
        <v>1200000</v>
      </c>
      <c r="C14" s="21" t="s">
        <v>124</v>
      </c>
    </row>
    <row r="15" customFormat="false" ht="15" hidden="false" customHeight="false" outlineLevel="0" collapsed="false">
      <c r="A15" s="12" t="s">
        <v>125</v>
      </c>
      <c r="B15" s="23" t="n">
        <v>0.04</v>
      </c>
      <c r="C15" s="21" t="s">
        <v>126</v>
      </c>
    </row>
    <row r="16" customFormat="false" ht="15" hidden="false" customHeight="false" outlineLevel="0" collapsed="false">
      <c r="A16" s="12" t="s">
        <v>127</v>
      </c>
      <c r="B16" s="22" t="n">
        <v>12</v>
      </c>
      <c r="C16" s="21" t="s">
        <v>128</v>
      </c>
    </row>
    <row r="18" customFormat="false" ht="15" hidden="false" customHeight="false" outlineLevel="0" collapsed="false">
      <c r="A18" s="16" t="s">
        <v>129</v>
      </c>
    </row>
    <row r="19" customFormat="false" ht="43.5" hidden="false" customHeight="true" outlineLevel="0" collapsed="false">
      <c r="A19" s="3" t="s">
        <v>130</v>
      </c>
      <c r="B19" s="3" t="s">
        <v>131</v>
      </c>
      <c r="C19" s="3" t="s">
        <v>132</v>
      </c>
      <c r="D19" s="3" t="s">
        <v>133</v>
      </c>
    </row>
    <row r="20" customFormat="false" ht="15" hidden="false" customHeight="false" outlineLevel="0" collapsed="false">
      <c r="A20" s="24" t="n">
        <v>400000</v>
      </c>
      <c r="B20" s="24" t="n">
        <v>800000</v>
      </c>
      <c r="C20" s="25" t="n">
        <v>0.05</v>
      </c>
      <c r="D20" s="26" t="n">
        <f aca="false">C20</f>
        <v>0.05</v>
      </c>
    </row>
    <row r="21" customFormat="false" ht="15" hidden="false" customHeight="false" outlineLevel="0" collapsed="false">
      <c r="A21" s="24" t="n">
        <v>800000</v>
      </c>
      <c r="B21" s="24" t="n">
        <v>1200000</v>
      </c>
      <c r="C21" s="25" t="n">
        <v>0.1</v>
      </c>
      <c r="D21" s="26" t="n">
        <f aca="false">C21-C20</f>
        <v>0.05</v>
      </c>
    </row>
    <row r="22" customFormat="false" ht="15" hidden="false" customHeight="false" outlineLevel="0" collapsed="false">
      <c r="A22" s="24" t="n">
        <v>1200000</v>
      </c>
      <c r="B22" s="24" t="n">
        <v>1600000</v>
      </c>
      <c r="C22" s="25" t="n">
        <v>0.15</v>
      </c>
      <c r="D22" s="26" t="n">
        <f aca="false">C22-C21</f>
        <v>0.05</v>
      </c>
    </row>
    <row r="23" customFormat="false" ht="15" hidden="false" customHeight="false" outlineLevel="0" collapsed="false">
      <c r="A23" s="24" t="n">
        <v>1600000</v>
      </c>
      <c r="B23" s="24" t="n">
        <v>2000000</v>
      </c>
      <c r="C23" s="25" t="n">
        <v>0.2</v>
      </c>
      <c r="D23" s="26" t="n">
        <f aca="false">C23-C22</f>
        <v>0.05</v>
      </c>
    </row>
    <row r="24" customFormat="false" ht="15" hidden="false" customHeight="false" outlineLevel="0" collapsed="false">
      <c r="A24" s="24" t="n">
        <v>2000000</v>
      </c>
      <c r="B24" s="24" t="n">
        <v>2400000</v>
      </c>
      <c r="C24" s="25" t="n">
        <v>0.25</v>
      </c>
      <c r="D24" s="26" t="n">
        <f aca="false">C24-C23</f>
        <v>0.05</v>
      </c>
    </row>
    <row r="25" customFormat="false" ht="15" hidden="false" customHeight="false" outlineLevel="0" collapsed="false">
      <c r="A25" s="24" t="n">
        <v>2400000</v>
      </c>
      <c r="B25" s="24" t="s">
        <v>134</v>
      </c>
      <c r="C25" s="25" t="n">
        <v>0.3</v>
      </c>
      <c r="D25" s="26" t="n">
        <f aca="false">C25-C24</f>
        <v>0.05</v>
      </c>
    </row>
    <row r="26" customFormat="false" ht="15" hidden="false" customHeight="false" outlineLevel="0" collapsed="false">
      <c r="A26" s="2" t="s">
        <v>135</v>
      </c>
    </row>
    <row r="28" customFormat="false" ht="15" hidden="false" customHeight="false" outlineLevel="0" collapsed="false">
      <c r="A28" s="16" t="s">
        <v>136</v>
      </c>
    </row>
    <row r="29" customFormat="false" ht="15" hidden="false" customHeight="false" outlineLevel="0" collapsed="false">
      <c r="A29" s="2" t="s">
        <v>137</v>
      </c>
    </row>
    <row r="30" customFormat="false" ht="15" hidden="false" customHeight="false" outlineLevel="0" collapsed="false">
      <c r="A30" s="2" t="s">
        <v>138</v>
      </c>
    </row>
    <row r="31" customFormat="false" ht="15" hidden="false" customHeight="false" outlineLevel="0" collapsed="false">
      <c r="A31" s="2"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2026-10-06T01:15:46Z</dcterms:created>
  <dc:creator>openpyxl</dc:creator>
  <dc:description/>
  <dc:language>en-US</dc:language>
  <cp:lastModifiedBy/>
  <dcterms:modified xsi:type="dcterms:W3CDTF">2026-10-06T01:15:46Z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