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ooks_PR" sheetId="2" state="visible" r:id="rId4"/>
    <sheet name="GSTR2B" sheetId="3" state="visible" r:id="rId5"/>
    <sheet name="ITC_Recon" sheetId="4" state="visible" r:id="rId6"/>
    <sheet name="GSTR3B_Work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<sst xmlns="http://schemas.openxmlformats.org/spreadsheetml/2006/main" count="149" uniqueCount="105">
  <si>
    <t xml:space="preserve">GSTR-2B vs Books ITC Reconciliation - Summary (April 2026)</t>
  </si>
  <si>
    <t xml:space="preserve">Nexus Tech Distribution Pvt. Ltd. | Tally Prime + Excel | All figures in Rs, dummy data for practice</t>
  </si>
  <si>
    <t xml:space="preserve">Status</t>
  </si>
  <si>
    <t xml:space="preserve">No. of Invoices</t>
  </si>
  <si>
    <t xml:space="preserve">Books Tax (Rs)</t>
  </si>
  <si>
    <t xml:space="preserve">2B Tax (Rs)</t>
  </si>
  <si>
    <t xml:space="preserve">ITC Eligible (Rs)</t>
  </si>
  <si>
    <t xml:space="preserve">ITC on Hold / Not Claimable (Rs)</t>
  </si>
  <si>
    <t xml:space="preserve">Fully Matched</t>
  </si>
  <si>
    <t xml:space="preserve">Tax Mismatch</t>
  </si>
  <si>
    <t xml:space="preserve">In Books, Missing in 2B</t>
  </si>
  <si>
    <t xml:space="preserve">In 2B, Missing in Books</t>
  </si>
  <si>
    <t xml:space="preserve">TOTAL</t>
  </si>
  <si>
    <t xml:space="preserve">Checks</t>
  </si>
  <si>
    <t xml:space="preserve">Books ITC total (Books_PR)</t>
  </si>
  <si>
    <t xml:space="preserve">Eligible + on hold (Section A)</t>
  </si>
  <si>
    <t xml:space="preserve">Difference (must be 0)</t>
  </si>
  <si>
    <t xml:space="preserve">Books invoices count = Section A count</t>
  </si>
  <si>
    <t xml:space="preserve">GSTR-3B position</t>
  </si>
  <si>
    <t xml:space="preserve">Output tax liability</t>
  </si>
  <si>
    <t xml:space="preserve">Eligible ITC claimed</t>
  </si>
  <si>
    <t xml:space="preserve">Tax payable in cash</t>
  </si>
  <si>
    <t xml:space="preserve">ITC carried forward</t>
  </si>
  <si>
    <t xml:space="preserve">Assumptions</t>
  </si>
  <si>
    <t xml:space="preserve">1. Both purchase invoices and the sales figure are from the Nexus Tech Tally data. Invoice numbers are placeholders - replace with actual Tally references.</t>
  </si>
  <si>
    <t xml:space="preserve">2. The GSTR-2B statement is a practice statement prepared to match the Tally invoices.</t>
  </si>
  <si>
    <t xml:space="preserve">3. Vendor GSTINs are dummy numbers with valid check digits.</t>
  </si>
  <si>
    <t xml:space="preserve">4. Note: matching with GSTR-2B is a reconciliation check; final ITC eligibility remains subject to applicable GST conditions and restrictions.</t>
  </si>
  <si>
    <t xml:space="preserve">5. Tolerance of Rs 1 is used for matching (change in ITC_Recon!C3).</t>
  </si>
  <si>
    <t xml:space="preserve">6. ITC treatment: Fully Matched = full ITC; Tax Mismatch = lower of Books/2B claimed; Missing in 2B = on hold; Missing in Books = claimed only after booking.</t>
  </si>
  <si>
    <t xml:space="preserve">7. Blue text = input cells, green = links to other sheets, black = formulas.</t>
  </si>
  <si>
    <t xml:space="preserve">Books Purchase Register (Tally Prime export)</t>
  </si>
  <si>
    <t xml:space="preserve">Both invoices are from the Nexus Tech Tally purchase vouchers (amounts real; invoice nos. are placeholders - replace with the actual Tally reference).</t>
  </si>
  <si>
    <t xml:space="preserve">Sr</t>
  </si>
  <si>
    <t xml:space="preserve">Invoice Date</t>
  </si>
  <si>
    <t xml:space="preserve">Invoice No</t>
  </si>
  <si>
    <t xml:space="preserve">Vendor</t>
  </si>
  <si>
    <t xml:space="preserve">Vendor GSTIN</t>
  </si>
  <si>
    <t xml:space="preserve">Taxable Value</t>
  </si>
  <si>
    <t xml:space="preserve">CGST</t>
  </si>
  <si>
    <t xml:space="preserve">SGST</t>
  </si>
  <si>
    <t xml:space="preserve">IGST</t>
  </si>
  <si>
    <t xml:space="preserve">Total Tax</t>
  </si>
  <si>
    <t xml:space="preserve">Invoice Value</t>
  </si>
  <si>
    <t xml:space="preserve">Source</t>
  </si>
  <si>
    <t xml:space="preserve">Match Key (GSTIN|Invoice)</t>
  </si>
  <si>
    <t xml:space="preserve">DS/26-27/001</t>
  </si>
  <si>
    <t xml:space="preserve">Delta Systems Pvt Ltd</t>
  </si>
  <si>
    <t xml:space="preserve">21AAACD4521M1Z0</t>
  </si>
  <si>
    <t xml:space="preserve">Tally (Purch Vch 1)</t>
  </si>
  <si>
    <t xml:space="preserve">GTT/26-27/001</t>
  </si>
  <si>
    <t xml:space="preserve">Global Tech Traders</t>
  </si>
  <si>
    <t xml:space="preserve">19AAACG7789R1ZG</t>
  </si>
  <si>
    <t xml:space="preserve">Tally (Purch Vch 2)</t>
  </si>
  <si>
    <t xml:space="preserve">Legend: blue text = input cells (edit these). Black = formulas. Rows 5-9 hold up to 5 invoices; blank rows are ignored.</t>
  </si>
  <si>
    <t xml:space="preserve">GSTR-2B Statement (dummy, as downloaded from GST portal)</t>
  </si>
  <si>
    <t xml:space="preserve">Practice statement in portal format, prepared to match the Tally invoices. Replace with the real GSTR-2B export when using actual data.</t>
  </si>
  <si>
    <t xml:space="preserve">GSTR-2B (dummy)</t>
  </si>
  <si>
    <t xml:space="preserve">GSTR-2B vs Books ITC Reconciliation - April 2026</t>
  </si>
  <si>
    <t xml:space="preserve">Match is done on Vendor GSTIN + Invoice No. (INDEX/MATCH on helper key, works in all Excel versions).</t>
  </si>
  <si>
    <t xml:space="preserve">Tolerance (Rs)</t>
  </si>
  <si>
    <t xml:space="preserve">Differences up to this amount are treated as a match (assumption).</t>
  </si>
  <si>
    <t xml:space="preserve">SECTION A: Invoices recorded in Books (compared with GSTR-2B)</t>
  </si>
  <si>
    <t xml:space="preserve">Books Taxable</t>
  </si>
  <si>
    <t xml:space="preserve">Books Tax</t>
  </si>
  <si>
    <t xml:space="preserve">In 2B?</t>
  </si>
  <si>
    <t xml:space="preserve">2B Taxable</t>
  </si>
  <si>
    <t xml:space="preserve">2B Tax</t>
  </si>
  <si>
    <t xml:space="preserve">Taxable Diff</t>
  </si>
  <si>
    <t xml:space="preserve">Tax Diff</t>
  </si>
  <si>
    <t xml:space="preserve">ITC Eligible</t>
  </si>
  <si>
    <t xml:space="preserve">ITC on Hold</t>
  </si>
  <si>
    <t xml:space="preserve">Action</t>
  </si>
  <si>
    <t xml:space="preserve">Eligible CGST</t>
  </si>
  <si>
    <t xml:space="preserve">Eligible SGST</t>
  </si>
  <si>
    <t xml:space="preserve">Eligible IGST</t>
  </si>
  <si>
    <t xml:space="preserve">SECTION B: Invoices in GSTR-2B but NOT in Books</t>
  </si>
  <si>
    <t xml:space="preserve">In Books?</t>
  </si>
  <si>
    <t xml:space="preserve">ITC Not Claimable</t>
  </si>
  <si>
    <t xml:space="preserve">ITC rule used (assumption): Fully Matched = full ITC; Tax Mismatch = lower of Books/2B claimed, excess on hold; Missing in 2B = nil, on hold; Missing in Books = not claimed until booked.</t>
  </si>
  <si>
    <t xml:space="preserve">GSTR-3B Tax Liability Working - April 2026</t>
  </si>
  <si>
    <t xml:space="preserve">Output tax from Tally Sales Register; ITC from ITC_Recon (eligible only). Set-off follows the GST order of utilisation.</t>
  </si>
  <si>
    <t xml:space="preserve">Particulars</t>
  </si>
  <si>
    <t xml:space="preserve">SGST / UTGST</t>
  </si>
  <si>
    <t xml:space="preserve">Total</t>
  </si>
  <si>
    <t xml:space="preserve">Output tax liability (Table 3.1) - Sales Vch No. 1, Infotech Solutions Ltd (taxable Rs 3,00,000 @18%)</t>
  </si>
  <si>
    <t xml:space="preserve">Eligible ITC (Table 4C) - from ITC_Recon</t>
  </si>
  <si>
    <t xml:space="preserve">ITC on hold (not claimed this month)</t>
  </si>
  <si>
    <t xml:space="preserve">Utilisation of ITC as per Rule 88A: IGST credit first (against IGST, then CGST and SGST in any order), and only then the CGST and SGST credit</t>
  </si>
  <si>
    <t xml:space="preserve">Set-off step</t>
  </si>
  <si>
    <t xml:space="preserve">Amount</t>
  </si>
  <si>
    <t xml:space="preserve">IGST credit used against IGST liability</t>
  </si>
  <si>
    <t xml:space="preserve">IGST credit balance used against CGST liability</t>
  </si>
  <si>
    <t xml:space="preserve">IGST credit balance used against SGST liability</t>
  </si>
  <si>
    <t xml:space="preserve">Remaining IGST credit used against CGST liability</t>
  </si>
  <si>
    <t xml:space="preserve">Remaining IGST credit used against SGST liability</t>
  </si>
  <si>
    <t xml:space="preserve">CGST credit used against CGST liability (after IGST credit)</t>
  </si>
  <si>
    <t xml:space="preserve">SGST credit used against SGST liability (after IGST credit)</t>
  </si>
  <si>
    <t xml:space="preserve">CGST credit balance used against IGST liability</t>
  </si>
  <si>
    <t xml:space="preserve">SGST credit balance used against IGST liability</t>
  </si>
  <si>
    <t xml:space="preserve">Net position</t>
  </si>
  <si>
    <t xml:space="preserve">Tax payable in cash (Table 6.1)</t>
  </si>
  <si>
    <t xml:space="preserve">ITC balance carried forward</t>
  </si>
  <si>
    <t xml:space="preserve">Check: output liability - ITC utilised - cash payable = 0</t>
  </si>
  <si>
    <t xml:space="preserve">Note: Output tax (blue) is typed from the Tally Sales Register / GSTR-1 (Sales Vch No. 1). Update it if you add more sales vouchers.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</si>
</sst>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;\(#,##0\);\-"/>
    <numFmt numFmtId="167" formatCode="dd\-mmm\-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8CBAD"/>
      </patternFill>
    </fill>
    <fill>
      <patternFill patternType="solid">
        <fgColor rgb="FFF8CBAD"/>
        <bgColor rgb="FFFFEB9C"/>
      </patternFill>
    </fill>
    <fill>
      <patternFill patternType="solid">
        <fgColor rgb="FFBDD7EE"/>
        <bgColor rgb="FFD9E2F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COUNTIF(ITC_Recon!$K$7:$K$11,$A5)</f>
        <v>2</v>
      </c>
      <c r="C5" s="6" t="n">
        <f aca="false">SUMIF(ITC_Recon!$K$7:$K$11,$A5,ITC_Recon!$E$7:$E$11)</f>
        <v>54000</v>
      </c>
      <c r="D5" s="6" t="n">
        <f aca="false">SUMIF(ITC_Recon!$K$7:$K$11,$A5,ITC_Recon!$H$7:$H$11)</f>
        <v>54000</v>
      </c>
      <c r="E5" s="6" t="n">
        <f aca="false">SUMIF(ITC_Recon!$K$7:$K$11,$A5,ITC_Recon!$L$7:$L$11)</f>
        <v>54000</v>
      </c>
      <c r="F5" s="6" t="n">
        <f aca="false">SUMIF(ITC_Recon!$K$7:$K$11,$A5,ITC_Recon!$M$7:$M$11)</f>
        <v>0</v>
      </c>
    </row>
    <row r="6" customFormat="false" ht="15" hidden="false" customHeight="false" outlineLevel="0" collapsed="false">
      <c r="A6" s="7" t="s">
        <v>9</v>
      </c>
      <c r="B6" s="5" t="n">
        <f aca="false">COUNTIF(ITC_Recon!$K$7:$K$11,$A6)</f>
        <v>0</v>
      </c>
      <c r="C6" s="6" t="n">
        <f aca="false">SUMIF(ITC_Recon!$K$7:$K$11,$A6,ITC_Recon!$E$7:$E$11)</f>
        <v>0</v>
      </c>
      <c r="D6" s="6" t="n">
        <f aca="false">SUMIF(ITC_Recon!$K$7:$K$11,$A6,ITC_Recon!$H$7:$H$11)</f>
        <v>0</v>
      </c>
      <c r="E6" s="6" t="n">
        <f aca="false">SUMIF(ITC_Recon!$K$7:$K$11,$A6,ITC_Recon!$L$7:$L$11)</f>
        <v>0</v>
      </c>
      <c r="F6" s="6" t="n">
        <f aca="false">SUMIF(ITC_Recon!$K$7:$K$11,$A6,ITC_Recon!$M$7:$M$11)</f>
        <v>0</v>
      </c>
    </row>
    <row r="7" customFormat="false" ht="15" hidden="false" customHeight="false" outlineLevel="0" collapsed="false">
      <c r="A7" s="8" t="s">
        <v>10</v>
      </c>
      <c r="B7" s="5" t="n">
        <f aca="false">COUNTIF(ITC_Recon!$K$7:$K$11,$A7)</f>
        <v>0</v>
      </c>
      <c r="C7" s="6" t="n">
        <f aca="false">SUMIF(ITC_Recon!$K$7:$K$11,$A7,ITC_Recon!$E$7:$E$11)</f>
        <v>0</v>
      </c>
      <c r="D7" s="6" t="n">
        <f aca="false">SUMIF(ITC_Recon!$K$7:$K$11,$A7,ITC_Recon!$H$7:$H$11)</f>
        <v>0</v>
      </c>
      <c r="E7" s="6" t="n">
        <f aca="false">SUMIF(ITC_Recon!$K$7:$K$11,$A7,ITC_Recon!$L$7:$L$11)</f>
        <v>0</v>
      </c>
      <c r="F7" s="6" t="n">
        <f aca="false">SUMIF(ITC_Recon!$K$7:$K$11,$A7,ITC_Recon!$M$7:$M$11)</f>
        <v>0</v>
      </c>
    </row>
    <row r="8" customFormat="false" ht="15" hidden="false" customHeight="false" outlineLevel="0" collapsed="false">
      <c r="A8" s="9" t="s">
        <v>11</v>
      </c>
      <c r="B8" s="5" t="n">
        <f aca="false">COUNTIF(ITC_Recon!$K$17:$K$21,$A8)</f>
        <v>0</v>
      </c>
      <c r="C8" s="6" t="n">
        <v>0</v>
      </c>
      <c r="D8" s="6" t="n">
        <f aca="false">SUMIF(ITC_Recon!$K$17:$K$21,$A8,ITC_Recon!$E$17:$E$21)</f>
        <v>0</v>
      </c>
      <c r="E8" s="6" t="n">
        <v>0</v>
      </c>
      <c r="F8" s="6" t="n">
        <f aca="false">SUMIF(ITC_Recon!$K$17:$K$21,$A8,ITC_Recon!$M$17:$M$21)</f>
        <v>0</v>
      </c>
    </row>
    <row r="9" customFormat="false" ht="15" hidden="false" customHeight="false" outlineLevel="0" collapsed="false">
      <c r="A9" s="10" t="s">
        <v>12</v>
      </c>
      <c r="B9" s="10" t="n">
        <f aca="false">SUM(B5:B8)</f>
        <v>2</v>
      </c>
      <c r="C9" s="11" t="n">
        <f aca="false">SUM(C5:C8)</f>
        <v>54000</v>
      </c>
      <c r="D9" s="11" t="n">
        <f aca="false">SUM(D5:D8)</f>
        <v>54000</v>
      </c>
      <c r="E9" s="11" t="n">
        <f aca="false">SUM(E5:E8)</f>
        <v>54000</v>
      </c>
      <c r="F9" s="11" t="n">
        <f aca="false">SUM(F5:F8)</f>
        <v>0</v>
      </c>
    </row>
    <row r="11" customFormat="false" ht="15" hidden="false" customHeight="false" outlineLevel="0" collapsed="false">
      <c r="A11" s="12" t="s">
        <v>13</v>
      </c>
    </row>
    <row r="12" customFormat="false" ht="15" hidden="false" customHeight="false" outlineLevel="0" collapsed="false">
      <c r="A12" s="13" t="s">
        <v>14</v>
      </c>
      <c r="B12" s="14" t="n">
        <f aca="false">Books_PR!J10</f>
        <v>54000</v>
      </c>
    </row>
    <row r="13" customFormat="false" ht="15" hidden="false" customHeight="false" outlineLevel="0" collapsed="false">
      <c r="A13" s="13" t="s">
        <v>15</v>
      </c>
      <c r="B13" s="14" t="n">
        <f aca="false">ITC_Recon!L12+ITC_Recon!M12</f>
        <v>54000</v>
      </c>
    </row>
    <row r="14" customFormat="false" ht="15" hidden="false" customHeight="false" outlineLevel="0" collapsed="false">
      <c r="A14" s="13" t="s">
        <v>16</v>
      </c>
      <c r="B14" s="14" t="n">
        <f aca="false">B12-B13</f>
        <v>0</v>
      </c>
    </row>
    <row r="15" customFormat="false" ht="15" hidden="false" customHeight="false" outlineLevel="0" collapsed="false">
      <c r="A15" s="13" t="s">
        <v>17</v>
      </c>
      <c r="B15" s="14" t="n">
        <f aca="false">COUNTA(Books_PR!E5:E9)-SUM(B5:B7)</f>
        <v>0</v>
      </c>
    </row>
    <row r="17" customFormat="false" ht="15" hidden="false" customHeight="false" outlineLevel="0" collapsed="false">
      <c r="A17" s="12" t="s">
        <v>18</v>
      </c>
    </row>
    <row r="18" customFormat="false" ht="15" hidden="false" customHeight="false" outlineLevel="0" collapsed="false">
      <c r="A18" s="13" t="s">
        <v>19</v>
      </c>
      <c r="B18" s="15" t="n">
        <f aca="false">GSTR3B_Working!E5</f>
        <v>54000</v>
      </c>
    </row>
    <row r="19" customFormat="false" ht="15" hidden="false" customHeight="false" outlineLevel="0" collapsed="false">
      <c r="A19" s="13" t="s">
        <v>20</v>
      </c>
      <c r="B19" s="15" t="n">
        <f aca="false">GSTR3B_Working!E6</f>
        <v>54000</v>
      </c>
    </row>
    <row r="20" customFormat="false" ht="15" hidden="false" customHeight="false" outlineLevel="0" collapsed="false">
      <c r="A20" s="13" t="s">
        <v>21</v>
      </c>
      <c r="B20" s="15" t="n">
        <f aca="false">GSTR3B_Working!E23</f>
        <v>0</v>
      </c>
    </row>
    <row r="21" customFormat="false" ht="15" hidden="false" customHeight="false" outlineLevel="0" collapsed="false">
      <c r="A21" s="13" t="s">
        <v>22</v>
      </c>
      <c r="B21" s="15" t="n">
        <f aca="false">GSTR3B_Working!E24</f>
        <v>0</v>
      </c>
    </row>
    <row r="23" customFormat="false" ht="15" hidden="false" customHeight="false" outlineLevel="0" collapsed="false">
      <c r="A23" s="12" t="s">
        <v>23</v>
      </c>
    </row>
    <row r="24" customFormat="false" ht="15" hidden="false" customHeight="false" outlineLevel="0" collapsed="false">
      <c r="A24" s="2" t="s">
        <v>24</v>
      </c>
    </row>
    <row r="25" customFormat="false" ht="15" hidden="false" customHeight="false" outlineLevel="0" collapsed="false">
      <c r="A25" s="2" t="s">
        <v>25</v>
      </c>
    </row>
    <row r="26" customFormat="false" ht="15" hidden="false" customHeight="false" outlineLevel="0" collapsed="false">
      <c r="A26" s="2" t="s">
        <v>26</v>
      </c>
    </row>
    <row r="27" customFormat="false" ht="15" hidden="false" customHeight="false" outlineLevel="0" collapsed="false">
      <c r="A27" s="2" t="s">
        <v>27</v>
      </c>
    </row>
    <row r="28" customFormat="false" ht="15" hidden="false" customHeight="false" outlineLevel="0" collapsed="false">
      <c r="A28" s="2" t="s">
        <v>28</v>
      </c>
    </row>
    <row r="29" customFormat="false" ht="15" hidden="false" customHeight="false" outlineLevel="0" collapsed="false">
      <c r="A29" s="2" t="s">
        <v>29</v>
      </c>
    </row>
    <row r="30" customFormat="false" ht="15" hidden="false" customHeight="false" outlineLevel="0" collapsed="false">
      <c r="A3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38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1.5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customFormat="false" ht="15" hidden="false" customHeight="false" outlineLevel="0" collapsed="false">
      <c r="A5" s="5" t="n">
        <v>1</v>
      </c>
      <c r="B5" s="16" t="n">
        <v>46113</v>
      </c>
      <c r="C5" s="17" t="s">
        <v>46</v>
      </c>
      <c r="D5" s="17" t="s">
        <v>47</v>
      </c>
      <c r="E5" s="17" t="s">
        <v>48</v>
      </c>
      <c r="F5" s="18" t="n">
        <v>100000</v>
      </c>
      <c r="G5" s="18" t="n">
        <v>9000</v>
      </c>
      <c r="H5" s="18" t="n">
        <v>9000</v>
      </c>
      <c r="I5" s="18" t="n">
        <v>0</v>
      </c>
      <c r="J5" s="6" t="n">
        <f aca="false">IF(E5="","",G5+H5+I5)</f>
        <v>18000</v>
      </c>
      <c r="K5" s="6" t="n">
        <f aca="false">IF(E5="","",F5+J5)</f>
        <v>118000</v>
      </c>
      <c r="L5" s="17" t="s">
        <v>49</v>
      </c>
      <c r="M5" s="5" t="str">
        <f aca="false">IF(E5="","",E5&amp;"|"&amp;C5)</f>
        <v>21AAACD4521M1Z0|DS/26-27/001</v>
      </c>
    </row>
    <row r="6" customFormat="false" ht="15" hidden="false" customHeight="false" outlineLevel="0" collapsed="false">
      <c r="A6" s="5" t="n">
        <v>2</v>
      </c>
      <c r="B6" s="16" t="n">
        <v>46113</v>
      </c>
      <c r="C6" s="17" t="s">
        <v>50</v>
      </c>
      <c r="D6" s="17" t="s">
        <v>51</v>
      </c>
      <c r="E6" s="17" t="s">
        <v>52</v>
      </c>
      <c r="F6" s="18" t="n">
        <v>200000</v>
      </c>
      <c r="G6" s="18" t="n">
        <v>0</v>
      </c>
      <c r="H6" s="18" t="n">
        <v>0</v>
      </c>
      <c r="I6" s="18" t="n">
        <v>36000</v>
      </c>
      <c r="J6" s="6" t="n">
        <f aca="false">IF(E6="","",G6+H6+I6)</f>
        <v>36000</v>
      </c>
      <c r="K6" s="6" t="n">
        <f aca="false">IF(E6="","",F6+J6)</f>
        <v>236000</v>
      </c>
      <c r="L6" s="17" t="s">
        <v>53</v>
      </c>
      <c r="M6" s="5" t="str">
        <f aca="false">IF(E6="","",E6&amp;"|"&amp;C6)</f>
        <v>19AAACG7789R1ZG|GTT/26-27/001</v>
      </c>
    </row>
    <row r="7" customFormat="false" ht="15" hidden="false" customHeight="false" outlineLevel="0" collapsed="false">
      <c r="A7" s="5" t="n">
        <v>3</v>
      </c>
      <c r="B7" s="19"/>
      <c r="C7" s="20"/>
      <c r="D7" s="20"/>
      <c r="E7" s="20"/>
      <c r="F7" s="21"/>
      <c r="G7" s="21"/>
      <c r="H7" s="21"/>
      <c r="I7" s="21"/>
      <c r="J7" s="6" t="str">
        <f aca="false">IF(E7="","",G7+H7+I7)</f>
        <v/>
      </c>
      <c r="K7" s="6" t="str">
        <f aca="false">IF(E7="","",F7+J7)</f>
        <v/>
      </c>
      <c r="L7" s="20"/>
      <c r="M7" s="5" t="str">
        <f aca="false">IF(E7="","",E7&amp;"|"&amp;C7)</f>
        <v/>
      </c>
    </row>
    <row r="8" customFormat="false" ht="15" hidden="false" customHeight="false" outlineLevel="0" collapsed="false">
      <c r="A8" s="5" t="n">
        <v>4</v>
      </c>
      <c r="B8" s="19"/>
      <c r="C8" s="20"/>
      <c r="D8" s="20"/>
      <c r="E8" s="20"/>
      <c r="F8" s="21"/>
      <c r="G8" s="21"/>
      <c r="H8" s="21"/>
      <c r="I8" s="21"/>
      <c r="J8" s="6" t="str">
        <f aca="false">IF(E8="","",G8+H8+I8)</f>
        <v/>
      </c>
      <c r="K8" s="6" t="str">
        <f aca="false">IF(E8="","",F8+J8)</f>
        <v/>
      </c>
      <c r="L8" s="20"/>
      <c r="M8" s="5" t="str">
        <f aca="false">IF(E8="","",E8&amp;"|"&amp;C8)</f>
        <v/>
      </c>
    </row>
    <row r="9" customFormat="false" ht="15" hidden="false" customHeight="false" outlineLevel="0" collapsed="false">
      <c r="A9" s="5" t="n">
        <v>5</v>
      </c>
      <c r="B9" s="19"/>
      <c r="C9" s="20"/>
      <c r="D9" s="20"/>
      <c r="E9" s="20"/>
      <c r="F9" s="21"/>
      <c r="G9" s="21"/>
      <c r="H9" s="21"/>
      <c r="I9" s="21"/>
      <c r="J9" s="6" t="str">
        <f aca="false">IF(E9="","",G9+H9+I9)</f>
        <v/>
      </c>
      <c r="K9" s="6" t="str">
        <f aca="false">IF(E9="","",F9+J9)</f>
        <v/>
      </c>
      <c r="L9" s="20"/>
      <c r="M9" s="5" t="str">
        <f aca="false">IF(E9="","",E9&amp;"|"&amp;C9)</f>
        <v/>
      </c>
    </row>
    <row r="10" customFormat="false" ht="15" hidden="false" customHeight="false" outlineLevel="0" collapsed="false">
      <c r="A10" s="22"/>
      <c r="B10" s="22"/>
      <c r="C10" s="22"/>
      <c r="D10" s="10" t="s">
        <v>12</v>
      </c>
      <c r="E10" s="22"/>
      <c r="F10" s="11" t="n">
        <f aca="false">SUM(F5:F9)</f>
        <v>300000</v>
      </c>
      <c r="G10" s="11" t="n">
        <f aca="false">SUM(G5:G9)</f>
        <v>9000</v>
      </c>
      <c r="H10" s="11" t="n">
        <f aca="false">SUM(H5:H9)</f>
        <v>9000</v>
      </c>
      <c r="I10" s="11" t="n">
        <f aca="false">SUM(I5:I9)</f>
        <v>36000</v>
      </c>
      <c r="J10" s="11" t="n">
        <f aca="false">SUM(J5:J9)</f>
        <v>54000</v>
      </c>
      <c r="K10" s="11" t="n">
        <f aca="false">SUM(K5:K9)</f>
        <v>354000</v>
      </c>
      <c r="L10" s="22"/>
      <c r="M10" s="22"/>
    </row>
    <row r="12" customFormat="false" ht="15" hidden="false" customHeight="false" outlineLevel="0" collapsed="false">
      <c r="A12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38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31.5" hidden="false" customHeight="tru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customFormat="false" ht="15" hidden="false" customHeight="false" outlineLevel="0" collapsed="false">
      <c r="A5" s="5" t="n">
        <v>1</v>
      </c>
      <c r="B5" s="16" t="n">
        <v>46113</v>
      </c>
      <c r="C5" s="17" t="s">
        <v>46</v>
      </c>
      <c r="D5" s="17" t="s">
        <v>47</v>
      </c>
      <c r="E5" s="17" t="s">
        <v>48</v>
      </c>
      <c r="F5" s="18" t="n">
        <v>100000</v>
      </c>
      <c r="G5" s="18" t="n">
        <v>9000</v>
      </c>
      <c r="H5" s="18" t="n">
        <v>9000</v>
      </c>
      <c r="I5" s="18" t="n">
        <v>0</v>
      </c>
      <c r="J5" s="6" t="n">
        <f aca="false">IF(E5="","",G5+H5+I5)</f>
        <v>18000</v>
      </c>
      <c r="K5" s="6" t="n">
        <f aca="false">IF(E5="","",F5+J5)</f>
        <v>118000</v>
      </c>
      <c r="L5" s="17" t="s">
        <v>57</v>
      </c>
      <c r="M5" s="5" t="str">
        <f aca="false">IF(E5="","",E5&amp;"|"&amp;C5)</f>
        <v>21AAACD4521M1Z0|DS/26-27/001</v>
      </c>
    </row>
    <row r="6" customFormat="false" ht="15" hidden="false" customHeight="false" outlineLevel="0" collapsed="false">
      <c r="A6" s="5" t="n">
        <v>2</v>
      </c>
      <c r="B6" s="16" t="n">
        <v>46113</v>
      </c>
      <c r="C6" s="17" t="s">
        <v>50</v>
      </c>
      <c r="D6" s="17" t="s">
        <v>51</v>
      </c>
      <c r="E6" s="17" t="s">
        <v>52</v>
      </c>
      <c r="F6" s="18" t="n">
        <v>200000</v>
      </c>
      <c r="G6" s="18" t="n">
        <v>0</v>
      </c>
      <c r="H6" s="18" t="n">
        <v>0</v>
      </c>
      <c r="I6" s="18" t="n">
        <v>36000</v>
      </c>
      <c r="J6" s="6" t="n">
        <f aca="false">IF(E6="","",G6+H6+I6)</f>
        <v>36000</v>
      </c>
      <c r="K6" s="6" t="n">
        <f aca="false">IF(E6="","",F6+J6)</f>
        <v>236000</v>
      </c>
      <c r="L6" s="17" t="s">
        <v>57</v>
      </c>
      <c r="M6" s="5" t="str">
        <f aca="false">IF(E6="","",E6&amp;"|"&amp;C6)</f>
        <v>19AAACG7789R1ZG|GTT/26-27/001</v>
      </c>
    </row>
    <row r="7" customFormat="false" ht="15" hidden="false" customHeight="false" outlineLevel="0" collapsed="false">
      <c r="A7" s="5" t="n">
        <v>3</v>
      </c>
      <c r="B7" s="19"/>
      <c r="C7" s="20"/>
      <c r="D7" s="20"/>
      <c r="E7" s="20"/>
      <c r="F7" s="21"/>
      <c r="G7" s="21"/>
      <c r="H7" s="21"/>
      <c r="I7" s="21"/>
      <c r="J7" s="6" t="str">
        <f aca="false">IF(E7="","",G7+H7+I7)</f>
        <v/>
      </c>
      <c r="K7" s="6" t="str">
        <f aca="false">IF(E7="","",F7+J7)</f>
        <v/>
      </c>
      <c r="L7" s="20"/>
      <c r="M7" s="5" t="str">
        <f aca="false">IF(E7="","",E7&amp;"|"&amp;C7)</f>
        <v/>
      </c>
    </row>
    <row r="8" customFormat="false" ht="15" hidden="false" customHeight="false" outlineLevel="0" collapsed="false">
      <c r="A8" s="5" t="n">
        <v>4</v>
      </c>
      <c r="B8" s="19"/>
      <c r="C8" s="20"/>
      <c r="D8" s="20"/>
      <c r="E8" s="20"/>
      <c r="F8" s="21"/>
      <c r="G8" s="21"/>
      <c r="H8" s="21"/>
      <c r="I8" s="21"/>
      <c r="J8" s="6" t="str">
        <f aca="false">IF(E8="","",G8+H8+I8)</f>
        <v/>
      </c>
      <c r="K8" s="6" t="str">
        <f aca="false">IF(E8="","",F8+J8)</f>
        <v/>
      </c>
      <c r="L8" s="20"/>
      <c r="M8" s="5" t="str">
        <f aca="false">IF(E8="","",E8&amp;"|"&amp;C8)</f>
        <v/>
      </c>
    </row>
    <row r="9" customFormat="false" ht="15" hidden="false" customHeight="false" outlineLevel="0" collapsed="false">
      <c r="A9" s="5" t="n">
        <v>5</v>
      </c>
      <c r="B9" s="19"/>
      <c r="C9" s="20"/>
      <c r="D9" s="20"/>
      <c r="E9" s="20"/>
      <c r="F9" s="21"/>
      <c r="G9" s="21"/>
      <c r="H9" s="21"/>
      <c r="I9" s="21"/>
      <c r="J9" s="6" t="str">
        <f aca="false">IF(E9="","",G9+H9+I9)</f>
        <v/>
      </c>
      <c r="K9" s="6" t="str">
        <f aca="false">IF(E9="","",F9+J9)</f>
        <v/>
      </c>
      <c r="L9" s="20"/>
      <c r="M9" s="5" t="str">
        <f aca="false">IF(E9="","",E9&amp;"|"&amp;C9)</f>
        <v/>
      </c>
    </row>
    <row r="10" customFormat="false" ht="15" hidden="false" customHeight="false" outlineLevel="0" collapsed="false">
      <c r="A10" s="22"/>
      <c r="B10" s="22"/>
      <c r="C10" s="22"/>
      <c r="D10" s="10" t="s">
        <v>12</v>
      </c>
      <c r="E10" s="22"/>
      <c r="F10" s="11" t="n">
        <f aca="false">SUM(F5:F9)</f>
        <v>300000</v>
      </c>
      <c r="G10" s="11" t="n">
        <f aca="false">SUM(G5:G9)</f>
        <v>9000</v>
      </c>
      <c r="H10" s="11" t="n">
        <f aca="false">SUM(H5:H9)</f>
        <v>9000</v>
      </c>
      <c r="I10" s="11" t="n">
        <f aca="false">SUM(I5:I9)</f>
        <v>36000</v>
      </c>
      <c r="J10" s="11" t="n">
        <f aca="false">SUM(J5:J9)</f>
        <v>54000</v>
      </c>
      <c r="K10" s="11" t="n">
        <f aca="false">SUM(K5:K9)</f>
        <v>354000</v>
      </c>
      <c r="L10" s="22"/>
      <c r="M10" s="22"/>
    </row>
    <row r="12" customFormat="false" ht="15" hidden="false" customHeight="false" outlineLevel="0" collapsed="false">
      <c r="A12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50"/>
    <col collapsed="false" customWidth="true" hidden="false" outlineLevel="0" max="17" min="15" style="0" width="12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3" customFormat="false" ht="15" hidden="false" customHeight="false" outlineLevel="0" collapsed="false">
      <c r="A3" s="12" t="s">
        <v>60</v>
      </c>
      <c r="C3" s="23" t="n">
        <v>1</v>
      </c>
      <c r="D3" s="2" t="s">
        <v>61</v>
      </c>
    </row>
    <row r="5" customFormat="false" ht="15" hidden="false" customHeight="false" outlineLevel="0" collapsed="false">
      <c r="A5" s="12" t="s">
        <v>62</v>
      </c>
    </row>
    <row r="6" customFormat="false" ht="31.5" hidden="false" customHeight="true" outlineLevel="0" collapsed="false">
      <c r="A6" s="3" t="s">
        <v>33</v>
      </c>
      <c r="B6" s="3" t="s">
        <v>35</v>
      </c>
      <c r="C6" s="3" t="s">
        <v>36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2</v>
      </c>
      <c r="L6" s="3" t="s">
        <v>70</v>
      </c>
      <c r="M6" s="3" t="s">
        <v>71</v>
      </c>
      <c r="N6" s="3" t="s">
        <v>72</v>
      </c>
      <c r="O6" s="3" t="s">
        <v>73</v>
      </c>
      <c r="P6" s="3" t="s">
        <v>74</v>
      </c>
      <c r="Q6" s="3" t="s">
        <v>75</v>
      </c>
    </row>
    <row r="7" customFormat="false" ht="15" hidden="false" customHeight="false" outlineLevel="0" collapsed="false">
      <c r="A7" s="5" t="n">
        <f aca="false">IF(Books_PR!E5="","",ROW()-6)</f>
        <v>1</v>
      </c>
      <c r="B7" s="24" t="str">
        <f aca="false">IF($A7="","",Books_PR!C5)</f>
        <v>DS/26-27/001</v>
      </c>
      <c r="C7" s="24" t="str">
        <f aca="false">IF($A7="","",Books_PR!D5)</f>
        <v>Delta Systems Pvt Ltd</v>
      </c>
      <c r="D7" s="25" t="n">
        <f aca="false">IF($A7="","",Books_PR!F5)</f>
        <v>100000</v>
      </c>
      <c r="E7" s="25" t="n">
        <f aca="false">IF($A7="","",Books_PR!J5)</f>
        <v>18000</v>
      </c>
      <c r="F7" s="5" t="str">
        <f aca="false">IF($A7="","",IF(ISNUMBER(MATCH(Books_PR!M5,GSTR2B!$M$5:$M$9,0)),"Yes","No"))</f>
        <v>Yes</v>
      </c>
      <c r="G7" s="25" t="n">
        <f aca="false">IF($A7="","",IF(F7="Yes",INDEX(GSTR2B!$F$5:$F$9,MATCH(Books_PR!M5,GSTR2B!$M$5:$M$9,0)),0))</f>
        <v>100000</v>
      </c>
      <c r="H7" s="25" t="n">
        <f aca="false">IF($A7="","",IF(F7="Yes",INDEX(GSTR2B!$J$5:$J$9,MATCH(Books_PR!M5,GSTR2B!$M$5:$M$9,0)),0))</f>
        <v>18000</v>
      </c>
      <c r="I7" s="6" t="n">
        <f aca="false">IF($A7="","",D7-G7)</f>
        <v>0</v>
      </c>
      <c r="J7" s="6" t="n">
        <f aca="false">IF($A7="","",E7-H7)</f>
        <v>0</v>
      </c>
      <c r="K7" s="26" t="str">
        <f aca="false">IF($A7="","",IF(F7="No","In Books, Missing in 2B",IF(AND(ABS(I7)&lt;=$C$3,ABS(J7)&lt;=$C$3),"Fully Matched","Tax Mismatch")))</f>
        <v>Fully Matched</v>
      </c>
      <c r="L7" s="6" t="n">
        <f aca="false">IF($A7="","",IF(K7="Fully Matched",E7,IF(K7="Tax Mismatch",MIN(E7,H7),0)))</f>
        <v>18000</v>
      </c>
      <c r="M7" s="6" t="n">
        <f aca="false">IF($A7="","",E7-L7)</f>
        <v>0</v>
      </c>
      <c r="N7" s="5" t="str">
        <f aca="false">IF($A7="","",IF(K7="Fully Matched","Claim ITC",IF(K7="Tax Mismatch","Claim lower of Books and 2B; ask vendor to amend GSTR-1","Hold ITC until vendor files GSTR-1")))</f>
        <v>Claim ITC</v>
      </c>
      <c r="O7" s="6" t="n">
        <f aca="false">IF($A7="","",IF($E7=0,0,Books_PR!G5*$L7/$E7))</f>
        <v>9000</v>
      </c>
      <c r="P7" s="6" t="n">
        <f aca="false">IF($A7="","",IF($E7=0,0,Books_PR!H5*$L7/$E7))</f>
        <v>9000</v>
      </c>
      <c r="Q7" s="6" t="n">
        <f aca="false">IF($A7="","",IF($E7=0,0,Books_PR!I5*$L7/$E7))</f>
        <v>0</v>
      </c>
    </row>
    <row r="8" customFormat="false" ht="15" hidden="false" customHeight="false" outlineLevel="0" collapsed="false">
      <c r="A8" s="5" t="n">
        <f aca="false">IF(Books_PR!E6="","",ROW()-6)</f>
        <v>2</v>
      </c>
      <c r="B8" s="24" t="str">
        <f aca="false">IF($A8="","",Books_PR!C6)</f>
        <v>GTT/26-27/001</v>
      </c>
      <c r="C8" s="24" t="str">
        <f aca="false">IF($A8="","",Books_PR!D6)</f>
        <v>Global Tech Traders</v>
      </c>
      <c r="D8" s="25" t="n">
        <f aca="false">IF($A8="","",Books_PR!F6)</f>
        <v>200000</v>
      </c>
      <c r="E8" s="25" t="n">
        <f aca="false">IF($A8="","",Books_PR!J6)</f>
        <v>36000</v>
      </c>
      <c r="F8" s="5" t="str">
        <f aca="false">IF($A8="","",IF(ISNUMBER(MATCH(Books_PR!M6,GSTR2B!$M$5:$M$9,0)),"Yes","No"))</f>
        <v>Yes</v>
      </c>
      <c r="G8" s="25" t="n">
        <f aca="false">IF($A8="","",IF(F8="Yes",INDEX(GSTR2B!$F$5:$F$9,MATCH(Books_PR!M6,GSTR2B!$M$5:$M$9,0)),0))</f>
        <v>200000</v>
      </c>
      <c r="H8" s="25" t="n">
        <f aca="false">IF($A8="","",IF(F8="Yes",INDEX(GSTR2B!$J$5:$J$9,MATCH(Books_PR!M6,GSTR2B!$M$5:$M$9,0)),0))</f>
        <v>36000</v>
      </c>
      <c r="I8" s="6" t="n">
        <f aca="false">IF($A8="","",D8-G8)</f>
        <v>0</v>
      </c>
      <c r="J8" s="6" t="n">
        <f aca="false">IF($A8="","",E8-H8)</f>
        <v>0</v>
      </c>
      <c r="K8" s="26" t="str">
        <f aca="false">IF($A8="","",IF(F8="No","In Books, Missing in 2B",IF(AND(ABS(I8)&lt;=$C$3,ABS(J8)&lt;=$C$3),"Fully Matched","Tax Mismatch")))</f>
        <v>Fully Matched</v>
      </c>
      <c r="L8" s="6" t="n">
        <f aca="false">IF($A8="","",IF(K8="Fully Matched",E8,IF(K8="Tax Mismatch",MIN(E8,H8),0)))</f>
        <v>36000</v>
      </c>
      <c r="M8" s="6" t="n">
        <f aca="false">IF($A8="","",E8-L8)</f>
        <v>0</v>
      </c>
      <c r="N8" s="5" t="str">
        <f aca="false">IF($A8="","",IF(K8="Fully Matched","Claim ITC",IF(K8="Tax Mismatch","Claim lower of Books and 2B; ask vendor to amend GSTR-1","Hold ITC until vendor files GSTR-1")))</f>
        <v>Claim ITC</v>
      </c>
      <c r="O8" s="6" t="n">
        <f aca="false">IF($A8="","",IF($E8=0,0,Books_PR!G6*$L8/$E8))</f>
        <v>0</v>
      </c>
      <c r="P8" s="6" t="n">
        <f aca="false">IF($A8="","",IF($E8=0,0,Books_PR!H6*$L8/$E8))</f>
        <v>0</v>
      </c>
      <c r="Q8" s="6" t="n">
        <f aca="false">IF($A8="","",IF($E8=0,0,Books_PR!I6*$L8/$E8))</f>
        <v>36000</v>
      </c>
    </row>
    <row r="9" customFormat="false" ht="15" hidden="false" customHeight="false" outlineLevel="0" collapsed="false">
      <c r="A9" s="5" t="str">
        <f aca="false">IF(Books_PR!E7="","",ROW()-6)</f>
        <v/>
      </c>
      <c r="B9" s="24" t="str">
        <f aca="false">IF($A9="","",Books_PR!C7)</f>
        <v/>
      </c>
      <c r="C9" s="24" t="str">
        <f aca="false">IF($A9="","",Books_PR!D7)</f>
        <v/>
      </c>
      <c r="D9" s="25" t="str">
        <f aca="false">IF($A9="","",Books_PR!F7)</f>
        <v/>
      </c>
      <c r="E9" s="25" t="str">
        <f aca="false">IF($A9="","",Books_PR!J7)</f>
        <v/>
      </c>
      <c r="F9" s="5" t="str">
        <f aca="false">IF($A9="","",IF(ISNUMBER(MATCH(Books_PR!M7,GSTR2B!$M$5:$M$9,0)),"Yes","No"))</f>
        <v/>
      </c>
      <c r="G9" s="25" t="str">
        <f aca="false">IF($A9="","",IF(F9="Yes",INDEX(GSTR2B!$F$5:$F$9,MATCH(Books_PR!M7,GSTR2B!$M$5:$M$9,0)),0))</f>
        <v/>
      </c>
      <c r="H9" s="25" t="str">
        <f aca="false">IF($A9="","",IF(F9="Yes",INDEX(GSTR2B!$J$5:$J$9,MATCH(Books_PR!M7,GSTR2B!$M$5:$M$9,0)),0))</f>
        <v/>
      </c>
      <c r="I9" s="6" t="str">
        <f aca="false">IF($A9="","",D9-G9)</f>
        <v/>
      </c>
      <c r="J9" s="6" t="str">
        <f aca="false">IF($A9="","",E9-H9)</f>
        <v/>
      </c>
      <c r="K9" s="26" t="str">
        <f aca="false">IF($A9="","",IF(F9="No","In Books, Missing in 2B",IF(AND(ABS(I9)&lt;=$C$3,ABS(J9)&lt;=$C$3),"Fully Matched","Tax Mismatch")))</f>
        <v/>
      </c>
      <c r="L9" s="6" t="str">
        <f aca="false">IF($A9="","",IF(K9="Fully Matched",E9,IF(K9="Tax Mismatch",MIN(E9,H9),0)))</f>
        <v/>
      </c>
      <c r="M9" s="6" t="str">
        <f aca="false">IF($A9="","",E9-L9)</f>
        <v/>
      </c>
      <c r="N9" s="5" t="str">
        <f aca="false">IF($A9="","",IF(K9="Fully Matched","Claim ITC",IF(K9="Tax Mismatch","Claim lower of Books and 2B; ask vendor to amend GSTR-1","Hold ITC until vendor files GSTR-1")))</f>
        <v/>
      </c>
      <c r="O9" s="6" t="str">
        <f aca="false">IF($A9="","",IF($E9=0,0,Books_PR!G7*$L9/$E9))</f>
        <v/>
      </c>
      <c r="P9" s="6" t="str">
        <f aca="false">IF($A9="","",IF($E9=0,0,Books_PR!H7*$L9/$E9))</f>
        <v/>
      </c>
      <c r="Q9" s="6" t="str">
        <f aca="false">IF($A9="","",IF($E9=0,0,Books_PR!I7*$L9/$E9))</f>
        <v/>
      </c>
    </row>
    <row r="10" customFormat="false" ht="15" hidden="false" customHeight="false" outlineLevel="0" collapsed="false">
      <c r="A10" s="5" t="str">
        <f aca="false">IF(Books_PR!E8="","",ROW()-6)</f>
        <v/>
      </c>
      <c r="B10" s="24" t="str">
        <f aca="false">IF($A10="","",Books_PR!C8)</f>
        <v/>
      </c>
      <c r="C10" s="24" t="str">
        <f aca="false">IF($A10="","",Books_PR!D8)</f>
        <v/>
      </c>
      <c r="D10" s="25" t="str">
        <f aca="false">IF($A10="","",Books_PR!F8)</f>
        <v/>
      </c>
      <c r="E10" s="25" t="str">
        <f aca="false">IF($A10="","",Books_PR!J8)</f>
        <v/>
      </c>
      <c r="F10" s="5" t="str">
        <f aca="false">IF($A10="","",IF(ISNUMBER(MATCH(Books_PR!M8,GSTR2B!$M$5:$M$9,0)),"Yes","No"))</f>
        <v/>
      </c>
      <c r="G10" s="25" t="str">
        <f aca="false">IF($A10="","",IF(F10="Yes",INDEX(GSTR2B!$F$5:$F$9,MATCH(Books_PR!M8,GSTR2B!$M$5:$M$9,0)),0))</f>
        <v/>
      </c>
      <c r="H10" s="25" t="str">
        <f aca="false">IF($A10="","",IF(F10="Yes",INDEX(GSTR2B!$J$5:$J$9,MATCH(Books_PR!M8,GSTR2B!$M$5:$M$9,0)),0))</f>
        <v/>
      </c>
      <c r="I10" s="6" t="str">
        <f aca="false">IF($A10="","",D10-G10)</f>
        <v/>
      </c>
      <c r="J10" s="6" t="str">
        <f aca="false">IF($A10="","",E10-H10)</f>
        <v/>
      </c>
      <c r="K10" s="26" t="str">
        <f aca="false">IF($A10="","",IF(F10="No","In Books, Missing in 2B",IF(AND(ABS(I10)&lt;=$C$3,ABS(J10)&lt;=$C$3),"Fully Matched","Tax Mismatch")))</f>
        <v/>
      </c>
      <c r="L10" s="6" t="str">
        <f aca="false">IF($A10="","",IF(K10="Fully Matched",E10,IF(K10="Tax Mismatch",MIN(E10,H10),0)))</f>
        <v/>
      </c>
      <c r="M10" s="6" t="str">
        <f aca="false">IF($A10="","",E10-L10)</f>
        <v/>
      </c>
      <c r="N10" s="5" t="str">
        <f aca="false">IF($A10="","",IF(K10="Fully Matched","Claim ITC",IF(K10="Tax Mismatch","Claim lower of Books and 2B; ask vendor to amend GSTR-1","Hold ITC until vendor files GSTR-1")))</f>
        <v/>
      </c>
      <c r="O10" s="6" t="str">
        <f aca="false">IF($A10="","",IF($E10=0,0,Books_PR!G8*$L10/$E10))</f>
        <v/>
      </c>
      <c r="P10" s="6" t="str">
        <f aca="false">IF($A10="","",IF($E10=0,0,Books_PR!H8*$L10/$E10))</f>
        <v/>
      </c>
      <c r="Q10" s="6" t="str">
        <f aca="false">IF($A10="","",IF($E10=0,0,Books_PR!I8*$L10/$E10))</f>
        <v/>
      </c>
    </row>
    <row r="11" customFormat="false" ht="15" hidden="false" customHeight="false" outlineLevel="0" collapsed="false">
      <c r="A11" s="5" t="str">
        <f aca="false">IF(Books_PR!E9="","",ROW()-6)</f>
        <v/>
      </c>
      <c r="B11" s="24" t="str">
        <f aca="false">IF($A11="","",Books_PR!C9)</f>
        <v/>
      </c>
      <c r="C11" s="24" t="str">
        <f aca="false">IF($A11="","",Books_PR!D9)</f>
        <v/>
      </c>
      <c r="D11" s="25" t="str">
        <f aca="false">IF($A11="","",Books_PR!F9)</f>
        <v/>
      </c>
      <c r="E11" s="25" t="str">
        <f aca="false">IF($A11="","",Books_PR!J9)</f>
        <v/>
      </c>
      <c r="F11" s="5" t="str">
        <f aca="false">IF($A11="","",IF(ISNUMBER(MATCH(Books_PR!M9,GSTR2B!$M$5:$M$9,0)),"Yes","No"))</f>
        <v/>
      </c>
      <c r="G11" s="25" t="str">
        <f aca="false">IF($A11="","",IF(F11="Yes",INDEX(GSTR2B!$F$5:$F$9,MATCH(Books_PR!M9,GSTR2B!$M$5:$M$9,0)),0))</f>
        <v/>
      </c>
      <c r="H11" s="25" t="str">
        <f aca="false">IF($A11="","",IF(F11="Yes",INDEX(GSTR2B!$J$5:$J$9,MATCH(Books_PR!M9,GSTR2B!$M$5:$M$9,0)),0))</f>
        <v/>
      </c>
      <c r="I11" s="6" t="str">
        <f aca="false">IF($A11="","",D11-G11)</f>
        <v/>
      </c>
      <c r="J11" s="6" t="str">
        <f aca="false">IF($A11="","",E11-H11)</f>
        <v/>
      </c>
      <c r="K11" s="26" t="str">
        <f aca="false">IF($A11="","",IF(F11="No","In Books, Missing in 2B",IF(AND(ABS(I11)&lt;=$C$3,ABS(J11)&lt;=$C$3),"Fully Matched","Tax Mismatch")))</f>
        <v/>
      </c>
      <c r="L11" s="6" t="str">
        <f aca="false">IF($A11="","",IF(K11="Fully Matched",E11,IF(K11="Tax Mismatch",MIN(E11,H11),0)))</f>
        <v/>
      </c>
      <c r="M11" s="6" t="str">
        <f aca="false">IF($A11="","",E11-L11)</f>
        <v/>
      </c>
      <c r="N11" s="5" t="str">
        <f aca="false">IF($A11="","",IF(K11="Fully Matched","Claim ITC",IF(K11="Tax Mismatch","Claim lower of Books and 2B; ask vendor to amend GSTR-1","Hold ITC until vendor files GSTR-1")))</f>
        <v/>
      </c>
      <c r="O11" s="6" t="str">
        <f aca="false">IF($A11="","",IF($E11=0,0,Books_PR!G9*$L11/$E11))</f>
        <v/>
      </c>
      <c r="P11" s="6" t="str">
        <f aca="false">IF($A11="","",IF($E11=0,0,Books_PR!H9*$L11/$E11))</f>
        <v/>
      </c>
      <c r="Q11" s="6" t="str">
        <f aca="false">IF($A11="","",IF($E11=0,0,Books_PR!I9*$L11/$E11))</f>
        <v/>
      </c>
    </row>
    <row r="12" customFormat="false" ht="15" hidden="false" customHeight="false" outlineLevel="0" collapsed="false">
      <c r="A12" s="22"/>
      <c r="B12" s="22"/>
      <c r="C12" s="10" t="s">
        <v>12</v>
      </c>
      <c r="D12" s="11" t="n">
        <f aca="false">SUM(D7:D11)</f>
        <v>300000</v>
      </c>
      <c r="E12" s="11" t="n">
        <f aca="false">SUM(E7:E11)</f>
        <v>54000</v>
      </c>
      <c r="F12" s="22"/>
      <c r="G12" s="11" t="n">
        <f aca="false">SUM(G7:G11)</f>
        <v>300000</v>
      </c>
      <c r="H12" s="11" t="n">
        <f aca="false">SUM(H7:H11)</f>
        <v>54000</v>
      </c>
      <c r="I12" s="11" t="n">
        <f aca="false">SUM(I7:I11)</f>
        <v>0</v>
      </c>
      <c r="J12" s="11" t="n">
        <f aca="false">SUM(J7:J11)</f>
        <v>0</v>
      </c>
      <c r="K12" s="22"/>
      <c r="L12" s="11" t="n">
        <f aca="false">SUM(L7:L11)</f>
        <v>54000</v>
      </c>
      <c r="M12" s="11" t="n">
        <f aca="false">SUM(M7:M11)</f>
        <v>0</v>
      </c>
      <c r="N12" s="22"/>
      <c r="O12" s="11" t="n">
        <f aca="false">SUM(O7:O11)</f>
        <v>9000</v>
      </c>
      <c r="P12" s="11" t="n">
        <f aca="false">SUM(P7:P11)</f>
        <v>9000</v>
      </c>
      <c r="Q12" s="11" t="n">
        <f aca="false">SUM(Q7:Q11)</f>
        <v>36000</v>
      </c>
    </row>
    <row r="15" customFormat="false" ht="15" hidden="false" customHeight="false" outlineLevel="0" collapsed="false">
      <c r="A15" s="12" t="s">
        <v>76</v>
      </c>
    </row>
    <row r="16" customFormat="false" ht="31.5" hidden="false" customHeight="true" outlineLevel="0" collapsed="false">
      <c r="A16" s="3" t="s">
        <v>33</v>
      </c>
      <c r="B16" s="3" t="s">
        <v>35</v>
      </c>
      <c r="C16" s="3" t="s">
        <v>36</v>
      </c>
      <c r="D16" s="3" t="s">
        <v>66</v>
      </c>
      <c r="E16" s="3" t="s">
        <v>67</v>
      </c>
      <c r="F16" s="3" t="s">
        <v>77</v>
      </c>
      <c r="G16" s="3"/>
      <c r="H16" s="3"/>
      <c r="I16" s="3"/>
      <c r="J16" s="3"/>
      <c r="K16" s="3" t="s">
        <v>2</v>
      </c>
      <c r="L16" s="3" t="s">
        <v>70</v>
      </c>
      <c r="M16" s="3" t="s">
        <v>78</v>
      </c>
      <c r="N16" s="3" t="s">
        <v>72</v>
      </c>
    </row>
    <row r="17" customFormat="false" ht="15" hidden="false" customHeight="false" outlineLevel="0" collapsed="false">
      <c r="A17" s="5" t="n">
        <f aca="false">IF(GSTR2B!E5="","",ROW()-16)</f>
        <v>1</v>
      </c>
      <c r="B17" s="24" t="str">
        <f aca="false">IF($A17="","",GSTR2B!C5)</f>
        <v>DS/26-27/001</v>
      </c>
      <c r="C17" s="24" t="str">
        <f aca="false">IF($A17="","",GSTR2B!D5)</f>
        <v>Delta Systems Pvt Ltd</v>
      </c>
      <c r="D17" s="25" t="n">
        <f aca="false">IF($A17="","",GSTR2B!F5)</f>
        <v>100000</v>
      </c>
      <c r="E17" s="25" t="n">
        <f aca="false">IF($A17="","",GSTR2B!J5)</f>
        <v>18000</v>
      </c>
      <c r="F17" s="5" t="str">
        <f aca="false">IF($A17="","",IF(ISNUMBER(MATCH(GSTR2B!M5,Books_PR!$M$5:$M$9,0)),"Yes","No"))</f>
        <v>Yes</v>
      </c>
      <c r="G17" s="5"/>
      <c r="H17" s="5"/>
      <c r="I17" s="5"/>
      <c r="J17" s="5"/>
      <c r="K17" s="26" t="str">
        <f aca="false">IF($A17="","",IF(F17="No","In 2B, Missing in Books","Matched (see Section A)"))</f>
        <v>Matched (see Section A)</v>
      </c>
      <c r="L17" s="6" t="n">
        <f aca="false">IF($A17="","",0)</f>
        <v>0</v>
      </c>
      <c r="M17" s="6" t="n">
        <f aca="false">IF($A17="","",IF(F17="No",E17,0))</f>
        <v>0</v>
      </c>
      <c r="N17" s="5" t="str">
        <f aca="false">IF($A17="","",IF(F17="No","Check if invoice was missed in accounting; book it, then claim ITC",""))</f>
        <v/>
      </c>
    </row>
    <row r="18" customFormat="false" ht="15" hidden="false" customHeight="false" outlineLevel="0" collapsed="false">
      <c r="A18" s="5" t="n">
        <f aca="false">IF(GSTR2B!E6="","",ROW()-16)</f>
        <v>2</v>
      </c>
      <c r="B18" s="24" t="str">
        <f aca="false">IF($A18="","",GSTR2B!C6)</f>
        <v>GTT/26-27/001</v>
      </c>
      <c r="C18" s="24" t="str">
        <f aca="false">IF($A18="","",GSTR2B!D6)</f>
        <v>Global Tech Traders</v>
      </c>
      <c r="D18" s="25" t="n">
        <f aca="false">IF($A18="","",GSTR2B!F6)</f>
        <v>200000</v>
      </c>
      <c r="E18" s="25" t="n">
        <f aca="false">IF($A18="","",GSTR2B!J6)</f>
        <v>36000</v>
      </c>
      <c r="F18" s="5" t="str">
        <f aca="false">IF($A18="","",IF(ISNUMBER(MATCH(GSTR2B!M6,Books_PR!$M$5:$M$9,0)),"Yes","No"))</f>
        <v>Yes</v>
      </c>
      <c r="G18" s="5"/>
      <c r="H18" s="5"/>
      <c r="I18" s="5"/>
      <c r="J18" s="5"/>
      <c r="K18" s="26" t="str">
        <f aca="false">IF($A18="","",IF(F18="No","In 2B, Missing in Books","Matched (see Section A)"))</f>
        <v>Matched (see Section A)</v>
      </c>
      <c r="L18" s="6" t="n">
        <f aca="false">IF($A18="","",0)</f>
        <v>0</v>
      </c>
      <c r="M18" s="6" t="n">
        <f aca="false">IF($A18="","",IF(F18="No",E18,0))</f>
        <v>0</v>
      </c>
      <c r="N18" s="5" t="str">
        <f aca="false">IF($A18="","",IF(F18="No","Check if invoice was missed in accounting; book it, then claim ITC",""))</f>
        <v/>
      </c>
    </row>
    <row r="19" customFormat="false" ht="15" hidden="false" customHeight="false" outlineLevel="0" collapsed="false">
      <c r="A19" s="5" t="str">
        <f aca="false">IF(GSTR2B!E7="","",ROW()-16)</f>
        <v/>
      </c>
      <c r="B19" s="24" t="str">
        <f aca="false">IF($A19="","",GSTR2B!C7)</f>
        <v/>
      </c>
      <c r="C19" s="24" t="str">
        <f aca="false">IF($A19="","",GSTR2B!D7)</f>
        <v/>
      </c>
      <c r="D19" s="25" t="str">
        <f aca="false">IF($A19="","",GSTR2B!F7)</f>
        <v/>
      </c>
      <c r="E19" s="25" t="str">
        <f aca="false">IF($A19="","",GSTR2B!J7)</f>
        <v/>
      </c>
      <c r="F19" s="5" t="str">
        <f aca="false">IF($A19="","",IF(ISNUMBER(MATCH(GSTR2B!M7,Books_PR!$M$5:$M$9,0)),"Yes","No"))</f>
        <v/>
      </c>
      <c r="G19" s="5"/>
      <c r="H19" s="5"/>
      <c r="I19" s="5"/>
      <c r="J19" s="5"/>
      <c r="K19" s="26" t="str">
        <f aca="false">IF($A19="","",IF(F19="No","In 2B, Missing in Books","Matched (see Section A)"))</f>
        <v/>
      </c>
      <c r="L19" s="6" t="str">
        <f aca="false">IF($A19="","",0)</f>
        <v/>
      </c>
      <c r="M19" s="6" t="str">
        <f aca="false">IF($A19="","",IF(F19="No",E19,0))</f>
        <v/>
      </c>
      <c r="N19" s="5" t="str">
        <f aca="false">IF($A19="","",IF(F19="No","Check if invoice was missed in accounting; book it, then claim ITC",""))</f>
        <v/>
      </c>
    </row>
    <row r="20" customFormat="false" ht="15" hidden="false" customHeight="false" outlineLevel="0" collapsed="false">
      <c r="A20" s="5" t="str">
        <f aca="false">IF(GSTR2B!E8="","",ROW()-16)</f>
        <v/>
      </c>
      <c r="B20" s="24" t="str">
        <f aca="false">IF($A20="","",GSTR2B!C8)</f>
        <v/>
      </c>
      <c r="C20" s="24" t="str">
        <f aca="false">IF($A20="","",GSTR2B!D8)</f>
        <v/>
      </c>
      <c r="D20" s="25" t="str">
        <f aca="false">IF($A20="","",GSTR2B!F8)</f>
        <v/>
      </c>
      <c r="E20" s="25" t="str">
        <f aca="false">IF($A20="","",GSTR2B!J8)</f>
        <v/>
      </c>
      <c r="F20" s="5" t="str">
        <f aca="false">IF($A20="","",IF(ISNUMBER(MATCH(GSTR2B!M8,Books_PR!$M$5:$M$9,0)),"Yes","No"))</f>
        <v/>
      </c>
      <c r="G20" s="5"/>
      <c r="H20" s="5"/>
      <c r="I20" s="5"/>
      <c r="J20" s="5"/>
      <c r="K20" s="26" t="str">
        <f aca="false">IF($A20="","",IF(F20="No","In 2B, Missing in Books","Matched (see Section A)"))</f>
        <v/>
      </c>
      <c r="L20" s="6" t="str">
        <f aca="false">IF($A20="","",0)</f>
        <v/>
      </c>
      <c r="M20" s="6" t="str">
        <f aca="false">IF($A20="","",IF(F20="No",E20,0))</f>
        <v/>
      </c>
      <c r="N20" s="5" t="str">
        <f aca="false">IF($A20="","",IF(F20="No","Check if invoice was missed in accounting; book it, then claim ITC",""))</f>
        <v/>
      </c>
    </row>
    <row r="21" customFormat="false" ht="15" hidden="false" customHeight="false" outlineLevel="0" collapsed="false">
      <c r="A21" s="5" t="str">
        <f aca="false">IF(GSTR2B!E9="","",ROW()-16)</f>
        <v/>
      </c>
      <c r="B21" s="24" t="str">
        <f aca="false">IF($A21="","",GSTR2B!C9)</f>
        <v/>
      </c>
      <c r="C21" s="24" t="str">
        <f aca="false">IF($A21="","",GSTR2B!D9)</f>
        <v/>
      </c>
      <c r="D21" s="25" t="str">
        <f aca="false">IF($A21="","",GSTR2B!F9)</f>
        <v/>
      </c>
      <c r="E21" s="25" t="str">
        <f aca="false">IF($A21="","",GSTR2B!J9)</f>
        <v/>
      </c>
      <c r="F21" s="5" t="str">
        <f aca="false">IF($A21="","",IF(ISNUMBER(MATCH(GSTR2B!M9,Books_PR!$M$5:$M$9,0)),"Yes","No"))</f>
        <v/>
      </c>
      <c r="G21" s="5"/>
      <c r="H21" s="5"/>
      <c r="I21" s="5"/>
      <c r="J21" s="5"/>
      <c r="K21" s="26" t="str">
        <f aca="false">IF($A21="","",IF(F21="No","In 2B, Missing in Books","Matched (see Section A)"))</f>
        <v/>
      </c>
      <c r="L21" s="6" t="str">
        <f aca="false">IF($A21="","",0)</f>
        <v/>
      </c>
      <c r="M21" s="6" t="str">
        <f aca="false">IF($A21="","",IF(F21="No",E21,0))</f>
        <v/>
      </c>
      <c r="N21" s="5" t="str">
        <f aca="false">IF($A21="","",IF(F21="No","Check if invoice was missed in accounting; book it, then claim ITC",""))</f>
        <v/>
      </c>
    </row>
    <row r="22" customFormat="false" ht="15" hidden="false" customHeight="false" outlineLevel="0" collapsed="false">
      <c r="A22" s="22"/>
      <c r="B22" s="22"/>
      <c r="C22" s="10" t="s">
        <v>12</v>
      </c>
      <c r="D22" s="11" t="n">
        <f aca="false">SUM(D17:D21)</f>
        <v>300000</v>
      </c>
      <c r="E22" s="11" t="n">
        <f aca="false">SUM(E17:E21)</f>
        <v>54000</v>
      </c>
      <c r="F22" s="22"/>
      <c r="G22" s="22"/>
      <c r="H22" s="22"/>
      <c r="I22" s="22"/>
      <c r="J22" s="22"/>
      <c r="K22" s="22"/>
      <c r="L22" s="11" t="n">
        <f aca="false">SUM(L17:L21)</f>
        <v>0</v>
      </c>
      <c r="M22" s="11" t="n">
        <f aca="false">SUM(M17:M21)</f>
        <v>0</v>
      </c>
      <c r="N22" s="22"/>
    </row>
    <row r="24" customFormat="false" ht="15" hidden="false" customHeight="false" outlineLevel="0" collapsed="false">
      <c r="A24" s="2" t="s">
        <v>79</v>
      </c>
    </row>
  </sheetData>
  <conditionalFormatting sqref="K7:K11">
    <cfRule type="cellIs" priority="2" operator="equal" aboveAverage="0" equalAverage="0" bottom="0" percent="0" rank="0" text="" dxfId="0">
      <formula>"Fully Matched"</formula>
    </cfRule>
    <cfRule type="cellIs" priority="3" operator="equal" aboveAverage="0" equalAverage="0" bottom="0" percent="0" rank="0" text="" dxfId="1">
      <formula>"Tax Mismatch"</formula>
    </cfRule>
    <cfRule type="cellIs" priority="4" operator="equal" aboveAverage="0" equalAverage="0" bottom="0" percent="0" rank="0" text="" dxfId="2">
      <formula>"In Books, Missing in 2B"</formula>
    </cfRule>
  </conditionalFormatting>
  <conditionalFormatting sqref="K17:K21">
    <cfRule type="cellIs" priority="5" operator="equal" aboveAverage="0" equalAverage="0" bottom="0" percent="0" rank="0" text="" dxfId="3">
      <formula>"In 2B, Missing in Books"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31.5" hidden="false" customHeight="true" outlineLevel="0" collapsed="false">
      <c r="A4" s="3" t="s">
        <v>82</v>
      </c>
      <c r="B4" s="3" t="s">
        <v>41</v>
      </c>
      <c r="C4" s="3" t="s">
        <v>39</v>
      </c>
      <c r="D4" s="3" t="s">
        <v>83</v>
      </c>
      <c r="E4" s="3" t="s">
        <v>84</v>
      </c>
    </row>
    <row r="5" customFormat="false" ht="42" hidden="false" customHeight="true" outlineLevel="0" collapsed="false">
      <c r="A5" s="27" t="s">
        <v>85</v>
      </c>
      <c r="B5" s="18" t="n">
        <v>0</v>
      </c>
      <c r="C5" s="18" t="n">
        <v>27000</v>
      </c>
      <c r="D5" s="18" t="n">
        <v>27000</v>
      </c>
      <c r="E5" s="28" t="n">
        <f aca="false">SUM(B5:D5)</f>
        <v>54000</v>
      </c>
    </row>
    <row r="6" customFormat="false" ht="15" hidden="false" customHeight="false" outlineLevel="0" collapsed="false">
      <c r="A6" s="27" t="s">
        <v>86</v>
      </c>
      <c r="B6" s="25" t="n">
        <f aca="false">ITC_Recon!Q12</f>
        <v>36000</v>
      </c>
      <c r="C6" s="25" t="n">
        <f aca="false">ITC_Recon!O12</f>
        <v>9000</v>
      </c>
      <c r="D6" s="25" t="n">
        <f aca="false">ITC_Recon!P12</f>
        <v>9000</v>
      </c>
      <c r="E6" s="28" t="n">
        <f aca="false">SUM(B6:D6)</f>
        <v>54000</v>
      </c>
    </row>
    <row r="7" customFormat="false" ht="15" hidden="false" customHeight="false" outlineLevel="0" collapsed="false">
      <c r="A7" s="27" t="s">
        <v>87</v>
      </c>
      <c r="B7" s="21"/>
      <c r="C7" s="21"/>
      <c r="D7" s="21"/>
      <c r="E7" s="25" t="n">
        <f aca="false">ITC_Recon!M12</f>
        <v>0</v>
      </c>
    </row>
    <row r="9" customFormat="false" ht="15" hidden="false" customHeight="false" outlineLevel="0" collapsed="false">
      <c r="A9" s="12" t="s">
        <v>88</v>
      </c>
    </row>
    <row r="10" customFormat="false" ht="31.5" hidden="false" customHeight="true" outlineLevel="0" collapsed="false">
      <c r="A10" s="3" t="s">
        <v>89</v>
      </c>
      <c r="B10" s="3" t="s">
        <v>90</v>
      </c>
    </row>
    <row r="11" customFormat="false" ht="15" hidden="false" customHeight="false" outlineLevel="0" collapsed="false">
      <c r="A11" s="5" t="s">
        <v>91</v>
      </c>
      <c r="B11" s="6" t="n">
        <f aca="false">MIN(B6,B5)</f>
        <v>0</v>
      </c>
    </row>
    <row r="12" customFormat="false" ht="15" hidden="false" customHeight="false" outlineLevel="0" collapsed="false">
      <c r="A12" s="5" t="s">
        <v>92</v>
      </c>
      <c r="B12" s="6" t="n">
        <f aca="false">MIN(B6-B11,MAX(0,C5-C6))</f>
        <v>18000</v>
      </c>
    </row>
    <row r="13" customFormat="false" ht="15" hidden="false" customHeight="false" outlineLevel="0" collapsed="false">
      <c r="A13" s="5" t="s">
        <v>93</v>
      </c>
      <c r="B13" s="6" t="n">
        <f aca="false">MIN(B6-B11-B12,MAX(0,D5-D6))</f>
        <v>18000</v>
      </c>
    </row>
    <row r="14" customFormat="false" ht="15" hidden="false" customHeight="false" outlineLevel="0" collapsed="false">
      <c r="A14" s="5" t="s">
        <v>94</v>
      </c>
      <c r="B14" s="6" t="n">
        <f aca="false">MIN(B6-B11-B12-B13,C5-B12)</f>
        <v>0</v>
      </c>
    </row>
    <row r="15" customFormat="false" ht="15" hidden="false" customHeight="false" outlineLevel="0" collapsed="false">
      <c r="A15" s="5" t="s">
        <v>95</v>
      </c>
      <c r="B15" s="6" t="n">
        <f aca="false">MIN(B6-B11-B12-B13-B14,D5-B13)</f>
        <v>0</v>
      </c>
    </row>
    <row r="16" customFormat="false" ht="15" hidden="false" customHeight="false" outlineLevel="0" collapsed="false">
      <c r="A16" s="5" t="s">
        <v>96</v>
      </c>
      <c r="B16" s="6" t="n">
        <f aca="false">MIN(C6,C5-B12-B14)</f>
        <v>9000</v>
      </c>
    </row>
    <row r="17" customFormat="false" ht="15" hidden="false" customHeight="false" outlineLevel="0" collapsed="false">
      <c r="A17" s="5" t="s">
        <v>97</v>
      </c>
      <c r="B17" s="6" t="n">
        <f aca="false">MIN(D6,D5-B13-B15)</f>
        <v>9000</v>
      </c>
    </row>
    <row r="18" customFormat="false" ht="15" hidden="false" customHeight="false" outlineLevel="0" collapsed="false">
      <c r="A18" s="5" t="s">
        <v>98</v>
      </c>
      <c r="B18" s="6" t="n">
        <f aca="false">MIN(C6-B16,B5-B11)</f>
        <v>0</v>
      </c>
    </row>
    <row r="19" customFormat="false" ht="15" hidden="false" customHeight="false" outlineLevel="0" collapsed="false">
      <c r="A19" s="5" t="s">
        <v>99</v>
      </c>
      <c r="B19" s="6" t="n">
        <f aca="false">MIN(D6-B17,B5-B11-B18)</f>
        <v>0</v>
      </c>
    </row>
    <row r="21" customFormat="false" ht="15" hidden="false" customHeight="false" outlineLevel="0" collapsed="false">
      <c r="A21" s="12" t="s">
        <v>100</v>
      </c>
    </row>
    <row r="22" customFormat="false" ht="31.5" hidden="false" customHeight="true" outlineLevel="0" collapsed="false">
      <c r="A22" s="3" t="s">
        <v>82</v>
      </c>
      <c r="B22" s="3" t="s">
        <v>41</v>
      </c>
      <c r="C22" s="3" t="s">
        <v>39</v>
      </c>
      <c r="D22" s="3" t="s">
        <v>83</v>
      </c>
      <c r="E22" s="3" t="s">
        <v>84</v>
      </c>
    </row>
    <row r="23" customFormat="false" ht="15" hidden="false" customHeight="false" outlineLevel="0" collapsed="false">
      <c r="A23" s="29" t="s">
        <v>101</v>
      </c>
      <c r="B23" s="30" t="n">
        <f aca="false">B5-B11-B18-B19</f>
        <v>0</v>
      </c>
      <c r="C23" s="30" t="n">
        <f aca="false">C5-B12-B14-B16</f>
        <v>0</v>
      </c>
      <c r="D23" s="30" t="n">
        <f aca="false">D5-B13-B15-B17</f>
        <v>0</v>
      </c>
      <c r="E23" s="30" t="n">
        <f aca="false">SUM(B23:D23)</f>
        <v>0</v>
      </c>
    </row>
    <row r="24" customFormat="false" ht="15" hidden="false" customHeight="false" outlineLevel="0" collapsed="false">
      <c r="A24" s="29" t="s">
        <v>102</v>
      </c>
      <c r="B24" s="30" t="n">
        <f aca="false">B6-B11-B12-B13-B14-B15</f>
        <v>0</v>
      </c>
      <c r="C24" s="30" t="n">
        <f aca="false">C6-B16-B18</f>
        <v>0</v>
      </c>
      <c r="D24" s="30" t="n">
        <f aca="false">D6-B17-B19</f>
        <v>0</v>
      </c>
      <c r="E24" s="30" t="n">
        <f aca="false">SUM(B24:D24)</f>
        <v>0</v>
      </c>
    </row>
    <row r="26" customFormat="false" ht="15" hidden="false" customHeight="false" outlineLevel="0" collapsed="false">
      <c r="A26" s="2" t="s">
        <v>103</v>
      </c>
      <c r="B26" s="14" t="n">
        <f aca="false">E5-SUM(B11:B19)-E23</f>
        <v>0</v>
      </c>
    </row>
    <row r="28" customFormat="false" ht="15" hidden="false" customHeight="false" outlineLevel="0" collapsed="false">
      <c r="A28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2026-10-06T10:04:45Z</dcterms:created>
  <dc:creator>openpyxl</dc:creator>
  <dc:description/>
  <dc:language>en-US</dc:language>
  <cp:lastModifiedBy/>
  <dcterms:modified xsi:type="dcterms:W3CDTF">2026-10-06T10:04:45Z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