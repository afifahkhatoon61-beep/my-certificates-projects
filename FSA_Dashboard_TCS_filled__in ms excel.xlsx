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fifah Khatoon\Downloads\"/>
    </mc:Choice>
  </mc:AlternateContent>
  <xr:revisionPtr revIDLastSave="0" documentId="8_{20040415-9F2D-43D6-B30F-7E2DF96897EE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README" sheetId="1" r:id="rId1"/>
    <sheet name="Raw Data - PL" sheetId="2" r:id="rId2"/>
    <sheet name="Raw Data - BS" sheetId="3" r:id="rId3"/>
    <sheet name="Raw Data - CF" sheetId="4" r:id="rId4"/>
    <sheet name="Ratio Analysis" sheetId="5" r:id="rId5"/>
    <sheet name="Trend Analysis" sheetId="6" r:id="rId6"/>
    <sheet name="Insight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5" l="1"/>
  <c r="D6" i="5"/>
  <c r="E6" i="5"/>
  <c r="F6" i="5"/>
  <c r="B6" i="5"/>
  <c r="F14" i="6"/>
  <c r="E14" i="6"/>
  <c r="D14" i="6"/>
  <c r="C14" i="6"/>
  <c r="B14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8" i="6"/>
  <c r="E8" i="6"/>
  <c r="D8" i="6"/>
  <c r="C8" i="6"/>
  <c r="F7" i="6"/>
  <c r="E7" i="6"/>
  <c r="D7" i="6"/>
  <c r="C7" i="6"/>
  <c r="F6" i="6"/>
  <c r="E6" i="6"/>
  <c r="D6" i="6"/>
  <c r="C6" i="6"/>
  <c r="F5" i="6"/>
  <c r="E5" i="6"/>
  <c r="D5" i="6"/>
  <c r="C5" i="6"/>
  <c r="F21" i="5"/>
  <c r="E21" i="5"/>
  <c r="D21" i="5"/>
  <c r="C21" i="5"/>
  <c r="B21" i="5"/>
  <c r="F20" i="5"/>
  <c r="E20" i="5"/>
  <c r="D20" i="5"/>
  <c r="C20" i="5"/>
  <c r="B20" i="5"/>
  <c r="F19" i="5"/>
  <c r="E19" i="5"/>
  <c r="D19" i="5"/>
  <c r="C19" i="5"/>
  <c r="B19" i="5"/>
  <c r="F16" i="5"/>
  <c r="E16" i="5"/>
  <c r="D16" i="5"/>
  <c r="C16" i="5"/>
  <c r="B16" i="5"/>
  <c r="F15" i="5"/>
  <c r="E15" i="5"/>
  <c r="D15" i="5"/>
  <c r="C15" i="5"/>
  <c r="B15" i="5"/>
  <c r="F12" i="5"/>
  <c r="E12" i="5"/>
  <c r="D12" i="5"/>
  <c r="C12" i="5"/>
  <c r="B12" i="5"/>
  <c r="F11" i="5"/>
  <c r="E11" i="5"/>
  <c r="D11" i="5"/>
  <c r="C11" i="5"/>
  <c r="B11" i="5"/>
  <c r="F10" i="5"/>
  <c r="E10" i="5"/>
  <c r="D10" i="5"/>
  <c r="C10" i="5"/>
  <c r="B10" i="5"/>
  <c r="F9" i="5"/>
  <c r="E9" i="5"/>
  <c r="D9" i="5"/>
  <c r="C9" i="5"/>
  <c r="B9" i="5"/>
  <c r="F5" i="5"/>
  <c r="E5" i="5"/>
  <c r="D5" i="5"/>
  <c r="C5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6" authorId="0" shapeId="0" xr:uid="{00000000-0006-0000-0100-000001000000}">
      <text>
        <r>
          <rPr>
            <sz val="10"/>
            <rFont val="Arial"/>
            <family val="2"/>
          </rPr>
          <t>Source: TCS Consolidated Financial Statements (IFRS), TCS Investor Relations 'Data Sheet' (tcs.com &gt; Investor Relations &gt; Resources), FY21-FY25, as reported in INR Mn, converted to INR Crore (divide by 10).</t>
        </r>
      </text>
    </comment>
    <comment ref="A13" authorId="0" shapeId="0" xr:uid="{00000000-0006-0000-0100-000002000000}">
      <text>
        <r>
          <rPr>
            <sz val="10"/>
            <rFont val="Arial"/>
            <family val="2"/>
          </rPr>
          <t>TCS discloses minimal financial debt; interest/finance cost is netted within 'Total Other Income/(Expense)' in the source data and not separately broken out. Set to 0 as a simplifying assumption.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200-000001000000}">
      <text>
        <r>
          <rPr>
            <sz val="10"/>
            <rFont val="Arial"/>
            <family val="2"/>
          </rPr>
          <t>Source: TCS Consolidated Financial Statements (IFRS), TCS Investor Relations 'Data Sheet' (tcs.com &gt; Investor Relations &gt; Resources), FY21-FY25, as reported in INR Mn, converted to INR Crore (divide by 10).</t>
        </r>
      </text>
    </comment>
    <comment ref="A15" authorId="0" shapeId="0" xr:uid="{00000000-0006-0000-0200-000002000000}">
      <text>
        <r>
          <rPr>
            <sz val="10"/>
            <rFont val="Arial"/>
            <family val="2"/>
          </rPr>
          <t>Simplified to Property Plant &amp; Equipment (net) + Right-of-use assets + Goodwill + Other Intangible Assets. Other non-current items (investments, deferred tax assets, non-current bank deposits) are excluded for simplicity, so Net Fixed Assets + Total Current Assets will not exactly equal Total Assets.</t>
        </r>
      </text>
    </comment>
    <comment ref="A18" authorId="0" shapeId="0" xr:uid="{00000000-0006-0000-0200-000003000000}">
      <text>
        <r>
          <rPr>
            <sz val="10"/>
            <rFont val="Arial"/>
            <family val="2"/>
          </rPr>
          <t>TCS is an IT services company and does not hold inventory in the traditional sense; set to 0.</t>
        </r>
      </text>
    </comment>
  </commentList>
</comments>
</file>

<file path=xl/sharedStrings.xml><?xml version="1.0" encoding="utf-8"?>
<sst xmlns="http://schemas.openxmlformats.org/spreadsheetml/2006/main" count="138" uniqueCount="113">
  <si>
    <t>Financial Statement Analysis Dashboard — TCS</t>
  </si>
  <si>
    <t>Excel + Power BI Portfolio Project</t>
  </si>
  <si>
    <t>HOW TO USE THIS WORKBOOK</t>
  </si>
  <si>
    <t>1. Get data from screener.in (search 'TCS' -&gt; Balance Sheet / Profit &amp; Loss / Cash Flow tabs) or tcs.com &gt; Investors &gt; Annual Reports.</t>
  </si>
  <si>
    <t>2. Fill in ONLY the yellow cells on the 'Raw Data - PL', 'Raw Data - BS', 'Raw Data - CF' sheets with actual figures in Rs. Crore for FY21-FY25.</t>
  </si>
  <si>
    <t>3. 'Ratio Analysis' and 'Trend Analysis' sheets are 100% FORMULAS linked to the Raw Data sheets — they update automatically once you fill in the inputs.</t>
  </si>
  <si>
    <t>4. Once populated, run File &gt; Import in Power BI Desktop (Get Data &gt; Excel Workbook) and build visuals on top of the Ratio Analysis and Trend Analysis tables.</t>
  </si>
  <si>
    <t>5. Write your own analyst-style commentary on the 'Insights' sheet — this is what turns it from a spreadsheet into a portfolio piece.</t>
  </si>
  <si>
    <t>SHEET GUIDE</t>
  </si>
  <si>
    <t>Raw Data - PL   : Revenue, expenses, profit figures (fill yellow cells)</t>
  </si>
  <si>
    <t>Raw Data - BS   : Assets, liabilities, equity figures (fill yellow cells)</t>
  </si>
  <si>
    <t>Raw Data - CF   : Operating / investing / financing cash flow (fill yellow cells)</t>
  </si>
  <si>
    <t>Ratio Analysis  : Liquidity, profitability, solvency, efficiency ratios (auto-calculated)</t>
  </si>
  <si>
    <t>Trend Analysis  : YoY growth (horizontal) and % of revenue (vertical) analysis (auto-calculated)</t>
  </si>
  <si>
    <t>Insights        : Space for your written management-commentary style insights</t>
  </si>
  <si>
    <t>COLOR KEY</t>
  </si>
  <si>
    <t>Yellow fill = cell you must fill in with real data</t>
  </si>
  <si>
    <t>Blue text   = hardcoded input</t>
  </si>
  <si>
    <t>Black text  = formula within the same sheet</t>
  </si>
  <si>
    <t>Green text  = formula linking to another sheet</t>
  </si>
  <si>
    <t>Profit &amp; Loss Statement (Rs. Crore)</t>
  </si>
  <si>
    <t>Particulars</t>
  </si>
  <si>
    <t>FY21</t>
  </si>
  <si>
    <t>FY22</t>
  </si>
  <si>
    <t>FY23</t>
  </si>
  <si>
    <t>FY24</t>
  </si>
  <si>
    <t>FY25</t>
  </si>
  <si>
    <t>Revenue from Operations</t>
  </si>
  <si>
    <t>Other Income</t>
  </si>
  <si>
    <t>Total Income</t>
  </si>
  <si>
    <t>Employee Benefit Expense</t>
  </si>
  <si>
    <t>Other Expenses</t>
  </si>
  <si>
    <t>Total Operating Expenses</t>
  </si>
  <si>
    <t>EBITDA</t>
  </si>
  <si>
    <t>Depreciation &amp; Amortisation</t>
  </si>
  <si>
    <t>EBIT (Operating Profit)</t>
  </si>
  <si>
    <t>Finance Costs (Interest)</t>
  </si>
  <si>
    <t>Profit Before Tax (PBT)</t>
  </si>
  <si>
    <t>Tax Expense</t>
  </si>
  <si>
    <t>Profit After Tax (PAT)</t>
  </si>
  <si>
    <t>Source: TCS Investor Relations Data Sheet (Consolidated, IFRS), tcs.com/investor-relations</t>
  </si>
  <si>
    <t>Balance Sheet (Rs. Crore)</t>
  </si>
  <si>
    <t>Share Capital</t>
  </si>
  <si>
    <t>Reserves &amp; Surplus</t>
  </si>
  <si>
    <t>Total Shareholders' Equity (incl. NCI)</t>
  </si>
  <si>
    <t>Long-Term Borrowings</t>
  </si>
  <si>
    <t>Short-Term Borrowings</t>
  </si>
  <si>
    <t>Trade Payables</t>
  </si>
  <si>
    <t>Other Current Liabilities</t>
  </si>
  <si>
    <t>Total Current Liabilities</t>
  </si>
  <si>
    <t>Total Debt</t>
  </si>
  <si>
    <t>Other Long-Term Liabilities</t>
  </si>
  <si>
    <t>Total Liabilities</t>
  </si>
  <si>
    <t>Net Fixed Assets</t>
  </si>
  <si>
    <t>Cash &amp; Cash Equivalents</t>
  </si>
  <si>
    <t>Trade Receivables</t>
  </si>
  <si>
    <t>Inventory</t>
  </si>
  <si>
    <t>Other Current Assets</t>
  </si>
  <si>
    <t>Total Current Assets</t>
  </si>
  <si>
    <t>Total Assets</t>
  </si>
  <si>
    <t>Source: TCS Investor Relations Data Sheet (Consolidated, IFRS) and Consolidated Statement of Changes in Equity, tcs.com/investor-relations</t>
  </si>
  <si>
    <t>Note: Total Shareholders' Equity (row 6) has been corrected to include Non-Controlling Interests (675 / 707 / 782 / 830 / 1,015 Cr for FY21-FY25) — TCS's consolidated subsidiaries' minority stake, sourced from TCS's audited Statement of Changes in Equity. This was missing in the original data, which caused Total Assets to not equal Total Equity + Total Liabilities.</t>
  </si>
  <si>
    <t>Cash Flow Statement (Rs. Crore)</t>
  </si>
  <si>
    <t>Cash Flow from Operating Activities</t>
  </si>
  <si>
    <t>Cash Flow from Investing Activities</t>
  </si>
  <si>
    <t>Cash Flow from Financing Activities</t>
  </si>
  <si>
    <t>Net Increase / Decrease in Cash</t>
  </si>
  <si>
    <t>NOTE: Cash Flow Statement was not available in the TCS Investor Relations Data Sheet used for the P&amp;L and Balance Sheet above. Source separately from the Annual Report (Consolidated Cash Flow Statement) if required, or omit Cash Flow ratios from the project scope.</t>
  </si>
  <si>
    <t>Ratio Analysis</t>
  </si>
  <si>
    <t>Ratio</t>
  </si>
  <si>
    <t>LIQUIDITY RATIOS</t>
  </si>
  <si>
    <t>Current Ratio</t>
  </si>
  <si>
    <t>Quick Ratio</t>
  </si>
  <si>
    <t>PROFITABILITY RATIOS</t>
  </si>
  <si>
    <t>Net Profit Margin</t>
  </si>
  <si>
    <t>EBITDA Margin</t>
  </si>
  <si>
    <t>Return on Equity (ROE)</t>
  </si>
  <si>
    <t>Return on Assets (ROA)</t>
  </si>
  <si>
    <t>SOLVENCY RATIOS</t>
  </si>
  <si>
    <t>Debt-to-Equity Ratio</t>
  </si>
  <si>
    <t>Interest Coverage Ratio</t>
  </si>
  <si>
    <t>EFFICIENCY RATIOS</t>
  </si>
  <si>
    <t>Asset Turnover Ratio</t>
  </si>
  <si>
    <t>Inventory Turnover Ratio</t>
  </si>
  <si>
    <t>Receivables Turnover Ratio</t>
  </si>
  <si>
    <t>Trend Analysis</t>
  </si>
  <si>
    <t>Metric</t>
  </si>
  <si>
    <t>HORIZONTAL ANALYSIS (YoY GROWTH %)</t>
  </si>
  <si>
    <t>Revenue Growth %</t>
  </si>
  <si>
    <t>n/a — base year</t>
  </si>
  <si>
    <t>EBITDA Growth %</t>
  </si>
  <si>
    <t>PAT Growth %</t>
  </si>
  <si>
    <t>Total Assets Growth %</t>
  </si>
  <si>
    <t>VERTICAL ANALYSIS (% OF REVENUE)</t>
  </si>
  <si>
    <t>Total Operating Expenses % of Revenue</t>
  </si>
  <si>
    <t>EBITDA % of Revenue</t>
  </si>
  <si>
    <t>EBIT % of Revenue</t>
  </si>
  <si>
    <t>PAT % of Revenue</t>
  </si>
  <si>
    <t>Management Insight Summary</t>
  </si>
  <si>
    <t>area</t>
  </si>
  <si>
    <t>Insight</t>
  </si>
  <si>
    <t>Revenue &amp; Growth</t>
  </si>
  <si>
    <t>Revenue grew from ₹1,64,177 Cr (FY21) to ₹2,55,324 Cr (FY25), a ~55% increase over 5 years — though growth slowed from ~17% YoY (FY22-23) to ~6% (FY24-25), reflecting a maturing IT services demand environment.</t>
  </si>
  <si>
    <t>Profitability</t>
  </si>
  <si>
    <t>Net Profit Margin stayed strong (~19-20%) despite slowing growth, and ROE improved significantly from 37.4% to 49.6%, showing efficient use of shareholder capital.</t>
  </si>
  <si>
    <t>Liquidity Position</t>
  </si>
  <si>
    <t>Current Ratio declined from 2.91x to 2.32x — still comfortably above 1x, indicating strong short-term solvency, though liquidity buffer has thinned slightly.</t>
  </si>
  <si>
    <t>Solvency / Leverage</t>
  </si>
  <si>
    <t>Debt-to-Equity remained below 0.1x throughout FY21-25, showing TCS operates with virtually no financial leverage — a hallmark of asset-light IT services companies.</t>
  </si>
  <si>
    <t>Efficiency</t>
  </si>
  <si>
    <t>Asset Turnover improved from 1.24x to 1.58x, meaning TCS generates more revenue per rupee of assets over time — a sign of improving operational efficiency.</t>
  </si>
  <si>
    <t>Overall Investment View</t>
  </si>
  <si>
    <t>TCS shows a financially healthy, low-risk profile — strong margins, near-zero debt, and improving efficiency — though revenue growth has decelerated, a trend worth monitoring going forward.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</si>
</sst>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0\x;\(0.00&quot;x)&quot;;\-"/>
    <numFmt numFmtId="166" formatCode="0.0%;\(0.0%\);\-"/>
  </numFmts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1"/>
      <color rgb="FF595959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9"/>
      <color rgb="FF808080"/>
      <name val="Arial"/>
      <charset val="1"/>
    </font>
    <font>
      <sz val="10"/>
      <name val="Arial"/>
      <family val="2"/>
    </font>
    <font>
      <i/>
      <sz val="9"/>
      <color rgb="FFC00000"/>
      <name val="Arial"/>
      <charset val="1"/>
    </font>
    <font>
      <sz val="11"/>
      <color rgb="FF008000"/>
      <name val="Arial"/>
      <charset val="1"/>
    </font>
    <font>
      <b/>
      <i/>
      <sz val="9"/>
      <color rgb="FF80808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548235"/>
        <bgColor rgb="FF3399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/>
    <xf numFmtId="0" fontId="7" fillId="0" borderId="0" xfId="0" applyFont="1"/>
    <xf numFmtId="0" fontId="9" fillId="0" borderId="0" xfId="0" applyFont="1"/>
    <xf numFmtId="0" fontId="5" fillId="4" borderId="0" xfId="0" applyFont="1" applyFill="1"/>
    <xf numFmtId="0" fontId="0" fillId="4" borderId="0" xfId="0" applyFill="1"/>
    <xf numFmtId="165" fontId="10" fillId="0" borderId="1" xfId="0" applyNumberFormat="1" applyFont="1" applyBorder="1"/>
    <xf numFmtId="166" fontId="10" fillId="0" borderId="1" xfId="0" applyNumberFormat="1" applyFont="1" applyBorder="1"/>
    <xf numFmtId="0" fontId="5" fillId="2" borderId="0" xfId="0" applyFont="1" applyFill="1"/>
    <xf numFmtId="0" fontId="11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zoomScaleNormal="100" workbookViewId="0"/>
  </sheetViews>
  <sheetFormatPr defaultColWidth="8.6640625" defaultRowHeight="14.4" x14ac:dyDescent="0.3"/>
  <cols>
    <col min="1" max="1" width="112" customWidth="1"/>
  </cols>
  <sheetData>
    <row r="1" spans="1:1" ht="17.25" customHeight="1" x14ac:dyDescent="0.3">
      <c r="A1" s="2" t="s">
        <v>0</v>
      </c>
    </row>
    <row r="2" spans="1:1" ht="15" customHeight="1" x14ac:dyDescent="0.3">
      <c r="A2" s="3" t="s">
        <v>1</v>
      </c>
    </row>
    <row r="3" spans="1:1" ht="15" customHeight="1" x14ac:dyDescent="0.3">
      <c r="A3" s="4"/>
    </row>
    <row r="4" spans="1:1" ht="15" customHeight="1" x14ac:dyDescent="0.3">
      <c r="A4" s="5" t="s">
        <v>2</v>
      </c>
    </row>
    <row r="5" spans="1:1" ht="15" customHeight="1" x14ac:dyDescent="0.3">
      <c r="A5" s="4" t="s">
        <v>3</v>
      </c>
    </row>
    <row r="6" spans="1:1" ht="15" customHeight="1" x14ac:dyDescent="0.3">
      <c r="A6" s="4" t="s">
        <v>4</v>
      </c>
    </row>
    <row r="7" spans="1:1" ht="15" customHeight="1" x14ac:dyDescent="0.3">
      <c r="A7" s="4" t="s">
        <v>5</v>
      </c>
    </row>
    <row r="8" spans="1:1" ht="15" customHeight="1" x14ac:dyDescent="0.3">
      <c r="A8" s="4" t="s">
        <v>6</v>
      </c>
    </row>
    <row r="9" spans="1:1" ht="15" customHeight="1" x14ac:dyDescent="0.3">
      <c r="A9" s="4" t="s">
        <v>7</v>
      </c>
    </row>
    <row r="10" spans="1:1" ht="15" customHeight="1" x14ac:dyDescent="0.3">
      <c r="A10" s="4"/>
    </row>
    <row r="11" spans="1:1" ht="15" customHeight="1" x14ac:dyDescent="0.3">
      <c r="A11" s="5" t="s">
        <v>8</v>
      </c>
    </row>
    <row r="12" spans="1:1" ht="15" customHeight="1" x14ac:dyDescent="0.3">
      <c r="A12" s="4" t="s">
        <v>9</v>
      </c>
    </row>
    <row r="13" spans="1:1" ht="15" customHeight="1" x14ac:dyDescent="0.3">
      <c r="A13" s="4" t="s">
        <v>10</v>
      </c>
    </row>
    <row r="14" spans="1:1" ht="15" customHeight="1" x14ac:dyDescent="0.3">
      <c r="A14" s="4" t="s">
        <v>11</v>
      </c>
    </row>
    <row r="15" spans="1:1" ht="15" customHeight="1" x14ac:dyDescent="0.3">
      <c r="A15" s="4" t="s">
        <v>12</v>
      </c>
    </row>
    <row r="16" spans="1:1" ht="15" customHeight="1" x14ac:dyDescent="0.3">
      <c r="A16" s="4" t="s">
        <v>13</v>
      </c>
    </row>
    <row r="17" spans="1:1" ht="15" customHeight="1" x14ac:dyDescent="0.3">
      <c r="A17" s="4" t="s">
        <v>14</v>
      </c>
    </row>
    <row r="18" spans="1:1" ht="15" customHeight="1" x14ac:dyDescent="0.3">
      <c r="A18" s="4"/>
    </row>
    <row r="19" spans="1:1" ht="15" customHeight="1" x14ac:dyDescent="0.3">
      <c r="A19" s="5" t="s">
        <v>15</v>
      </c>
    </row>
    <row r="20" spans="1:1" ht="15" customHeight="1" x14ac:dyDescent="0.3">
      <c r="A20" s="4" t="s">
        <v>16</v>
      </c>
    </row>
    <row r="21" spans="1:1" ht="15" customHeight="1" x14ac:dyDescent="0.3">
      <c r="A21" s="4" t="s">
        <v>17</v>
      </c>
    </row>
    <row r="22" spans="1:1" ht="15" customHeight="1" x14ac:dyDescent="0.3">
      <c r="A22" s="4" t="s">
        <v>18</v>
      </c>
    </row>
    <row r="23" spans="1:1" ht="15" customHeight="1" x14ac:dyDescent="0.3">
      <c r="A23" s="4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36" customWidth="1"/>
    <col min="2" max="6" width="13" customWidth="1"/>
  </cols>
  <sheetData>
    <row r="1" spans="1:6" ht="17.25" customHeight="1" x14ac:dyDescent="0.3">
      <c r="A1" s="1" t="s">
        <v>20</v>
      </c>
      <c r="B1" s="1"/>
      <c r="C1" s="1"/>
      <c r="D1" s="1"/>
      <c r="E1" s="1"/>
      <c r="F1" s="1"/>
    </row>
    <row r="3" spans="1:6" ht="15" customHeight="1" x14ac:dyDescent="0.3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</row>
    <row r="4" spans="1:6" ht="15" customHeight="1" x14ac:dyDescent="0.3">
      <c r="A4" s="5" t="s">
        <v>27</v>
      </c>
      <c r="B4" s="7">
        <v>164177</v>
      </c>
      <c r="C4" s="7">
        <v>191754</v>
      </c>
      <c r="D4" s="7">
        <v>225458</v>
      </c>
      <c r="E4" s="7">
        <v>240893</v>
      </c>
      <c r="F4" s="7">
        <v>255324</v>
      </c>
    </row>
    <row r="5" spans="1:6" ht="15" customHeight="1" x14ac:dyDescent="0.3">
      <c r="A5" s="5" t="s">
        <v>28</v>
      </c>
      <c r="B5" s="7">
        <v>2497</v>
      </c>
      <c r="C5" s="7">
        <v>3234</v>
      </c>
      <c r="D5" s="7">
        <v>2670</v>
      </c>
      <c r="E5" s="7">
        <v>3727</v>
      </c>
      <c r="F5" s="7">
        <v>3166</v>
      </c>
    </row>
    <row r="6" spans="1:6" ht="15" customHeight="1" x14ac:dyDescent="0.3">
      <c r="A6" s="5" t="s">
        <v>29</v>
      </c>
      <c r="B6" s="7">
        <v>166674</v>
      </c>
      <c r="C6" s="7">
        <v>194988</v>
      </c>
      <c r="D6" s="7">
        <v>228128</v>
      </c>
      <c r="E6" s="7">
        <v>244620</v>
      </c>
      <c r="F6" s="7">
        <v>258490</v>
      </c>
    </row>
    <row r="7" spans="1:6" ht="15" customHeight="1" x14ac:dyDescent="0.3">
      <c r="A7" s="5" t="s">
        <v>30</v>
      </c>
      <c r="B7" s="7">
        <v>91814</v>
      </c>
      <c r="C7" s="7">
        <v>107554</v>
      </c>
      <c r="D7" s="7">
        <v>127522</v>
      </c>
      <c r="E7" s="7">
        <v>140132</v>
      </c>
      <c r="F7" s="7">
        <v>145788</v>
      </c>
    </row>
    <row r="8" spans="1:6" ht="15" customHeight="1" x14ac:dyDescent="0.3">
      <c r="A8" s="5" t="s">
        <v>31</v>
      </c>
      <c r="B8" s="7">
        <v>29882</v>
      </c>
      <c r="C8" s="7">
        <v>35747</v>
      </c>
      <c r="D8" s="7">
        <v>43699</v>
      </c>
      <c r="E8" s="7">
        <v>41450</v>
      </c>
      <c r="F8" s="7">
        <v>47371</v>
      </c>
    </row>
    <row r="9" spans="1:6" ht="15" customHeight="1" x14ac:dyDescent="0.3">
      <c r="A9" s="5" t="s">
        <v>32</v>
      </c>
      <c r="B9" s="7">
        <v>121696</v>
      </c>
      <c r="C9" s="7">
        <v>143301</v>
      </c>
      <c r="D9" s="7">
        <v>171221</v>
      </c>
      <c r="E9" s="7">
        <v>181582</v>
      </c>
      <c r="F9" s="7">
        <v>193159</v>
      </c>
    </row>
    <row r="10" spans="1:6" ht="15" customHeight="1" x14ac:dyDescent="0.3">
      <c r="A10" s="5" t="s">
        <v>33</v>
      </c>
      <c r="B10" s="7">
        <v>46546</v>
      </c>
      <c r="C10" s="7">
        <v>53057</v>
      </c>
      <c r="D10" s="7">
        <v>59260</v>
      </c>
      <c r="E10" s="7">
        <v>64295</v>
      </c>
      <c r="F10" s="7">
        <v>67407</v>
      </c>
    </row>
    <row r="11" spans="1:6" ht="15" customHeight="1" x14ac:dyDescent="0.3">
      <c r="A11" s="5" t="s">
        <v>34</v>
      </c>
      <c r="B11" s="7">
        <v>4065</v>
      </c>
      <c r="C11" s="7">
        <v>4604</v>
      </c>
      <c r="D11" s="7">
        <v>5023</v>
      </c>
      <c r="E11" s="7">
        <v>4984</v>
      </c>
      <c r="F11" s="7">
        <v>5242</v>
      </c>
    </row>
    <row r="12" spans="1:6" ht="15" customHeight="1" x14ac:dyDescent="0.3">
      <c r="A12" s="5" t="s">
        <v>35</v>
      </c>
      <c r="B12" s="7">
        <v>42481</v>
      </c>
      <c r="C12" s="7">
        <v>48453</v>
      </c>
      <c r="D12" s="7">
        <v>54237</v>
      </c>
      <c r="E12" s="7">
        <v>59311</v>
      </c>
      <c r="F12" s="7">
        <v>62165</v>
      </c>
    </row>
    <row r="13" spans="1:6" ht="15" customHeight="1" x14ac:dyDescent="0.3">
      <c r="A13" s="5" t="s">
        <v>36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</row>
    <row r="14" spans="1:6" ht="15" customHeight="1" x14ac:dyDescent="0.3">
      <c r="A14" s="5" t="s">
        <v>37</v>
      </c>
      <c r="B14" s="7">
        <v>44978</v>
      </c>
      <c r="C14" s="7">
        <v>51687</v>
      </c>
      <c r="D14" s="7">
        <v>56907</v>
      </c>
      <c r="E14" s="7">
        <v>63038</v>
      </c>
      <c r="F14" s="7">
        <v>65331</v>
      </c>
    </row>
    <row r="15" spans="1:6" ht="15" customHeight="1" x14ac:dyDescent="0.3">
      <c r="A15" s="5" t="s">
        <v>38</v>
      </c>
      <c r="B15" s="7">
        <v>11458</v>
      </c>
      <c r="C15" s="7">
        <v>13238</v>
      </c>
      <c r="D15" s="7">
        <v>14604</v>
      </c>
      <c r="E15" s="7">
        <v>16262</v>
      </c>
      <c r="F15" s="7">
        <v>16534</v>
      </c>
    </row>
    <row r="16" spans="1:6" ht="15" customHeight="1" x14ac:dyDescent="0.3">
      <c r="A16" s="5" t="s">
        <v>39</v>
      </c>
      <c r="B16" s="7">
        <v>33388</v>
      </c>
      <c r="C16" s="7">
        <v>38327</v>
      </c>
      <c r="D16" s="7">
        <v>42147</v>
      </c>
      <c r="E16" s="7">
        <v>46585</v>
      </c>
      <c r="F16" s="7">
        <v>48553</v>
      </c>
    </row>
    <row r="18" spans="1:1" ht="15" customHeight="1" x14ac:dyDescent="0.3">
      <c r="A18" s="8"/>
    </row>
    <row r="19" spans="1:1" ht="15" customHeight="1" x14ac:dyDescent="0.3">
      <c r="A19" s="8" t="s">
        <v>40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36" customWidth="1"/>
    <col min="2" max="6" width="13" customWidth="1"/>
  </cols>
  <sheetData>
    <row r="1" spans="1:6" ht="17.25" customHeight="1" x14ac:dyDescent="0.3">
      <c r="A1" s="1" t="s">
        <v>41</v>
      </c>
      <c r="B1" s="1"/>
      <c r="C1" s="1"/>
      <c r="D1" s="1"/>
      <c r="E1" s="1"/>
      <c r="F1" s="1"/>
    </row>
    <row r="3" spans="1:6" ht="15" customHeight="1" x14ac:dyDescent="0.3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</row>
    <row r="4" spans="1:6" ht="15" customHeight="1" x14ac:dyDescent="0.3">
      <c r="A4" s="5" t="s">
        <v>42</v>
      </c>
      <c r="B4" s="7">
        <v>370</v>
      </c>
      <c r="C4" s="7">
        <v>366</v>
      </c>
      <c r="D4" s="7">
        <v>366</v>
      </c>
      <c r="E4" s="7">
        <v>362</v>
      </c>
      <c r="F4" s="7">
        <v>362</v>
      </c>
    </row>
    <row r="5" spans="1:6" ht="15" customHeight="1" x14ac:dyDescent="0.3">
      <c r="A5" s="5" t="s">
        <v>43</v>
      </c>
      <c r="B5" s="7">
        <v>88185</v>
      </c>
      <c r="C5" s="7">
        <v>90893</v>
      </c>
      <c r="D5" s="7">
        <v>92176</v>
      </c>
      <c r="E5" s="7">
        <v>92250</v>
      </c>
      <c r="F5" s="7">
        <v>96520</v>
      </c>
    </row>
    <row r="6" spans="1:6" ht="15" customHeight="1" x14ac:dyDescent="0.3">
      <c r="A6" s="5" t="s">
        <v>44</v>
      </c>
      <c r="B6" s="7">
        <v>89230</v>
      </c>
      <c r="C6" s="7">
        <v>91966</v>
      </c>
      <c r="D6" s="7">
        <v>93324</v>
      </c>
      <c r="E6" s="7">
        <v>93442</v>
      </c>
      <c r="F6" s="7">
        <v>97897</v>
      </c>
    </row>
    <row r="7" spans="1:6" ht="15" customHeight="1" x14ac:dyDescent="0.3">
      <c r="A7" s="5" t="s">
        <v>45</v>
      </c>
      <c r="B7" s="7">
        <v>6503</v>
      </c>
      <c r="C7" s="7">
        <v>6368</v>
      </c>
      <c r="D7" s="7">
        <v>6203</v>
      </c>
      <c r="E7" s="7">
        <v>6516</v>
      </c>
      <c r="F7" s="7">
        <v>7838</v>
      </c>
    </row>
    <row r="8" spans="1:6" ht="15" customHeight="1" x14ac:dyDescent="0.3">
      <c r="A8" s="5" t="s">
        <v>46</v>
      </c>
      <c r="B8" s="7">
        <v>0</v>
      </c>
      <c r="C8" s="7">
        <v>0</v>
      </c>
      <c r="D8" s="7">
        <v>0</v>
      </c>
      <c r="E8" s="7">
        <v>0</v>
      </c>
      <c r="F8" s="7">
        <v>0</v>
      </c>
    </row>
    <row r="9" spans="1:6" ht="15" customHeight="1" x14ac:dyDescent="0.3">
      <c r="A9" s="5" t="s">
        <v>47</v>
      </c>
      <c r="B9" s="7">
        <v>7860</v>
      </c>
      <c r="C9" s="7">
        <v>8045</v>
      </c>
      <c r="D9" s="7">
        <v>10515</v>
      </c>
      <c r="E9" s="7">
        <v>9981</v>
      </c>
      <c r="F9" s="7">
        <v>13909</v>
      </c>
    </row>
    <row r="10" spans="1:6" ht="15" customHeight="1" x14ac:dyDescent="0.3">
      <c r="A10" s="5" t="s">
        <v>48</v>
      </c>
      <c r="B10" s="7">
        <v>26295</v>
      </c>
      <c r="C10" s="7">
        <v>34306</v>
      </c>
      <c r="D10" s="7">
        <v>33043</v>
      </c>
      <c r="E10" s="7">
        <v>36123</v>
      </c>
      <c r="F10" s="7">
        <v>39092</v>
      </c>
    </row>
    <row r="11" spans="1:6" ht="15" customHeight="1" x14ac:dyDescent="0.3">
      <c r="A11" s="5" t="s">
        <v>49</v>
      </c>
      <c r="B11" s="7">
        <v>34155</v>
      </c>
      <c r="C11" s="7">
        <v>42351</v>
      </c>
      <c r="D11" s="7">
        <v>43558</v>
      </c>
      <c r="E11" s="7">
        <v>46104</v>
      </c>
      <c r="F11" s="7">
        <v>53001</v>
      </c>
    </row>
    <row r="12" spans="1:6" ht="15" customHeight="1" x14ac:dyDescent="0.3">
      <c r="A12" s="5" t="s">
        <v>50</v>
      </c>
      <c r="B12" s="7">
        <v>6503</v>
      </c>
      <c r="C12" s="7">
        <v>6368</v>
      </c>
      <c r="D12" s="7">
        <v>6203</v>
      </c>
      <c r="E12" s="7">
        <v>6516</v>
      </c>
      <c r="F12" s="7">
        <v>7838</v>
      </c>
    </row>
    <row r="13" spans="1:6" ht="15" customHeight="1" x14ac:dyDescent="0.3">
      <c r="A13" s="5" t="s">
        <v>51</v>
      </c>
      <c r="B13" s="7">
        <v>2993</v>
      </c>
      <c r="C13" s="7">
        <v>2949</v>
      </c>
      <c r="D13" s="7">
        <v>2684</v>
      </c>
      <c r="E13" s="7">
        <v>2510</v>
      </c>
      <c r="F13" s="7">
        <v>3019</v>
      </c>
    </row>
    <row r="14" spans="1:6" ht="15" customHeight="1" x14ac:dyDescent="0.3">
      <c r="A14" s="5" t="s">
        <v>52</v>
      </c>
      <c r="B14" s="7">
        <v>43651</v>
      </c>
      <c r="C14" s="7">
        <v>51668</v>
      </c>
      <c r="D14" s="7">
        <v>52445</v>
      </c>
      <c r="E14" s="7">
        <v>55130</v>
      </c>
      <c r="F14" s="7">
        <v>63858</v>
      </c>
    </row>
    <row r="15" spans="1:6" ht="15" customHeight="1" x14ac:dyDescent="0.3">
      <c r="A15" s="5" t="s">
        <v>53</v>
      </c>
      <c r="B15" s="7">
        <v>24196</v>
      </c>
      <c r="C15" s="7">
        <v>24752</v>
      </c>
      <c r="D15" s="7">
        <v>24028</v>
      </c>
      <c r="E15" s="7">
        <v>23609</v>
      </c>
      <c r="F15" s="7">
        <v>27171</v>
      </c>
    </row>
    <row r="16" spans="1:6" ht="15" customHeight="1" x14ac:dyDescent="0.3">
      <c r="A16" s="5" t="s">
        <v>54</v>
      </c>
      <c r="B16" s="7">
        <v>9120</v>
      </c>
      <c r="C16" s="7">
        <v>17995</v>
      </c>
      <c r="D16" s="7">
        <v>10347</v>
      </c>
      <c r="E16" s="7">
        <v>12815</v>
      </c>
      <c r="F16" s="7">
        <v>14557</v>
      </c>
    </row>
    <row r="17" spans="1:6" ht="15" customHeight="1" x14ac:dyDescent="0.3">
      <c r="A17" s="5" t="s">
        <v>55</v>
      </c>
      <c r="B17" s="7">
        <v>30134</v>
      </c>
      <c r="C17" s="7">
        <v>34219</v>
      </c>
      <c r="D17" s="7">
        <v>41198</v>
      </c>
      <c r="E17" s="7">
        <v>44561</v>
      </c>
      <c r="F17" s="7">
        <v>50233</v>
      </c>
    </row>
    <row r="18" spans="1:6" ht="15" customHeight="1" x14ac:dyDescent="0.3">
      <c r="A18" s="5" t="s">
        <v>56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</row>
    <row r="19" spans="1:6" ht="15" customHeight="1" x14ac:dyDescent="0.3">
      <c r="A19" s="5" t="s">
        <v>57</v>
      </c>
      <c r="B19" s="7">
        <v>60026</v>
      </c>
      <c r="C19" s="7">
        <v>56096</v>
      </c>
      <c r="D19" s="7">
        <v>58725</v>
      </c>
      <c r="E19" s="7">
        <v>55608</v>
      </c>
      <c r="F19" s="7">
        <v>58221</v>
      </c>
    </row>
    <row r="20" spans="1:6" ht="15" customHeight="1" x14ac:dyDescent="0.3">
      <c r="A20" s="5" t="s">
        <v>58</v>
      </c>
      <c r="B20" s="7">
        <v>99280</v>
      </c>
      <c r="C20" s="7">
        <v>108310</v>
      </c>
      <c r="D20" s="7">
        <v>110270</v>
      </c>
      <c r="E20" s="7">
        <v>112984</v>
      </c>
      <c r="F20" s="7">
        <v>123011</v>
      </c>
    </row>
    <row r="21" spans="1:6" ht="15" customHeight="1" x14ac:dyDescent="0.3">
      <c r="A21" s="5" t="s">
        <v>59</v>
      </c>
      <c r="B21" s="7">
        <v>132881</v>
      </c>
      <c r="C21" s="7">
        <v>143634</v>
      </c>
      <c r="D21" s="7">
        <v>145769</v>
      </c>
      <c r="E21" s="7">
        <v>148572</v>
      </c>
      <c r="F21" s="7">
        <v>161755</v>
      </c>
    </row>
    <row r="23" spans="1:6" ht="15" customHeight="1" x14ac:dyDescent="0.3">
      <c r="A23" s="8"/>
    </row>
    <row r="24" spans="1:6" ht="15" customHeight="1" x14ac:dyDescent="0.3">
      <c r="A24" s="8" t="s">
        <v>60</v>
      </c>
    </row>
    <row r="26" spans="1:6" ht="14.25" customHeight="1" x14ac:dyDescent="0.3">
      <c r="A26" s="8" t="s">
        <v>61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36" customWidth="1"/>
    <col min="2" max="6" width="13" customWidth="1"/>
  </cols>
  <sheetData>
    <row r="1" spans="1:6" ht="17.25" customHeight="1" x14ac:dyDescent="0.3">
      <c r="A1" s="1" t="s">
        <v>62</v>
      </c>
      <c r="B1" s="1"/>
      <c r="C1" s="1"/>
      <c r="D1" s="1"/>
      <c r="E1" s="1"/>
      <c r="F1" s="1"/>
    </row>
    <row r="3" spans="1:6" ht="15" customHeight="1" x14ac:dyDescent="0.3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</row>
    <row r="4" spans="1:6" ht="15" customHeight="1" x14ac:dyDescent="0.3">
      <c r="A4" s="5" t="s">
        <v>63</v>
      </c>
      <c r="B4" s="7"/>
      <c r="C4" s="7"/>
      <c r="D4" s="7"/>
      <c r="E4" s="7"/>
      <c r="F4" s="7"/>
    </row>
    <row r="5" spans="1:6" ht="15" customHeight="1" x14ac:dyDescent="0.3">
      <c r="A5" s="5" t="s">
        <v>64</v>
      </c>
      <c r="B5" s="7"/>
      <c r="C5" s="7"/>
      <c r="D5" s="7"/>
      <c r="E5" s="7"/>
      <c r="F5" s="7"/>
    </row>
    <row r="6" spans="1:6" ht="15" customHeight="1" x14ac:dyDescent="0.3">
      <c r="A6" s="5" t="s">
        <v>65</v>
      </c>
      <c r="B6" s="7"/>
      <c r="C6" s="7"/>
      <c r="D6" s="7"/>
      <c r="E6" s="7"/>
      <c r="F6" s="7"/>
    </row>
    <row r="7" spans="1:6" ht="15" customHeight="1" x14ac:dyDescent="0.3">
      <c r="A7" s="5" t="s">
        <v>66</v>
      </c>
      <c r="B7" s="7"/>
      <c r="C7" s="7"/>
      <c r="D7" s="7"/>
      <c r="E7" s="7"/>
      <c r="F7" s="7"/>
    </row>
    <row r="9" spans="1:6" ht="15" customHeight="1" x14ac:dyDescent="0.3">
      <c r="A9" s="9" t="s">
        <v>67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7" sqref="H7"/>
    </sheetView>
  </sheetViews>
  <sheetFormatPr defaultColWidth="8.6640625" defaultRowHeight="14.4" x14ac:dyDescent="0.3"/>
  <cols>
    <col min="1" max="1" width="36" customWidth="1"/>
    <col min="2" max="6" width="13" customWidth="1"/>
  </cols>
  <sheetData>
    <row r="1" spans="1:6" ht="17.25" customHeight="1" x14ac:dyDescent="0.3">
      <c r="A1" s="1" t="s">
        <v>68</v>
      </c>
      <c r="B1" s="1"/>
      <c r="C1" s="1"/>
      <c r="D1" s="1"/>
      <c r="E1" s="1"/>
      <c r="F1" s="1"/>
    </row>
    <row r="3" spans="1:6" ht="15" customHeight="1" x14ac:dyDescent="0.3">
      <c r="A3" s="6" t="s">
        <v>69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</row>
    <row r="4" spans="1:6" ht="15" customHeight="1" x14ac:dyDescent="0.3">
      <c r="A4" s="10" t="s">
        <v>70</v>
      </c>
      <c r="B4" s="11"/>
      <c r="C4" s="11"/>
      <c r="D4" s="11"/>
      <c r="E4" s="11"/>
      <c r="F4" s="11"/>
    </row>
    <row r="5" spans="1:6" ht="15" customHeight="1" x14ac:dyDescent="0.3">
      <c r="A5" s="5" t="s">
        <v>71</v>
      </c>
      <c r="B5" s="12">
        <f>IFERROR('Raw Data - BS'!B20/'Raw Data - BS'!B11,0)</f>
        <v>2.9067486458790808</v>
      </c>
      <c r="C5" s="12">
        <f>IFERROR('Raw Data - BS'!C20/'Raw Data - BS'!C11,0)</f>
        <v>2.5574366602913745</v>
      </c>
      <c r="D5" s="12">
        <f>IFERROR('Raw Data - BS'!D20/'Raw Data - BS'!D11,0)</f>
        <v>2.5315671059277287</v>
      </c>
      <c r="E5" s="12">
        <f>IFERROR('Raw Data - BS'!E20/'Raw Data - BS'!E11,0)</f>
        <v>2.4506333506854068</v>
      </c>
      <c r="F5" s="12">
        <f>IFERROR('Raw Data - BS'!F20/'Raw Data - BS'!F11,0)</f>
        <v>2.3209184732363539</v>
      </c>
    </row>
    <row r="6" spans="1:6" ht="15" customHeight="1" x14ac:dyDescent="0.3">
      <c r="A6" s="5" t="s">
        <v>72</v>
      </c>
      <c r="B6" s="12">
        <f>('Raw Data - BS'!B16 + 'Raw Data - BS'!B17) / 'Raw Data - BS'!B11</f>
        <v>1.1492900014639145</v>
      </c>
      <c r="C6" s="12">
        <f>('Raw Data - BS'!C16 + 'Raw Data - BS'!C17) / 'Raw Data - BS'!C11</f>
        <v>1.2328870628792707</v>
      </c>
      <c r="D6" s="12">
        <f>('Raw Data - BS'!D16 + 'Raw Data - BS'!D17) / 'Raw Data - BS'!D11</f>
        <v>1.1833647091234676</v>
      </c>
      <c r="E6" s="12">
        <f>('Raw Data - BS'!E16 + 'Raw Data - BS'!E17) / 'Raw Data - BS'!E11</f>
        <v>1.2444907166406385</v>
      </c>
      <c r="F6" s="12">
        <f>('Raw Data - BS'!F16 + 'Raw Data - BS'!F17) / 'Raw Data - BS'!F11</f>
        <v>1.2224297654761231</v>
      </c>
    </row>
    <row r="8" spans="1:6" ht="15" customHeight="1" x14ac:dyDescent="0.3">
      <c r="A8" s="10" t="s">
        <v>73</v>
      </c>
      <c r="B8" s="11"/>
      <c r="C8" s="11"/>
      <c r="D8" s="11"/>
      <c r="E8" s="11"/>
      <c r="F8" s="11"/>
    </row>
    <row r="9" spans="1:6" ht="15" customHeight="1" x14ac:dyDescent="0.3">
      <c r="A9" s="5" t="s">
        <v>74</v>
      </c>
      <c r="B9" s="13">
        <f>IFERROR('Raw Data - PL'!B16/'Raw Data - PL'!B4,0)</f>
        <v>0.20336587950809187</v>
      </c>
      <c r="C9" s="13">
        <f>IFERROR('Raw Data - PL'!C16/'Raw Data - PL'!C4,0)</f>
        <v>0.19987588264130082</v>
      </c>
      <c r="D9" s="13">
        <f>IFERROR('Raw Data - PL'!D16/'Raw Data - PL'!D4,0)</f>
        <v>0.18693947431450647</v>
      </c>
      <c r="E9" s="13">
        <f>IFERROR('Raw Data - PL'!E16/'Raw Data - PL'!E4,0)</f>
        <v>0.19338461474596605</v>
      </c>
      <c r="F9" s="13">
        <f>IFERROR('Raw Data - PL'!F16/'Raw Data - PL'!F4,0)</f>
        <v>0.1901623035828986</v>
      </c>
    </row>
    <row r="10" spans="1:6" ht="15" customHeight="1" x14ac:dyDescent="0.3">
      <c r="A10" s="5" t="s">
        <v>75</v>
      </c>
      <c r="B10" s="13">
        <f>IFERROR('Raw Data - PL'!B10/'Raw Data - PL'!B4,0)</f>
        <v>0.28351108864213626</v>
      </c>
      <c r="C10" s="13">
        <f>IFERROR('Raw Data - PL'!C10/'Raw Data - PL'!C4,0)</f>
        <v>0.27669305464292793</v>
      </c>
      <c r="D10" s="13">
        <f>IFERROR('Raw Data - PL'!D10/'Raw Data - PL'!D4,0)</f>
        <v>0.26284274676436409</v>
      </c>
      <c r="E10" s="13">
        <f>IFERROR('Raw Data - PL'!E10/'Raw Data - PL'!E4,0)</f>
        <v>0.26690273274856474</v>
      </c>
      <c r="F10" s="13">
        <f>IFERROR('Raw Data - PL'!F10/'Raw Data - PL'!F4,0)</f>
        <v>0.26400573389105608</v>
      </c>
    </row>
    <row r="11" spans="1:6" ht="15" customHeight="1" x14ac:dyDescent="0.3">
      <c r="A11" s="5" t="s">
        <v>76</v>
      </c>
      <c r="B11" s="13">
        <f>IFERROR('Raw Data - PL'!B16/'Raw Data - BS'!B6,0)</f>
        <v>0.37417908775075648</v>
      </c>
      <c r="C11" s="13">
        <f>IFERROR('Raw Data - PL'!C16/'Raw Data - BS'!C6,0)</f>
        <v>0.41675184307243979</v>
      </c>
      <c r="D11" s="13">
        <f>IFERROR('Raw Data - PL'!D16/'Raw Data - BS'!D6,0)</f>
        <v>0.45162016201620164</v>
      </c>
      <c r="E11" s="13">
        <f>IFERROR('Raw Data - PL'!E16/'Raw Data - BS'!E6,0)</f>
        <v>0.49854455170052009</v>
      </c>
      <c r="F11" s="13">
        <f>IFERROR('Raw Data - PL'!F16/'Raw Data - BS'!F6,0)</f>
        <v>0.49596003963349233</v>
      </c>
    </row>
    <row r="12" spans="1:6" ht="15" customHeight="1" x14ac:dyDescent="0.3">
      <c r="A12" s="5" t="s">
        <v>77</v>
      </c>
      <c r="B12" s="13">
        <f>IFERROR('Raw Data - PL'!B16/'Raw Data - BS'!B21,0)</f>
        <v>0.25126240771818392</v>
      </c>
      <c r="C12" s="13">
        <f>IFERROR('Raw Data - PL'!C16/'Raw Data - BS'!C21,0)</f>
        <v>0.2668379353077962</v>
      </c>
      <c r="D12" s="13">
        <f>IFERROR('Raw Data - PL'!D16/'Raw Data - BS'!D21,0)</f>
        <v>0.28913555008266506</v>
      </c>
      <c r="E12" s="13">
        <f>IFERROR('Raw Data - PL'!E16/'Raw Data - BS'!E21,0)</f>
        <v>0.31355167864738981</v>
      </c>
      <c r="F12" s="13">
        <f>IFERROR('Raw Data - PL'!F16/'Raw Data - BS'!F21,0)</f>
        <v>0.30016382801149888</v>
      </c>
    </row>
    <row r="14" spans="1:6" ht="15" customHeight="1" x14ac:dyDescent="0.3">
      <c r="A14" s="10" t="s">
        <v>78</v>
      </c>
      <c r="B14" s="11"/>
      <c r="C14" s="11"/>
      <c r="D14" s="11"/>
      <c r="E14" s="11"/>
      <c r="F14" s="11"/>
    </row>
    <row r="15" spans="1:6" ht="15" customHeight="1" x14ac:dyDescent="0.3">
      <c r="A15" s="5" t="s">
        <v>79</v>
      </c>
      <c r="B15" s="12">
        <f>IFERROR('Raw Data - BS'!B12/'Raw Data - BS'!B6,0)</f>
        <v>7.2879076543763313E-2</v>
      </c>
      <c r="C15" s="12">
        <f>IFERROR('Raw Data - BS'!C12/'Raw Data - BS'!C6,0)</f>
        <v>6.9242981101711495E-2</v>
      </c>
      <c r="D15" s="12">
        <f>IFERROR('Raw Data - BS'!D12/'Raw Data - BS'!D6,0)</f>
        <v>6.6467361021816468E-2</v>
      </c>
      <c r="E15" s="12">
        <f>IFERROR('Raw Data - BS'!E12/'Raw Data - BS'!E6,0)</f>
        <v>6.9733096466257138E-2</v>
      </c>
      <c r="F15" s="12">
        <f>IFERROR('Raw Data - BS'!F12/'Raw Data - BS'!F6,0)</f>
        <v>8.0063740461914057E-2</v>
      </c>
    </row>
    <row r="16" spans="1:6" ht="15" customHeight="1" x14ac:dyDescent="0.3">
      <c r="A16" s="5" t="s">
        <v>80</v>
      </c>
      <c r="B16" s="12">
        <f>IFERROR('Raw Data - PL'!B12/'Raw Data - PL'!B13,0)</f>
        <v>0</v>
      </c>
      <c r="C16" s="12">
        <f>IFERROR('Raw Data - PL'!C12/'Raw Data - PL'!C13,0)</f>
        <v>0</v>
      </c>
      <c r="D16" s="12">
        <f>IFERROR('Raw Data - PL'!D12/'Raw Data - PL'!D13,0)</f>
        <v>0</v>
      </c>
      <c r="E16" s="12">
        <f>IFERROR('Raw Data - PL'!E12/'Raw Data - PL'!E13,0)</f>
        <v>0</v>
      </c>
      <c r="F16" s="12">
        <f>IFERROR('Raw Data - PL'!F12/'Raw Data - PL'!F13,0)</f>
        <v>0</v>
      </c>
    </row>
    <row r="18" spans="1:6" ht="15" customHeight="1" x14ac:dyDescent="0.3">
      <c r="A18" s="10" t="s">
        <v>81</v>
      </c>
      <c r="B18" s="11"/>
      <c r="C18" s="11"/>
      <c r="D18" s="11"/>
      <c r="E18" s="11"/>
      <c r="F18" s="11"/>
    </row>
    <row r="19" spans="1:6" ht="15" customHeight="1" x14ac:dyDescent="0.3">
      <c r="A19" s="5" t="s">
        <v>82</v>
      </c>
      <c r="B19" s="12">
        <f>IFERROR('Raw Data - PL'!B4/'Raw Data - BS'!B21,0)</f>
        <v>1.2355189982013983</v>
      </c>
      <c r="C19" s="12">
        <f>IFERROR('Raw Data - PL'!C4/'Raw Data - BS'!C21,0)</f>
        <v>1.3350181711850955</v>
      </c>
      <c r="D19" s="12">
        <f>IFERROR('Raw Data - PL'!D4/'Raw Data - BS'!D21,0)</f>
        <v>1.546680021129321</v>
      </c>
      <c r="E19" s="12">
        <f>IFERROR('Raw Data - PL'!E4/'Raw Data - BS'!E21,0)</f>
        <v>1.6213889561963224</v>
      </c>
      <c r="F19" s="12">
        <f>IFERROR('Raw Data - PL'!F4/'Raw Data - BS'!F21,0)</f>
        <v>1.5784612531297333</v>
      </c>
    </row>
    <row r="20" spans="1:6" ht="15" customHeight="1" x14ac:dyDescent="0.3">
      <c r="A20" s="5" t="s">
        <v>83</v>
      </c>
      <c r="B20" s="12">
        <f>IFERROR('Raw Data - PL'!B4/'Raw Data - BS'!B18,0)</f>
        <v>0</v>
      </c>
      <c r="C20" s="12">
        <f>IFERROR('Raw Data - PL'!C4/'Raw Data - BS'!C18,0)</f>
        <v>0</v>
      </c>
      <c r="D20" s="12">
        <f>IFERROR('Raw Data - PL'!D4/'Raw Data - BS'!D18,0)</f>
        <v>0</v>
      </c>
      <c r="E20" s="12">
        <f>IFERROR('Raw Data - PL'!E4/'Raw Data - BS'!E18,0)</f>
        <v>0</v>
      </c>
      <c r="F20" s="12">
        <f>IFERROR('Raw Data - PL'!F4/'Raw Data - BS'!F18,0)</f>
        <v>0</v>
      </c>
    </row>
    <row r="21" spans="1:6" ht="15" customHeight="1" x14ac:dyDescent="0.3">
      <c r="A21" s="5" t="s">
        <v>84</v>
      </c>
      <c r="B21" s="12">
        <f>IFERROR('Raw Data - PL'!B4/'Raw Data - BS'!B17,0)</f>
        <v>5.4482312338222609</v>
      </c>
      <c r="C21" s="12">
        <f>IFERROR('Raw Data - PL'!C4/'Raw Data - BS'!C17,0)</f>
        <v>5.6037289225284201</v>
      </c>
      <c r="D21" s="12">
        <f>IFERROR('Raw Data - PL'!D4/'Raw Data - BS'!D17,0)</f>
        <v>5.4725472110296618</v>
      </c>
      <c r="E21" s="12">
        <f>IFERROR('Raw Data - PL'!E4/'Raw Data - BS'!E17,0)</f>
        <v>5.405915486636296</v>
      </c>
      <c r="F21" s="12">
        <f>IFERROR('Raw Data - PL'!F4/'Raw Data - BS'!F17,0)</f>
        <v>5.0827941791252762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F1"/>
    </sheetView>
  </sheetViews>
  <sheetFormatPr defaultColWidth="8.6640625" defaultRowHeight="14.4" x14ac:dyDescent="0.3"/>
  <cols>
    <col min="1" max="1" width="36" customWidth="1"/>
    <col min="2" max="6" width="13" customWidth="1"/>
  </cols>
  <sheetData>
    <row r="1" spans="1:6" ht="17.25" customHeight="1" x14ac:dyDescent="0.3">
      <c r="A1" s="1" t="s">
        <v>85</v>
      </c>
      <c r="B1" s="1"/>
      <c r="C1" s="1"/>
      <c r="D1" s="1"/>
      <c r="E1" s="1"/>
      <c r="F1" s="1"/>
    </row>
    <row r="3" spans="1:6" ht="15" customHeight="1" x14ac:dyDescent="0.3">
      <c r="A3" s="6" t="s">
        <v>86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</row>
    <row r="4" spans="1:6" ht="15" customHeight="1" x14ac:dyDescent="0.3">
      <c r="A4" s="10" t="s">
        <v>87</v>
      </c>
      <c r="B4" s="11"/>
      <c r="C4" s="11"/>
      <c r="D4" s="11"/>
      <c r="E4" s="11"/>
      <c r="F4" s="11"/>
    </row>
    <row r="5" spans="1:6" ht="15" customHeight="1" x14ac:dyDescent="0.3">
      <c r="A5" s="5" t="s">
        <v>88</v>
      </c>
      <c r="B5" s="8" t="s">
        <v>89</v>
      </c>
      <c r="C5" s="13">
        <f>IFERROR(('Raw Data - PL'!C4-'Raw Data - PL'!B4)/'Raw Data - PL'!B4,0)</f>
        <v>0.16797115308478044</v>
      </c>
      <c r="D5" s="13">
        <f>IFERROR(('Raw Data - PL'!D4-'Raw Data - PL'!C4)/'Raw Data - PL'!C4,0)</f>
        <v>0.17576686796624844</v>
      </c>
      <c r="E5" s="13">
        <f>IFERROR(('Raw Data - PL'!E4-'Raw Data - PL'!D4)/'Raw Data - PL'!D4,0)</f>
        <v>6.8460644554639891E-2</v>
      </c>
      <c r="F5" s="13">
        <f>IFERROR(('Raw Data - PL'!F4-'Raw Data - PL'!E4)/'Raw Data - PL'!E4,0)</f>
        <v>5.9906265437351856E-2</v>
      </c>
    </row>
    <row r="6" spans="1:6" ht="15" customHeight="1" x14ac:dyDescent="0.3">
      <c r="A6" s="5" t="s">
        <v>90</v>
      </c>
      <c r="B6" s="8" t="s">
        <v>89</v>
      </c>
      <c r="C6" s="13">
        <f>IFERROR(('Raw Data - PL'!C10-'Raw Data - PL'!B10)/'Raw Data - PL'!B10,0)</f>
        <v>0.13988312636961286</v>
      </c>
      <c r="D6" s="13">
        <f>IFERROR(('Raw Data - PL'!D10-'Raw Data - PL'!C10)/'Raw Data - PL'!C10,0)</f>
        <v>0.11691200030156247</v>
      </c>
      <c r="E6" s="13">
        <f>IFERROR(('Raw Data - PL'!E10-'Raw Data - PL'!D10)/'Raw Data - PL'!D10,0)</f>
        <v>8.4964562942963215E-2</v>
      </c>
      <c r="F6" s="13">
        <f>IFERROR(('Raw Data - PL'!F10-'Raw Data - PL'!E10)/'Raw Data - PL'!E10,0)</f>
        <v>4.8401897503693912E-2</v>
      </c>
    </row>
    <row r="7" spans="1:6" ht="15" customHeight="1" x14ac:dyDescent="0.3">
      <c r="A7" s="5" t="s">
        <v>91</v>
      </c>
      <c r="B7" s="8" t="s">
        <v>89</v>
      </c>
      <c r="C7" s="13">
        <f>IFERROR(('Raw Data - PL'!C16-'Raw Data - PL'!B16)/'Raw Data - PL'!B16,0)</f>
        <v>0.14792739906553254</v>
      </c>
      <c r="D7" s="13">
        <f>IFERROR(('Raw Data - PL'!D16-'Raw Data - PL'!C16)/'Raw Data - PL'!C16,0)</f>
        <v>9.9668640905888797E-2</v>
      </c>
      <c r="E7" s="13">
        <f>IFERROR(('Raw Data - PL'!E16-'Raw Data - PL'!D16)/'Raw Data - PL'!D16,0)</f>
        <v>0.10529812323534296</v>
      </c>
      <c r="F7" s="13">
        <f>IFERROR(('Raw Data - PL'!F16-'Raw Data - PL'!E16)/'Raw Data - PL'!E16,0)</f>
        <v>4.2245357947837285E-2</v>
      </c>
    </row>
    <row r="8" spans="1:6" ht="15" customHeight="1" x14ac:dyDescent="0.3">
      <c r="A8" s="5" t="s">
        <v>92</v>
      </c>
      <c r="B8" s="8" t="s">
        <v>89</v>
      </c>
      <c r="C8" s="13">
        <f>IFERROR(('Raw Data - BS'!C21-'Raw Data - BS'!B21)/'Raw Data - BS'!B21,0)</f>
        <v>8.0922027979921887E-2</v>
      </c>
      <c r="D8" s="13">
        <f>IFERROR(('Raw Data - BS'!D21-'Raw Data - BS'!C21)/'Raw Data - BS'!C21,0)</f>
        <v>1.4864168650876534E-2</v>
      </c>
      <c r="E8" s="13">
        <f>IFERROR(('Raw Data - BS'!E21-'Raw Data - BS'!D21)/'Raw Data - BS'!D21,0)</f>
        <v>1.9229054188476289E-2</v>
      </c>
      <c r="F8" s="13">
        <f>IFERROR(('Raw Data - BS'!F21-'Raw Data - BS'!E21)/'Raw Data - BS'!E21,0)</f>
        <v>8.8731389494655796E-2</v>
      </c>
    </row>
    <row r="10" spans="1:6" ht="15" customHeight="1" x14ac:dyDescent="0.3">
      <c r="A10" s="10" t="s">
        <v>93</v>
      </c>
      <c r="B10" s="11"/>
      <c r="C10" s="11"/>
      <c r="D10" s="11"/>
      <c r="E10" s="11"/>
      <c r="F10" s="11"/>
    </row>
    <row r="11" spans="1:6" ht="15" customHeight="1" x14ac:dyDescent="0.3">
      <c r="A11" s="5" t="s">
        <v>94</v>
      </c>
      <c r="B11" s="13">
        <f>IFERROR('Raw Data - PL'!B9/'Raw Data - PL'!B4,0)</f>
        <v>0.74124877418883284</v>
      </c>
      <c r="C11" s="13">
        <f>IFERROR('Raw Data - PL'!C9/'Raw Data - PL'!C4,0)</f>
        <v>0.74731687474576802</v>
      </c>
      <c r="D11" s="13">
        <f>IFERROR('Raw Data - PL'!D9/'Raw Data - PL'!D4,0)</f>
        <v>0.75943634734629062</v>
      </c>
      <c r="E11" s="13">
        <f>IFERROR('Raw Data - PL'!E9/'Raw Data - PL'!E4,0)</f>
        <v>0.75378695105295712</v>
      </c>
      <c r="F11" s="13">
        <f>IFERROR('Raw Data - PL'!F9/'Raw Data - PL'!F4,0)</f>
        <v>0.75652504269085552</v>
      </c>
    </row>
    <row r="12" spans="1:6" ht="15" customHeight="1" x14ac:dyDescent="0.3">
      <c r="A12" s="5" t="s">
        <v>95</v>
      </c>
      <c r="B12" s="13">
        <f>IFERROR('Raw Data - PL'!B10/'Raw Data - PL'!B4,0)</f>
        <v>0.28351108864213626</v>
      </c>
      <c r="C12" s="13">
        <f>IFERROR('Raw Data - PL'!C10/'Raw Data - PL'!C4,0)</f>
        <v>0.27669305464292793</v>
      </c>
      <c r="D12" s="13">
        <f>IFERROR('Raw Data - PL'!D10/'Raw Data - PL'!D4,0)</f>
        <v>0.26284274676436409</v>
      </c>
      <c r="E12" s="13">
        <f>IFERROR('Raw Data - PL'!E10/'Raw Data - PL'!E4,0)</f>
        <v>0.26690273274856474</v>
      </c>
      <c r="F12" s="13">
        <f>IFERROR('Raw Data - PL'!F10/'Raw Data - PL'!F4,0)</f>
        <v>0.26400573389105608</v>
      </c>
    </row>
    <row r="13" spans="1:6" ht="15" customHeight="1" x14ac:dyDescent="0.3">
      <c r="A13" s="5" t="s">
        <v>96</v>
      </c>
      <c r="B13" s="13">
        <f>IFERROR('Raw Data - PL'!B12/'Raw Data - PL'!B4,0)</f>
        <v>0.25875122581116722</v>
      </c>
      <c r="C13" s="13">
        <f>IFERROR('Raw Data - PL'!C12/'Raw Data - PL'!C4,0)</f>
        <v>0.25268312525423198</v>
      </c>
      <c r="D13" s="13">
        <f>IFERROR('Raw Data - PL'!D12/'Raw Data - PL'!D4,0)</f>
        <v>0.24056365265370933</v>
      </c>
      <c r="E13" s="13">
        <f>IFERROR('Raw Data - PL'!E12/'Raw Data - PL'!E4,0)</f>
        <v>0.24621304894704288</v>
      </c>
      <c r="F13" s="13">
        <f>IFERROR('Raw Data - PL'!F12/'Raw Data - PL'!F4,0)</f>
        <v>0.24347495730914445</v>
      </c>
    </row>
    <row r="14" spans="1:6" ht="15" customHeight="1" x14ac:dyDescent="0.3">
      <c r="A14" s="5" t="s">
        <v>97</v>
      </c>
      <c r="B14" s="13">
        <f>IFERROR('Raw Data - PL'!B16/'Raw Data - PL'!B4,0)</f>
        <v>0.20336587950809187</v>
      </c>
      <c r="C14" s="13">
        <f>IFERROR('Raw Data - PL'!C16/'Raw Data - PL'!C4,0)</f>
        <v>0.19987588264130082</v>
      </c>
      <c r="D14" s="13">
        <f>IFERROR('Raw Data - PL'!D16/'Raw Data - PL'!D4,0)</f>
        <v>0.18693947431450647</v>
      </c>
      <c r="E14" s="13">
        <f>IFERROR('Raw Data - PL'!E16/'Raw Data - PL'!E4,0)</f>
        <v>0.19338461474596605</v>
      </c>
      <c r="F14" s="13">
        <f>IFERROR('Raw Data - PL'!F16/'Raw Data - PL'!F4,0)</f>
        <v>0.1901623035828986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zoomScaleNormal="100" workbookViewId="0">
      <selection activeCell="E7" sqref="E7"/>
    </sheetView>
  </sheetViews>
  <sheetFormatPr defaultColWidth="8.6640625" defaultRowHeight="14.4" x14ac:dyDescent="0.3"/>
  <cols>
    <col min="1" max="1" width="30" customWidth="1"/>
    <col min="2" max="2" width="90" customWidth="1"/>
  </cols>
  <sheetData>
    <row r="1" spans="1:2" ht="17.25" customHeight="1" x14ac:dyDescent="0.3">
      <c r="A1" s="2" t="s">
        <v>98</v>
      </c>
      <c r="B1" s="2"/>
    </row>
    <row r="3" spans="1:2" ht="15" customHeight="1" x14ac:dyDescent="0.3">
      <c r="A3" s="14" t="s">
        <v>99</v>
      </c>
      <c r="B3" s="14" t="s">
        <v>100</v>
      </c>
    </row>
    <row r="4" spans="1:2" ht="39.75" customHeight="1" x14ac:dyDescent="0.3">
      <c r="A4" s="5" t="s">
        <v>101</v>
      </c>
      <c r="B4" s="15" t="s">
        <v>102</v>
      </c>
    </row>
    <row r="5" spans="1:2" ht="39.75" customHeight="1" x14ac:dyDescent="0.3">
      <c r="A5" s="5" t="s">
        <v>103</v>
      </c>
      <c r="B5" s="15" t="s">
        <v>104</v>
      </c>
    </row>
    <row r="6" spans="1:2" ht="39.75" customHeight="1" x14ac:dyDescent="0.3">
      <c r="A6" s="5" t="s">
        <v>105</v>
      </c>
      <c r="B6" s="15" t="s">
        <v>106</v>
      </c>
    </row>
    <row r="7" spans="1:2" ht="39.75" customHeight="1" x14ac:dyDescent="0.3">
      <c r="A7" s="5" t="s">
        <v>107</v>
      </c>
      <c r="B7" s="15" t="s">
        <v>108</v>
      </c>
    </row>
    <row r="8" spans="1:2" ht="39.75" customHeight="1" x14ac:dyDescent="0.3">
      <c r="A8" s="5" t="s">
        <v>109</v>
      </c>
      <c r="B8" s="15" t="s">
        <v>110</v>
      </c>
    </row>
    <row r="9" spans="1:2" ht="39.75" customHeight="1" x14ac:dyDescent="0.3">
      <c r="A9" s="5" t="s">
        <v>111</v>
      </c>
      <c r="B9" s="15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Raw Data - PL</vt:lpstr>
      <vt:lpstr>Raw Data - BS</vt:lpstr>
      <vt:lpstr>Raw Data - CF</vt:lpstr>
      <vt:lpstr>Ratio Analysis</vt:lpstr>
      <vt:lpstr>Trend Analysis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Afifah Khatoon</cp:lastModifiedBy>
  <cp:revision>0</cp:revision>
  <dcterms:created xsi:type="dcterms:W3CDTF">2026-08-16T13:16:41Z</dcterms:created>
  <dcterms:modified xsi:type="dcterms:W3CDTF">2026-09-21T18:01:45Z</dcterms:modified>
  <dc:language>en-US</dc:language>
</cp:coreProperties>
</file>