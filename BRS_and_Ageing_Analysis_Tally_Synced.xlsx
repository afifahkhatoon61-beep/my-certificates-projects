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y_Bank_Ledger" sheetId="1" state="visible" r:id="rId3"/>
    <sheet name="Bank_Statement" sheetId="2" state="visible" r:id="rId4"/>
    <sheet name="BRS_Matching" sheetId="3" state="visible" r:id="rId5"/>
    <sheet name="BRS_Statement" sheetId="4" state="visible" r:id="rId6"/>
    <sheet name="AR_AP_Data" sheetId="5" state="visible" r:id="rId7"/>
    <sheet name="Ageing_Summary" sheetId="6" state="visible" r:id="rId8"/>
    <sheet name="Pivot_Steps" sheetId="7" state="visible" r:id="rId9"/>
  </sheets>
  <definedNames>
    <definedName function="false" hidden="true" localSheetId="4" name="_xlnm._FilterDatabase" vbProcedure="false">AR_AP_Data!$A$4:$I$10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<sst xmlns="http://schemas.openxmlformats.org/spreadsheetml/2006/main" count="159" uniqueCount="116">
  <si>
    <t xml:space="preserve">Tally Prime - HDFC Bank A/c Ledger (Books) - April 2026</t>
  </si>
  <si>
    <t xml:space="preserve">Both entries are from the Nexus Tech Tally data. Debit = money in, Credit = money out.</t>
  </si>
  <si>
    <t xml:space="preserve">Sr</t>
  </si>
  <si>
    <t xml:space="preserve">Date</t>
  </si>
  <si>
    <t xml:space="preserve">Vch Type</t>
  </si>
  <si>
    <t xml:space="preserve">Vch No</t>
  </si>
  <si>
    <t xml:space="preserve">Particulars</t>
  </si>
  <si>
    <t xml:space="preserve">Chq / Ref No</t>
  </si>
  <si>
    <t xml:space="preserve">Debit (Receipt)</t>
  </si>
  <si>
    <t xml:space="preserve">Credit (Payment)</t>
  </si>
  <si>
    <t xml:space="preserve">Net</t>
  </si>
  <si>
    <t xml:space="preserve">Running Balance</t>
  </si>
  <si>
    <t xml:space="preserve">Match Key (Ref|Net)</t>
  </si>
  <si>
    <t xml:space="preserve">Source</t>
  </si>
  <si>
    <t xml:space="preserve">Receipt</t>
  </si>
  <si>
    <t xml:space="preserve">1</t>
  </si>
  <si>
    <t xml:space="preserve">Share Capital A/c</t>
  </si>
  <si>
    <t xml:space="preserve">NEFT-CAP-001</t>
  </si>
  <si>
    <t xml:space="preserve">Tally (Receipt Vch 1)</t>
  </si>
  <si>
    <t xml:space="preserve">Payment</t>
  </si>
  <si>
    <t xml:space="preserve">Apex Office Realty (Rent 45,000 + TDS 5,000)</t>
  </si>
  <si>
    <t xml:space="preserve">CHQ100001</t>
  </si>
  <si>
    <t xml:space="preserve">Tally (Payment Vch 1)</t>
  </si>
  <si>
    <t xml:space="preserve">TOTAL / CLOSING BALANCE</t>
  </si>
  <si>
    <t xml:space="preserve">Legend: blue = input cells. Assumption: Payment Vch 1 is a single bank payment of Rs 50,000 (Apex rent 45,000 + TDS 5,000 deposited), as implied by the Tally Trial Balance (bank = 9,50,000).</t>
  </si>
  <si>
    <t xml:space="preserve">Chq / Ref No values are placeholders - replace with actual cheque numbers from Tally. Rows 5-9 hold up to 5 entries.</t>
  </si>
  <si>
    <t xml:space="preserve">HDFC Bank Statement (dummy) - April 2026</t>
  </si>
  <si>
    <t xml:space="preserve">Practice statement prepared to match the Tally entries. The rent cheque CHQ100001 is assumed not yet presented at month-end. Replace with the real statement when using actual data.</t>
  </si>
  <si>
    <t xml:space="preserve">Description</t>
  </si>
  <si>
    <t xml:space="preserve">Withdrawal</t>
  </si>
  <si>
    <t xml:space="preserve">Deposit</t>
  </si>
  <si>
    <t xml:space="preserve">Balance</t>
  </si>
  <si>
    <t xml:space="preserve">NEFT credit - share capital</t>
  </si>
  <si>
    <t xml:space="preserve">Assumption: opening bank balance is nil (company starts on 1-Apr-26). Blue = input cells.</t>
  </si>
  <si>
    <t xml:space="preserve">Bank Reconciliation - Entry Matching</t>
  </si>
  <si>
    <t xml:space="preserve">Match is on Chq/Ref No + amount (INDEX/MATCH on helper key). Section A: Tally entries vs bank. Section B: bank entries vs Tally.</t>
  </si>
  <si>
    <t xml:space="preserve">SECTION A: Entries in Tally Bank Ledger</t>
  </si>
  <si>
    <t xml:space="preserve">Tally Amount (+in / -out)</t>
  </si>
  <si>
    <t xml:space="preserve">In Bank?</t>
  </si>
  <si>
    <t xml:space="preserve">Bank Date</t>
  </si>
  <si>
    <t xml:space="preserve">Status</t>
  </si>
  <si>
    <t xml:space="preserve">Deposit in Transit</t>
  </si>
  <si>
    <t xml:space="preserve">Uncleared Cheque</t>
  </si>
  <si>
    <t xml:space="preserve">TOTAL</t>
  </si>
  <si>
    <t xml:space="preserve">SECTION B: Entries in Bank Statement</t>
  </si>
  <si>
    <t xml:space="preserve">Bank Amount (+in / -out)</t>
  </si>
  <si>
    <t xml:space="preserve">In Tally?</t>
  </si>
  <si>
    <t xml:space="preserve">Direct Credit not in Books</t>
  </si>
  <si>
    <t xml:space="preserve">Bank Charges / Debit not in Books</t>
  </si>
  <si>
    <t xml:space="preserve">Bank Reconciliation Statement - HDFC Bank A/c</t>
  </si>
  <si>
    <t xml:space="preserve">Nexus Tech Distribution Pvt. Ltd. | As on 30-Apr-2026 | Rs</t>
  </si>
  <si>
    <t xml:space="preserve">Amount (Rs)</t>
  </si>
  <si>
    <t xml:space="preserve">Balance as per Tally (Books)</t>
  </si>
  <si>
    <t xml:space="preserve">Less: Deposits in transit (recorded in Tally, not yet credited by bank)</t>
  </si>
  <si>
    <t xml:space="preserve">Add: Cheques issued but not presented (recorded in Tally, not yet debited by bank)</t>
  </si>
  <si>
    <t xml:space="preserve">Add: Direct credits in bank not yet recorded in Tally</t>
  </si>
  <si>
    <t xml:space="preserve">Less: Bank charges / direct debits in bank not yet recorded in Tally</t>
  </si>
  <si>
    <t xml:space="preserve">Balance as per Bank Statement (computed)</t>
  </si>
  <si>
    <t xml:space="preserve">Balance as per Bank Statement (actual)</t>
  </si>
  <si>
    <t xml:space="preserve">Difference (must be 0)</t>
  </si>
  <si>
    <t xml:space="preserve">Entries to pass in Tally (items in bank but not in books)</t>
  </si>
  <si>
    <t xml:space="preserve">Entry</t>
  </si>
  <si>
    <t xml:space="preserve">Receipt: Dr HDFC Bank A/c (direct credit from customer, NEFT)</t>
  </si>
  <si>
    <t xml:space="preserve">Payment: Cr HDFC Bank A/c (bank service charges)</t>
  </si>
  <si>
    <t xml:space="preserve">No entry is needed in Tally: every bank item is already recorded. The uncleared cheque needs no entry; set its bank date in Tally (Banking &gt; Bank Reconciliation) once the bank clears it.</t>
  </si>
  <si>
    <t xml:space="preserve">Open Invoices - Receivables and Payables</t>
  </si>
  <si>
    <t xml:space="preserve">All invoices are from the Nexus Tech Tally data (invoice nos. are placeholders). Days = As-on date minus Invoice date.</t>
  </si>
  <si>
    <t xml:space="preserve">Type</t>
  </si>
  <si>
    <t xml:space="preserve">Party</t>
  </si>
  <si>
    <t xml:space="preserve">Invoice No</t>
  </si>
  <si>
    <t xml:space="preserve">Invoice Date</t>
  </si>
  <si>
    <t xml:space="preserve">Outstanding Amount (Rs)</t>
  </si>
  <si>
    <t xml:space="preserve">Days Outstanding</t>
  </si>
  <si>
    <t xml:space="preserve">Bucket</t>
  </si>
  <si>
    <t xml:space="preserve">Receivable</t>
  </si>
  <si>
    <t xml:space="preserve">Infotech Solutions Ltd</t>
  </si>
  <si>
    <t xml:space="preserve">SI/26-27/001</t>
  </si>
  <si>
    <t xml:space="preserve">Tally (Sales Vch 1)</t>
  </si>
  <si>
    <t xml:space="preserve">Payable</t>
  </si>
  <si>
    <t xml:space="preserve">Delta Systems Pvt Ltd</t>
  </si>
  <si>
    <t xml:space="preserve">DS/26-27/001</t>
  </si>
  <si>
    <t xml:space="preserve">Tally (Purch Vch 1)</t>
  </si>
  <si>
    <t xml:space="preserve">Global Tech Traders</t>
  </si>
  <si>
    <t xml:space="preserve">GTT/26-27/001</t>
  </si>
  <si>
    <t xml:space="preserve">Tally (Purch Vch 2)</t>
  </si>
  <si>
    <t xml:space="preserve">Legend: blue = input cells. Type must be exactly "Receivable" or "Payable". Rows 5-10 hold up to 6 invoices. Change the As-on date on Ageing_Summary!C3.</t>
  </si>
  <si>
    <t xml:space="preserve">Ageing Analysis - Receivables and Payables</t>
  </si>
  <si>
    <t xml:space="preserve">Built with SUMIFS on AR_AP_Data (gives the same result as a PivotTable; steps to build a real PivotTable are on the Pivot_Steps sheet).</t>
  </si>
  <si>
    <t xml:space="preserve">As-on date</t>
  </si>
  <si>
    <t xml:space="preserve">Change this date to re-age all invoices (assumption: month-end 30-Apr-26).</t>
  </si>
  <si>
    <t xml:space="preserve">A. ACCOUNTS RECEIVABLE AGEING (amount due from customers)</t>
  </si>
  <si>
    <t xml:space="preserve">0-30 days</t>
  </si>
  <si>
    <t xml:space="preserve">31-60 days</t>
  </si>
  <si>
    <t xml:space="preserve">60+ days</t>
  </si>
  <si>
    <t xml:space="preserve">Total</t>
  </si>
  <si>
    <t xml:space="preserve">% of Total</t>
  </si>
  <si>
    <t xml:space="preserve">B. ACCOUNTS PAYABLE AGEING (amount due to vendors)</t>
  </si>
  <si>
    <t xml:space="preserve">C. NET RECEIVABLES / PAYABLES POSITION</t>
  </si>
  <si>
    <t xml:space="preserve">Receivables</t>
  </si>
  <si>
    <t xml:space="preserve">Payables</t>
  </si>
  <si>
    <t xml:space="preserve">Net (Receivables - Payables)</t>
  </si>
  <si>
    <t xml:space="preserve">Checks</t>
  </si>
  <si>
    <t xml:space="preserve">Receivable total - AR_AP_Data total (must be 0)</t>
  </si>
  <si>
    <t xml:space="preserve">Payable total - AR_AP_Data total (must be 0)</t>
  </si>
  <si>
    <t xml:space="preserve">Note: if you add a new party in AR_AP_Data, add its name in column A of the table above, otherwise the check cell will show a difference.</t>
  </si>
  <si>
    <t xml:space="preserve">How to create the real PivotTable (Excel)</t>
  </si>
  <si>
    <t xml:space="preserve">Do this on the AR_AP_Data sheet after the SUMIFS ageing is working. It should give the same totals.</t>
  </si>
  <si>
    <t xml:space="preserve">Step</t>
  </si>
  <si>
    <t xml:space="preserve">What to do</t>
  </si>
  <si>
    <t xml:space="preserve">Click any cell inside the table on AR_AP_Data (for example C5).</t>
  </si>
  <si>
    <t xml:space="preserve">Go to Insert &gt; PivotTable &gt; From Table/Range &gt; choose a New Worksheet &gt; OK.</t>
  </si>
  <si>
    <t xml:space="preserve">Drag Type to Filters, Party to Rows, Bucket to Columns, and Outstanding Amount (Rs) to Values (Sum).</t>
  </si>
  <si>
    <t xml:space="preserve">Use the Type filter: select Receivable for AR ageing, then Payable for AP ageing. Compare totals with Ageing_Summary.</t>
  </si>
  <si>
    <t xml:space="preserve">Optional: Insert &gt; PivotChart &gt; Clustered Column to show the ageing buckets as a chart.</t>
  </si>
  <si>
    <t xml:space="preserve">If blank rows appear in the PivotTable, untick (blank) in the Rows or Columns filter.</t>
  </si>
  <si>
    <t xml:space="preserve">After editing data, right-click the PivotTable &gt; Refresh.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</si>
</sst>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;\(#,##0\);\-"/>
    <numFmt numFmtId="167" formatCode="General"/>
    <numFmt numFmtId="168" formatCode="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BDD7E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4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5" t="n">
        <v>46113</v>
      </c>
      <c r="C5" s="6" t="s">
        <v>14</v>
      </c>
      <c r="D5" s="6" t="s">
        <v>15</v>
      </c>
      <c r="E5" s="6" t="s">
        <v>16</v>
      </c>
      <c r="F5" s="6" t="s">
        <v>17</v>
      </c>
      <c r="G5" s="7" t="n">
        <v>1000000</v>
      </c>
      <c r="H5" s="8"/>
      <c r="I5" s="8" t="n">
        <f aca="false">IF(AND(G5="",H5=""),"",N(G5)-N(H5))</f>
        <v>1000000</v>
      </c>
      <c r="J5" s="8" t="n">
        <f aca="false">IF(I5="","",SUM(I$5:I5))</f>
        <v>1000000</v>
      </c>
      <c r="K5" s="4" t="str">
        <f aca="false">IF(I5="","",F5&amp;"|"&amp;I5)</f>
        <v>NEFT-CAP-001|1000000</v>
      </c>
      <c r="L5" s="6" t="s">
        <v>18</v>
      </c>
    </row>
    <row r="6" customFormat="false" ht="15" hidden="false" customHeight="false" outlineLevel="0" collapsed="false">
      <c r="A6" s="4" t="n">
        <v>2</v>
      </c>
      <c r="B6" s="5" t="n">
        <v>46113</v>
      </c>
      <c r="C6" s="6" t="s">
        <v>19</v>
      </c>
      <c r="D6" s="6" t="s">
        <v>15</v>
      </c>
      <c r="E6" s="6" t="s">
        <v>20</v>
      </c>
      <c r="F6" s="6" t="s">
        <v>21</v>
      </c>
      <c r="G6" s="8"/>
      <c r="H6" s="7" t="n">
        <v>50000</v>
      </c>
      <c r="I6" s="8" t="n">
        <f aca="false">IF(AND(G6="",H6=""),"",N(G6)-N(H6))</f>
        <v>-50000</v>
      </c>
      <c r="J6" s="8" t="n">
        <f aca="false">IF(I6="","",SUM(I$5:I6))</f>
        <v>950000</v>
      </c>
      <c r="K6" s="4" t="str">
        <f aca="false">IF(I6="","",F6&amp;"|"&amp;I6)</f>
        <v>CHQ100001|-50000</v>
      </c>
      <c r="L6" s="6" t="s">
        <v>22</v>
      </c>
    </row>
    <row r="7" customFormat="false" ht="15" hidden="false" customHeight="false" outlineLevel="0" collapsed="false">
      <c r="A7" s="4" t="n">
        <v>3</v>
      </c>
      <c r="B7" s="9"/>
      <c r="C7" s="4"/>
      <c r="D7" s="4"/>
      <c r="E7" s="4"/>
      <c r="F7" s="4"/>
      <c r="G7" s="8"/>
      <c r="H7" s="8"/>
      <c r="I7" s="8" t="str">
        <f aca="false">IF(AND(G7="",H7=""),"",N(G7)-N(H7))</f>
        <v/>
      </c>
      <c r="J7" s="8" t="str">
        <f aca="false">IF(I7="","",SUM(I$5:I7))</f>
        <v/>
      </c>
      <c r="K7" s="4" t="str">
        <f aca="false">IF(I7="","",F7&amp;"|"&amp;I7)</f>
        <v/>
      </c>
      <c r="L7" s="4"/>
    </row>
    <row r="8" customFormat="false" ht="15" hidden="false" customHeight="false" outlineLevel="0" collapsed="false">
      <c r="A8" s="4" t="n">
        <v>4</v>
      </c>
      <c r="B8" s="9"/>
      <c r="C8" s="4"/>
      <c r="D8" s="4"/>
      <c r="E8" s="4"/>
      <c r="F8" s="4"/>
      <c r="G8" s="8"/>
      <c r="H8" s="8"/>
      <c r="I8" s="8" t="str">
        <f aca="false">IF(AND(G8="",H8=""),"",N(G8)-N(H8))</f>
        <v/>
      </c>
      <c r="J8" s="8" t="str">
        <f aca="false">IF(I8="","",SUM(I$5:I8))</f>
        <v/>
      </c>
      <c r="K8" s="4" t="str">
        <f aca="false">IF(I8="","",F8&amp;"|"&amp;I8)</f>
        <v/>
      </c>
      <c r="L8" s="4"/>
    </row>
    <row r="9" customFormat="false" ht="15" hidden="false" customHeight="false" outlineLevel="0" collapsed="false">
      <c r="A9" s="4" t="n">
        <v>5</v>
      </c>
      <c r="B9" s="9"/>
      <c r="C9" s="4"/>
      <c r="D9" s="4"/>
      <c r="E9" s="4"/>
      <c r="F9" s="4"/>
      <c r="G9" s="8"/>
      <c r="H9" s="8"/>
      <c r="I9" s="8" t="str">
        <f aca="false">IF(AND(G9="",H9=""),"",N(G9)-N(H9))</f>
        <v/>
      </c>
      <c r="J9" s="8" t="str">
        <f aca="false">IF(I9="","",SUM(I$5:I9))</f>
        <v/>
      </c>
      <c r="K9" s="4" t="str">
        <f aca="false">IF(I9="","",F9&amp;"|"&amp;I9)</f>
        <v/>
      </c>
      <c r="L9" s="4"/>
    </row>
    <row r="10" customFormat="false" ht="15" hidden="false" customHeight="false" outlineLevel="0" collapsed="false">
      <c r="A10" s="10"/>
      <c r="B10" s="10"/>
      <c r="C10" s="10"/>
      <c r="D10" s="10"/>
      <c r="E10" s="11" t="s">
        <v>23</v>
      </c>
      <c r="F10" s="10"/>
      <c r="G10" s="12" t="n">
        <f aca="false">SUM(G5:G9)</f>
        <v>1000000</v>
      </c>
      <c r="H10" s="12" t="n">
        <f aca="false">SUM(H5:H9)</f>
        <v>50000</v>
      </c>
      <c r="I10" s="10"/>
      <c r="J10" s="12" t="n">
        <f aca="false">G10-H10</f>
        <v>950000</v>
      </c>
      <c r="K10" s="10"/>
      <c r="L10" s="10"/>
    </row>
    <row r="12" customFormat="false" ht="15" hidden="false" customHeight="false" outlineLevel="0" collapsed="false">
      <c r="A12" s="2" t="s">
        <v>24</v>
      </c>
    </row>
    <row r="13" customFormat="false" ht="15" hidden="false" customHeight="false" outlineLevel="0" collapsed="false">
      <c r="A13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28</v>
      </c>
      <c r="D4" s="3" t="s">
        <v>7</v>
      </c>
      <c r="E4" s="3" t="s">
        <v>29</v>
      </c>
      <c r="F4" s="3" t="s">
        <v>30</v>
      </c>
      <c r="G4" s="3" t="s">
        <v>10</v>
      </c>
      <c r="H4" s="3" t="s">
        <v>31</v>
      </c>
      <c r="I4" s="3" t="s">
        <v>12</v>
      </c>
    </row>
    <row r="5" customFormat="false" ht="15" hidden="false" customHeight="false" outlineLevel="0" collapsed="false">
      <c r="A5" s="4" t="n">
        <v>1</v>
      </c>
      <c r="B5" s="5" t="n">
        <v>46113</v>
      </c>
      <c r="C5" s="6" t="s">
        <v>32</v>
      </c>
      <c r="D5" s="6" t="s">
        <v>17</v>
      </c>
      <c r="E5" s="8"/>
      <c r="F5" s="7" t="n">
        <v>1000000</v>
      </c>
      <c r="G5" s="8" t="n">
        <f aca="false">IF(AND(E5="",F5=""),"",N(F5)-N(E5))</f>
        <v>1000000</v>
      </c>
      <c r="H5" s="8" t="n">
        <f aca="false">IF(G5="","",SUM(G$5:G5))</f>
        <v>1000000</v>
      </c>
      <c r="I5" s="4" t="str">
        <f aca="false">IF(G5="","",D5&amp;"|"&amp;G5)</f>
        <v>NEFT-CAP-001|1000000</v>
      </c>
    </row>
    <row r="6" customFormat="false" ht="15" hidden="false" customHeight="false" outlineLevel="0" collapsed="false">
      <c r="A6" s="4" t="n">
        <v>2</v>
      </c>
      <c r="B6" s="9"/>
      <c r="C6" s="4"/>
      <c r="D6" s="4"/>
      <c r="E6" s="8"/>
      <c r="F6" s="8"/>
      <c r="G6" s="8" t="str">
        <f aca="false">IF(AND(E6="",F6=""),"",N(F6)-N(E6))</f>
        <v/>
      </c>
      <c r="H6" s="8" t="str">
        <f aca="false">IF(G6="","",SUM(G$5:G6))</f>
        <v/>
      </c>
      <c r="I6" s="4" t="str">
        <f aca="false">IF(G6="","",D6&amp;"|"&amp;G6)</f>
        <v/>
      </c>
    </row>
    <row r="7" customFormat="false" ht="15" hidden="false" customHeight="false" outlineLevel="0" collapsed="false">
      <c r="A7" s="4" t="n">
        <v>3</v>
      </c>
      <c r="B7" s="9"/>
      <c r="C7" s="4"/>
      <c r="D7" s="4"/>
      <c r="E7" s="8"/>
      <c r="F7" s="8"/>
      <c r="G7" s="8" t="str">
        <f aca="false">IF(AND(E7="",F7=""),"",N(F7)-N(E7))</f>
        <v/>
      </c>
      <c r="H7" s="8" t="str">
        <f aca="false">IF(G7="","",SUM(G$5:G7))</f>
        <v/>
      </c>
      <c r="I7" s="4" t="str">
        <f aca="false">IF(G7="","",D7&amp;"|"&amp;G7)</f>
        <v/>
      </c>
    </row>
    <row r="8" customFormat="false" ht="15" hidden="false" customHeight="false" outlineLevel="0" collapsed="false">
      <c r="A8" s="4" t="n">
        <v>4</v>
      </c>
      <c r="B8" s="9"/>
      <c r="C8" s="4"/>
      <c r="D8" s="4"/>
      <c r="E8" s="8"/>
      <c r="F8" s="8"/>
      <c r="G8" s="8" t="str">
        <f aca="false">IF(AND(E8="",F8=""),"",N(F8)-N(E8))</f>
        <v/>
      </c>
      <c r="H8" s="8" t="str">
        <f aca="false">IF(G8="","",SUM(G$5:G8))</f>
        <v/>
      </c>
      <c r="I8" s="4" t="str">
        <f aca="false">IF(G8="","",D8&amp;"|"&amp;G8)</f>
        <v/>
      </c>
    </row>
    <row r="9" customFormat="false" ht="15" hidden="false" customHeight="false" outlineLevel="0" collapsed="false">
      <c r="A9" s="4" t="n">
        <v>5</v>
      </c>
      <c r="B9" s="9"/>
      <c r="C9" s="4"/>
      <c r="D9" s="4"/>
      <c r="E9" s="8"/>
      <c r="F9" s="8"/>
      <c r="G9" s="8" t="str">
        <f aca="false">IF(AND(E9="",F9=""),"",N(F9)-N(E9))</f>
        <v/>
      </c>
      <c r="H9" s="8" t="str">
        <f aca="false">IF(G9="","",SUM(G$5:G9))</f>
        <v/>
      </c>
      <c r="I9" s="4" t="str">
        <f aca="false">IF(G9="","",D9&amp;"|"&amp;G9)</f>
        <v/>
      </c>
    </row>
    <row r="10" customFormat="false" ht="15" hidden="false" customHeight="false" outlineLevel="0" collapsed="false">
      <c r="A10" s="10"/>
      <c r="B10" s="10"/>
      <c r="C10" s="11" t="s">
        <v>23</v>
      </c>
      <c r="D10" s="10"/>
      <c r="E10" s="12" t="n">
        <f aca="false">SUM(E5:E9)</f>
        <v>0</v>
      </c>
      <c r="F10" s="12" t="n">
        <f aca="false">SUM(F5:F9)</f>
        <v>1000000</v>
      </c>
      <c r="G10" s="10"/>
      <c r="H10" s="12" t="n">
        <f aca="false">F10-E10</f>
        <v>1000000</v>
      </c>
      <c r="I10" s="10"/>
    </row>
    <row r="12" customFormat="false" ht="15" hidden="false" customHeight="false" outlineLevel="0" collapsed="false">
      <c r="A1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13" t="s">
        <v>36</v>
      </c>
    </row>
    <row r="5" customFormat="false" ht="31.5" hidden="false" customHeight="true" outlineLevel="0" collapsed="false">
      <c r="A5" s="3" t="s">
        <v>2</v>
      </c>
      <c r="B5" s="3" t="s">
        <v>3</v>
      </c>
      <c r="C5" s="3" t="s">
        <v>6</v>
      </c>
      <c r="D5" s="3" t="s">
        <v>7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customFormat="false" ht="15" hidden="false" customHeight="false" outlineLevel="0" collapsed="false">
      <c r="A6" s="14" t="n">
        <f aca="false">IF(Tally_Bank_Ledger!I5="","",ROW()-5)</f>
        <v>1</v>
      </c>
      <c r="B6" s="15" t="n">
        <f aca="false">IF($A6="","",Tally_Bank_Ledger!B5)</f>
        <v>46113</v>
      </c>
      <c r="C6" s="16" t="str">
        <f aca="false">IF($A6="","",Tally_Bank_Ledger!E5)</f>
        <v>Share Capital A/c</v>
      </c>
      <c r="D6" s="16" t="str">
        <f aca="false">IF($A6="","",Tally_Bank_Ledger!F5)</f>
        <v>NEFT-CAP-001</v>
      </c>
      <c r="E6" s="17" t="n">
        <f aca="false">IF($A6="","",Tally_Bank_Ledger!I5)</f>
        <v>1000000</v>
      </c>
      <c r="F6" s="14" t="str">
        <f aca="false">IF($A6="","",IF(ISNUMBER(MATCH(Tally_Bank_Ledger!K5,Bank_Statement!$I$5:$I$9,0)),"Yes","No"))</f>
        <v>Yes</v>
      </c>
      <c r="G6" s="18" t="n">
        <f aca="false">IF($A6="","",IF(F6="Yes",INDEX(Bank_Statement!$B$5:$B$9,MATCH(Tally_Bank_Ledger!K5,Bank_Statement!$I$5:$I$9,0)),"-"))</f>
        <v>46113</v>
      </c>
      <c r="H6" s="19" t="str">
        <f aca="false">IF($A6="","",IF(F6="Yes","Matched",IF(E6&gt;0,"Deposit in Transit","Uncleared Cheque")))</f>
        <v>Matched</v>
      </c>
      <c r="I6" s="20" t="n">
        <f aca="false">IF($A6="","",IF(H6="Deposit in Transit",E6,0))</f>
        <v>0</v>
      </c>
      <c r="J6" s="20" t="n">
        <f aca="false">IF($A6="","",IF(H6="Uncleared Cheque",-E6,0))</f>
        <v>0</v>
      </c>
    </row>
    <row r="7" customFormat="false" ht="15" hidden="false" customHeight="false" outlineLevel="0" collapsed="false">
      <c r="A7" s="14" t="n">
        <f aca="false">IF(Tally_Bank_Ledger!I6="","",ROW()-5)</f>
        <v>2</v>
      </c>
      <c r="B7" s="15" t="n">
        <f aca="false">IF($A7="","",Tally_Bank_Ledger!B6)</f>
        <v>46113</v>
      </c>
      <c r="C7" s="16" t="str">
        <f aca="false">IF($A7="","",Tally_Bank_Ledger!E6)</f>
        <v>Apex Office Realty (Rent 45,000 + TDS 5,000)</v>
      </c>
      <c r="D7" s="16" t="str">
        <f aca="false">IF($A7="","",Tally_Bank_Ledger!F6)</f>
        <v>CHQ100001</v>
      </c>
      <c r="E7" s="17" t="n">
        <f aca="false">IF($A7="","",Tally_Bank_Ledger!I6)</f>
        <v>-50000</v>
      </c>
      <c r="F7" s="14" t="str">
        <f aca="false">IF($A7="","",IF(ISNUMBER(MATCH(Tally_Bank_Ledger!K6,Bank_Statement!$I$5:$I$9,0)),"Yes","No"))</f>
        <v>No</v>
      </c>
      <c r="G7" s="18" t="str">
        <f aca="false">IF($A7="","",IF(F7="Yes",INDEX(Bank_Statement!$B$5:$B$9,MATCH(Tally_Bank_Ledger!K6,Bank_Statement!$I$5:$I$9,0)),"-"))</f>
        <v>-</v>
      </c>
      <c r="H7" s="19" t="str">
        <f aca="false">IF($A7="","",IF(F7="Yes","Matched",IF(E7&gt;0,"Deposit in Transit","Uncleared Cheque")))</f>
        <v>Uncleared Cheque</v>
      </c>
      <c r="I7" s="20" t="n">
        <f aca="false">IF($A7="","",IF(H7="Deposit in Transit",E7,0))</f>
        <v>0</v>
      </c>
      <c r="J7" s="20" t="n">
        <f aca="false">IF($A7="","",IF(H7="Uncleared Cheque",-E7,0))</f>
        <v>50000</v>
      </c>
    </row>
    <row r="8" customFormat="false" ht="15" hidden="false" customHeight="false" outlineLevel="0" collapsed="false">
      <c r="A8" s="14" t="str">
        <f aca="false">IF(Tally_Bank_Ledger!I7="","",ROW()-5)</f>
        <v/>
      </c>
      <c r="B8" s="15" t="str">
        <f aca="false">IF($A8="","",Tally_Bank_Ledger!B7)</f>
        <v/>
      </c>
      <c r="C8" s="16" t="str">
        <f aca="false">IF($A8="","",Tally_Bank_Ledger!E7)</f>
        <v/>
      </c>
      <c r="D8" s="16" t="str">
        <f aca="false">IF($A8="","",Tally_Bank_Ledger!F7)</f>
        <v/>
      </c>
      <c r="E8" s="17" t="str">
        <f aca="false">IF($A8="","",Tally_Bank_Ledger!I7)</f>
        <v/>
      </c>
      <c r="F8" s="14" t="str">
        <f aca="false">IF($A8="","",IF(ISNUMBER(MATCH(Tally_Bank_Ledger!K7,Bank_Statement!$I$5:$I$9,0)),"Yes","No"))</f>
        <v/>
      </c>
      <c r="G8" s="18" t="str">
        <f aca="false">IF($A8="","",IF(F8="Yes",INDEX(Bank_Statement!$B$5:$B$9,MATCH(Tally_Bank_Ledger!K7,Bank_Statement!$I$5:$I$9,0)),"-"))</f>
        <v/>
      </c>
      <c r="H8" s="19" t="str">
        <f aca="false">IF($A8="","",IF(F8="Yes","Matched",IF(E8&gt;0,"Deposit in Transit","Uncleared Cheque")))</f>
        <v/>
      </c>
      <c r="I8" s="20" t="str">
        <f aca="false">IF($A8="","",IF(H8="Deposit in Transit",E8,0))</f>
        <v/>
      </c>
      <c r="J8" s="20" t="str">
        <f aca="false">IF($A8="","",IF(H8="Uncleared Cheque",-E8,0))</f>
        <v/>
      </c>
    </row>
    <row r="9" customFormat="false" ht="15" hidden="false" customHeight="false" outlineLevel="0" collapsed="false">
      <c r="A9" s="14" t="str">
        <f aca="false">IF(Tally_Bank_Ledger!I8="","",ROW()-5)</f>
        <v/>
      </c>
      <c r="B9" s="15" t="str">
        <f aca="false">IF($A9="","",Tally_Bank_Ledger!B8)</f>
        <v/>
      </c>
      <c r="C9" s="16" t="str">
        <f aca="false">IF($A9="","",Tally_Bank_Ledger!E8)</f>
        <v/>
      </c>
      <c r="D9" s="16" t="str">
        <f aca="false">IF($A9="","",Tally_Bank_Ledger!F8)</f>
        <v/>
      </c>
      <c r="E9" s="17" t="str">
        <f aca="false">IF($A9="","",Tally_Bank_Ledger!I8)</f>
        <v/>
      </c>
      <c r="F9" s="14" t="str">
        <f aca="false">IF($A9="","",IF(ISNUMBER(MATCH(Tally_Bank_Ledger!K8,Bank_Statement!$I$5:$I$9,0)),"Yes","No"))</f>
        <v/>
      </c>
      <c r="G9" s="18" t="str">
        <f aca="false">IF($A9="","",IF(F9="Yes",INDEX(Bank_Statement!$B$5:$B$9,MATCH(Tally_Bank_Ledger!K8,Bank_Statement!$I$5:$I$9,0)),"-"))</f>
        <v/>
      </c>
      <c r="H9" s="19" t="str">
        <f aca="false">IF($A9="","",IF(F9="Yes","Matched",IF(E9&gt;0,"Deposit in Transit","Uncleared Cheque")))</f>
        <v/>
      </c>
      <c r="I9" s="20" t="str">
        <f aca="false">IF($A9="","",IF(H9="Deposit in Transit",E9,0))</f>
        <v/>
      </c>
      <c r="J9" s="20" t="str">
        <f aca="false">IF($A9="","",IF(H9="Uncleared Cheque",-E9,0))</f>
        <v/>
      </c>
    </row>
    <row r="10" customFormat="false" ht="15" hidden="false" customHeight="false" outlineLevel="0" collapsed="false">
      <c r="A10" s="14" t="str">
        <f aca="false">IF(Tally_Bank_Ledger!I9="","",ROW()-5)</f>
        <v/>
      </c>
      <c r="B10" s="15" t="str">
        <f aca="false">IF($A10="","",Tally_Bank_Ledger!B9)</f>
        <v/>
      </c>
      <c r="C10" s="16" t="str">
        <f aca="false">IF($A10="","",Tally_Bank_Ledger!E9)</f>
        <v/>
      </c>
      <c r="D10" s="16" t="str">
        <f aca="false">IF($A10="","",Tally_Bank_Ledger!F9)</f>
        <v/>
      </c>
      <c r="E10" s="17" t="str">
        <f aca="false">IF($A10="","",Tally_Bank_Ledger!I9)</f>
        <v/>
      </c>
      <c r="F10" s="14" t="str">
        <f aca="false">IF($A10="","",IF(ISNUMBER(MATCH(Tally_Bank_Ledger!K9,Bank_Statement!$I$5:$I$9,0)),"Yes","No"))</f>
        <v/>
      </c>
      <c r="G10" s="18" t="str">
        <f aca="false">IF($A10="","",IF(F10="Yes",INDEX(Bank_Statement!$B$5:$B$9,MATCH(Tally_Bank_Ledger!K9,Bank_Statement!$I$5:$I$9,0)),"-"))</f>
        <v/>
      </c>
      <c r="H10" s="19" t="str">
        <f aca="false">IF($A10="","",IF(F10="Yes","Matched",IF(E10&gt;0,"Deposit in Transit","Uncleared Cheque")))</f>
        <v/>
      </c>
      <c r="I10" s="20" t="str">
        <f aca="false">IF($A10="","",IF(H10="Deposit in Transit",E10,0))</f>
        <v/>
      </c>
      <c r="J10" s="20" t="str">
        <f aca="false">IF($A10="","",IF(H10="Uncleared Cheque",-E10,0))</f>
        <v/>
      </c>
    </row>
    <row r="11" customFormat="false" ht="15" hidden="false" customHeight="false" outlineLevel="0" collapsed="false">
      <c r="A11" s="10"/>
      <c r="B11" s="10"/>
      <c r="C11" s="11" t="s">
        <v>43</v>
      </c>
      <c r="D11" s="10"/>
      <c r="E11" s="10"/>
      <c r="F11" s="10"/>
      <c r="G11" s="10"/>
      <c r="H11" s="10"/>
      <c r="I11" s="12" t="n">
        <f aca="false">SUM(I6:I10)</f>
        <v>0</v>
      </c>
      <c r="J11" s="12" t="n">
        <f aca="false">SUM(J6:J10)</f>
        <v>50000</v>
      </c>
    </row>
    <row r="13" customFormat="false" ht="15" hidden="false" customHeight="false" outlineLevel="0" collapsed="false">
      <c r="A13" s="13" t="s">
        <v>44</v>
      </c>
    </row>
    <row r="14" customFormat="false" ht="31.5" hidden="false" customHeight="true" outlineLevel="0" collapsed="false">
      <c r="A14" s="3" t="s">
        <v>2</v>
      </c>
      <c r="B14" s="3" t="s">
        <v>3</v>
      </c>
      <c r="C14" s="3" t="s">
        <v>28</v>
      </c>
      <c r="D14" s="3" t="s">
        <v>7</v>
      </c>
      <c r="E14" s="3" t="s">
        <v>45</v>
      </c>
      <c r="F14" s="3" t="s">
        <v>46</v>
      </c>
      <c r="G14" s="3"/>
      <c r="H14" s="3" t="s">
        <v>40</v>
      </c>
      <c r="I14" s="3" t="s">
        <v>47</v>
      </c>
      <c r="J14" s="3" t="s">
        <v>48</v>
      </c>
    </row>
    <row r="15" customFormat="false" ht="15" hidden="false" customHeight="false" outlineLevel="0" collapsed="false">
      <c r="A15" s="14" t="n">
        <f aca="false">IF(Bank_Statement!G5="","",ROW()-14)</f>
        <v>1</v>
      </c>
      <c r="B15" s="15" t="n">
        <f aca="false">IF($A15="","",Bank_Statement!B5)</f>
        <v>46113</v>
      </c>
      <c r="C15" s="16" t="str">
        <f aca="false">IF($A15="","",Bank_Statement!C5)</f>
        <v>NEFT credit - share capital</v>
      </c>
      <c r="D15" s="16" t="str">
        <f aca="false">IF($A15="","",Bank_Statement!D5)</f>
        <v>NEFT-CAP-001</v>
      </c>
      <c r="E15" s="17" t="n">
        <f aca="false">IF($A15="","",Bank_Statement!G5)</f>
        <v>1000000</v>
      </c>
      <c r="F15" s="14" t="str">
        <f aca="false">IF($A15="","",IF(ISNUMBER(MATCH(Bank_Statement!I5,Tally_Bank_Ledger!$K$5:$K$9,0)),"Yes","No"))</f>
        <v>Yes</v>
      </c>
      <c r="G15" s="14"/>
      <c r="H15" s="19" t="str">
        <f aca="false">IF($A15="","",IF(F15="Yes","Matched",IF(E15&gt;0,"Direct Credit - Not in Books","Bank Charges / Debit - Not in Books")))</f>
        <v>Matched</v>
      </c>
      <c r="I15" s="20" t="n">
        <f aca="false">IF($A15="","",IF(H15="Direct Credit - Not in Books",E15,0))</f>
        <v>0</v>
      </c>
      <c r="J15" s="20" t="n">
        <f aca="false">IF($A15="","",IF(H15="Bank Charges / Debit - Not in Books",-E15,0))</f>
        <v>0</v>
      </c>
    </row>
    <row r="16" customFormat="false" ht="15" hidden="false" customHeight="false" outlineLevel="0" collapsed="false">
      <c r="A16" s="14" t="str">
        <f aca="false">IF(Bank_Statement!G6="","",ROW()-14)</f>
        <v/>
      </c>
      <c r="B16" s="15" t="str">
        <f aca="false">IF($A16="","",Bank_Statement!B6)</f>
        <v/>
      </c>
      <c r="C16" s="16" t="str">
        <f aca="false">IF($A16="","",Bank_Statement!C6)</f>
        <v/>
      </c>
      <c r="D16" s="16" t="str">
        <f aca="false">IF($A16="","",Bank_Statement!D6)</f>
        <v/>
      </c>
      <c r="E16" s="17" t="str">
        <f aca="false">IF($A16="","",Bank_Statement!G6)</f>
        <v/>
      </c>
      <c r="F16" s="14" t="str">
        <f aca="false">IF($A16="","",IF(ISNUMBER(MATCH(Bank_Statement!I6,Tally_Bank_Ledger!$K$5:$K$9,0)),"Yes","No"))</f>
        <v/>
      </c>
      <c r="G16" s="14"/>
      <c r="H16" s="19" t="str">
        <f aca="false">IF($A16="","",IF(F16="Yes","Matched",IF(E16&gt;0,"Direct Credit - Not in Books","Bank Charges / Debit - Not in Books")))</f>
        <v/>
      </c>
      <c r="I16" s="20" t="str">
        <f aca="false">IF($A16="","",IF(H16="Direct Credit - Not in Books",E16,0))</f>
        <v/>
      </c>
      <c r="J16" s="20" t="str">
        <f aca="false">IF($A16="","",IF(H16="Bank Charges / Debit - Not in Books",-E16,0))</f>
        <v/>
      </c>
    </row>
    <row r="17" customFormat="false" ht="15" hidden="false" customHeight="false" outlineLevel="0" collapsed="false">
      <c r="A17" s="14" t="str">
        <f aca="false">IF(Bank_Statement!G7="","",ROW()-14)</f>
        <v/>
      </c>
      <c r="B17" s="15" t="str">
        <f aca="false">IF($A17="","",Bank_Statement!B7)</f>
        <v/>
      </c>
      <c r="C17" s="16" t="str">
        <f aca="false">IF($A17="","",Bank_Statement!C7)</f>
        <v/>
      </c>
      <c r="D17" s="16" t="str">
        <f aca="false">IF($A17="","",Bank_Statement!D7)</f>
        <v/>
      </c>
      <c r="E17" s="17" t="str">
        <f aca="false">IF($A17="","",Bank_Statement!G7)</f>
        <v/>
      </c>
      <c r="F17" s="14" t="str">
        <f aca="false">IF($A17="","",IF(ISNUMBER(MATCH(Bank_Statement!I7,Tally_Bank_Ledger!$K$5:$K$9,0)),"Yes","No"))</f>
        <v/>
      </c>
      <c r="G17" s="14"/>
      <c r="H17" s="19" t="str">
        <f aca="false">IF($A17="","",IF(F17="Yes","Matched",IF(E17&gt;0,"Direct Credit - Not in Books","Bank Charges / Debit - Not in Books")))</f>
        <v/>
      </c>
      <c r="I17" s="20" t="str">
        <f aca="false">IF($A17="","",IF(H17="Direct Credit - Not in Books",E17,0))</f>
        <v/>
      </c>
      <c r="J17" s="20" t="str">
        <f aca="false">IF($A17="","",IF(H17="Bank Charges / Debit - Not in Books",-E17,0))</f>
        <v/>
      </c>
    </row>
    <row r="18" customFormat="false" ht="15" hidden="false" customHeight="false" outlineLevel="0" collapsed="false">
      <c r="A18" s="14" t="str">
        <f aca="false">IF(Bank_Statement!G8="","",ROW()-14)</f>
        <v/>
      </c>
      <c r="B18" s="15" t="str">
        <f aca="false">IF($A18="","",Bank_Statement!B8)</f>
        <v/>
      </c>
      <c r="C18" s="16" t="str">
        <f aca="false">IF($A18="","",Bank_Statement!C8)</f>
        <v/>
      </c>
      <c r="D18" s="16" t="str">
        <f aca="false">IF($A18="","",Bank_Statement!D8)</f>
        <v/>
      </c>
      <c r="E18" s="17" t="str">
        <f aca="false">IF($A18="","",Bank_Statement!G8)</f>
        <v/>
      </c>
      <c r="F18" s="14" t="str">
        <f aca="false">IF($A18="","",IF(ISNUMBER(MATCH(Bank_Statement!I8,Tally_Bank_Ledger!$K$5:$K$9,0)),"Yes","No"))</f>
        <v/>
      </c>
      <c r="G18" s="14"/>
      <c r="H18" s="19" t="str">
        <f aca="false">IF($A18="","",IF(F18="Yes","Matched",IF(E18&gt;0,"Direct Credit - Not in Books","Bank Charges / Debit - Not in Books")))</f>
        <v/>
      </c>
      <c r="I18" s="20" t="str">
        <f aca="false">IF($A18="","",IF(H18="Direct Credit - Not in Books",E18,0))</f>
        <v/>
      </c>
      <c r="J18" s="20" t="str">
        <f aca="false">IF($A18="","",IF(H18="Bank Charges / Debit - Not in Books",-E18,0))</f>
        <v/>
      </c>
    </row>
    <row r="19" customFormat="false" ht="15" hidden="false" customHeight="false" outlineLevel="0" collapsed="false">
      <c r="A19" s="14" t="str">
        <f aca="false">IF(Bank_Statement!G9="","",ROW()-14)</f>
        <v/>
      </c>
      <c r="B19" s="15" t="str">
        <f aca="false">IF($A19="","",Bank_Statement!B9)</f>
        <v/>
      </c>
      <c r="C19" s="16" t="str">
        <f aca="false">IF($A19="","",Bank_Statement!C9)</f>
        <v/>
      </c>
      <c r="D19" s="16" t="str">
        <f aca="false">IF($A19="","",Bank_Statement!D9)</f>
        <v/>
      </c>
      <c r="E19" s="17" t="str">
        <f aca="false">IF($A19="","",Bank_Statement!G9)</f>
        <v/>
      </c>
      <c r="F19" s="14" t="str">
        <f aca="false">IF($A19="","",IF(ISNUMBER(MATCH(Bank_Statement!I9,Tally_Bank_Ledger!$K$5:$K$9,0)),"Yes","No"))</f>
        <v/>
      </c>
      <c r="G19" s="14"/>
      <c r="H19" s="19" t="str">
        <f aca="false">IF($A19="","",IF(F19="Yes","Matched",IF(E19&gt;0,"Direct Credit - Not in Books","Bank Charges / Debit - Not in Books")))</f>
        <v/>
      </c>
      <c r="I19" s="20" t="str">
        <f aca="false">IF($A19="","",IF(H19="Direct Credit - Not in Books",E19,0))</f>
        <v/>
      </c>
      <c r="J19" s="20" t="str">
        <f aca="false">IF($A19="","",IF(H19="Bank Charges / Debit - Not in Books",-E19,0))</f>
        <v/>
      </c>
    </row>
    <row r="20" customFormat="false" ht="15" hidden="false" customHeight="false" outlineLevel="0" collapsed="false">
      <c r="A20" s="10"/>
      <c r="B20" s="10"/>
      <c r="C20" s="11" t="s">
        <v>43</v>
      </c>
      <c r="D20" s="10"/>
      <c r="E20" s="10"/>
      <c r="F20" s="10"/>
      <c r="G20" s="10"/>
      <c r="H20" s="10"/>
      <c r="I20" s="12" t="n">
        <f aca="false">SUM(I15:I19)</f>
        <v>0</v>
      </c>
      <c r="J20" s="12" t="n">
        <f aca="false">SUM(J15:J19)</f>
        <v>0</v>
      </c>
    </row>
  </sheetData>
  <conditionalFormatting sqref="H6:H10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1">
      <formula>"Deposit in Transit"</formula>
    </cfRule>
    <cfRule type="cellIs" priority="4" operator="equal" aboveAverage="0" equalAverage="0" bottom="0" percent="0" rank="0" text="" dxfId="2">
      <formula>"Uncleared Cheque"</formula>
    </cfRule>
  </conditionalFormatting>
  <conditionalFormatting sqref="H15:H19">
    <cfRule type="cellIs" priority="5" operator="equal" aboveAverage="0" equalAverage="0" bottom="0" percent="0" rank="0" text="" dxfId="0">
      <formula>"Matched"</formula>
    </cfRule>
    <cfRule type="cellIs" priority="6" operator="equal" aboveAverage="0" equalAverage="0" bottom="0" percent="0" rank="0" text="" dxfId="3">
      <formula>"Direct Credit - Not in Books"</formula>
    </cfRule>
    <cfRule type="cellIs" priority="7" operator="equal" aboveAverage="0" equalAverage="0" bottom="0" percent="0" rank="0" text="" dxfId="2">
      <formula>"Bank Charges / Debit - Not in Books"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3" t="s">
        <v>6</v>
      </c>
      <c r="B4" s="3" t="s">
        <v>51</v>
      </c>
    </row>
    <row r="5" customFormat="false" ht="15" hidden="false" customHeight="false" outlineLevel="0" collapsed="false">
      <c r="A5" s="21" t="s">
        <v>52</v>
      </c>
      <c r="B5" s="17" t="n">
        <f aca="false">Tally_Bank_Ledger!J10</f>
        <v>950000</v>
      </c>
    </row>
    <row r="6" customFormat="false" ht="15" hidden="false" customHeight="false" outlineLevel="0" collapsed="false">
      <c r="A6" s="22" t="s">
        <v>53</v>
      </c>
      <c r="B6" s="17" t="n">
        <f aca="false">-BRS_Matching!I11</f>
        <v>-0</v>
      </c>
    </row>
    <row r="7" customFormat="false" ht="15" hidden="false" customHeight="false" outlineLevel="0" collapsed="false">
      <c r="A7" s="22" t="s">
        <v>54</v>
      </c>
      <c r="B7" s="17" t="n">
        <f aca="false">BRS_Matching!J11</f>
        <v>50000</v>
      </c>
    </row>
    <row r="8" customFormat="false" ht="15" hidden="false" customHeight="false" outlineLevel="0" collapsed="false">
      <c r="A8" s="22" t="s">
        <v>55</v>
      </c>
      <c r="B8" s="17" t="n">
        <f aca="false">BRS_Matching!I20</f>
        <v>0</v>
      </c>
    </row>
    <row r="9" customFormat="false" ht="15" hidden="false" customHeight="false" outlineLevel="0" collapsed="false">
      <c r="A9" s="22" t="s">
        <v>56</v>
      </c>
      <c r="B9" s="17" t="n">
        <f aca="false">-BRS_Matching!J20</f>
        <v>-0</v>
      </c>
    </row>
    <row r="10" customFormat="false" ht="15" hidden="false" customHeight="false" outlineLevel="0" collapsed="false">
      <c r="A10" s="23" t="s">
        <v>57</v>
      </c>
      <c r="B10" s="24" t="n">
        <f aca="false">SUM(B5:B9)</f>
        <v>1000000</v>
      </c>
    </row>
    <row r="11" customFormat="false" ht="15" hidden="false" customHeight="false" outlineLevel="0" collapsed="false">
      <c r="A11" s="21" t="s">
        <v>58</v>
      </c>
      <c r="B11" s="17" t="n">
        <f aca="false">Bank_Statement!H10</f>
        <v>1000000</v>
      </c>
    </row>
    <row r="12" customFormat="false" ht="15" hidden="false" customHeight="false" outlineLevel="0" collapsed="false">
      <c r="A12" s="23" t="s">
        <v>59</v>
      </c>
      <c r="B12" s="24" t="n">
        <f aca="false">B10-B11</f>
        <v>0</v>
      </c>
    </row>
    <row r="13" customFormat="false" ht="15" hidden="false" customHeight="false" outlineLevel="0" collapsed="false">
      <c r="A13" s="13" t="s">
        <v>40</v>
      </c>
      <c r="B13" s="13" t="str">
        <f aca="false">IF(ABS(B12)&lt;0.5,"RECONCILED","NOT RECONCILED")</f>
        <v>RECONCILED</v>
      </c>
    </row>
    <row r="15" customFormat="false" ht="15" hidden="false" customHeight="false" outlineLevel="0" collapsed="false">
      <c r="A15" s="13" t="s">
        <v>60</v>
      </c>
    </row>
    <row r="16" customFormat="false" ht="31.5" hidden="false" customHeight="true" outlineLevel="0" collapsed="false">
      <c r="A16" s="3" t="s">
        <v>61</v>
      </c>
      <c r="B16" s="3" t="s">
        <v>51</v>
      </c>
    </row>
    <row r="17" customFormat="false" ht="15" hidden="false" customHeight="false" outlineLevel="0" collapsed="false">
      <c r="A17" s="14" t="s">
        <v>62</v>
      </c>
      <c r="B17" s="17" t="n">
        <f aca="false">BRS_Matching!I20</f>
        <v>0</v>
      </c>
    </row>
    <row r="18" customFormat="false" ht="15" hidden="false" customHeight="false" outlineLevel="0" collapsed="false">
      <c r="A18" s="14" t="s">
        <v>63</v>
      </c>
      <c r="B18" s="17" t="n">
        <f aca="false">BRS_Matching!J20</f>
        <v>0</v>
      </c>
    </row>
    <row r="20" customFormat="false" ht="15" hidden="false" customHeight="false" outlineLevel="0" collapsed="false">
      <c r="A20" s="2" t="s">
        <v>64</v>
      </c>
    </row>
  </sheetData>
  <conditionalFormatting sqref="B13">
    <cfRule type="cellIs" priority="2" operator="equal" aboveAverage="0" equalAverage="0" bottom="0" percent="0" rank="0" text="" dxfId="0">
      <formula>"RECONCILED"</formula>
    </cfRule>
    <cfRule type="cellIs" priority="3" operator="equal" aboveAverage="0" equalAverage="0" bottom="0" percent="0" rank="0" text="" dxfId="2">
      <formula>"NOT RECONCILED"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31.5" hidden="false" customHeight="true" outlineLevel="0" collapsed="false">
      <c r="A4" s="3" t="s">
        <v>2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13</v>
      </c>
    </row>
    <row r="5" customFormat="false" ht="15" hidden="false" customHeight="false" outlineLevel="0" collapsed="false">
      <c r="A5" s="4" t="n">
        <v>1</v>
      </c>
      <c r="B5" s="6" t="s">
        <v>74</v>
      </c>
      <c r="C5" s="6" t="s">
        <v>75</v>
      </c>
      <c r="D5" s="6" t="s">
        <v>76</v>
      </c>
      <c r="E5" s="5" t="n">
        <v>46113</v>
      </c>
      <c r="F5" s="7" t="n">
        <v>354000</v>
      </c>
      <c r="G5" s="25" t="n">
        <f aca="false">IF(E5="","",Ageing_Summary!$C$3-E5)</f>
        <v>29</v>
      </c>
      <c r="H5" s="4" t="str">
        <f aca="false">IF(G5="","",IF(G5&lt;=30,"0-30 days",IF(G5&lt;=60,"31-60 days","60+ days")))</f>
        <v>0-30 days</v>
      </c>
      <c r="I5" s="6" t="s">
        <v>77</v>
      </c>
    </row>
    <row r="6" customFormat="false" ht="15" hidden="false" customHeight="false" outlineLevel="0" collapsed="false">
      <c r="A6" s="4" t="n">
        <v>2</v>
      </c>
      <c r="B6" s="6" t="s">
        <v>78</v>
      </c>
      <c r="C6" s="6" t="s">
        <v>79</v>
      </c>
      <c r="D6" s="6" t="s">
        <v>80</v>
      </c>
      <c r="E6" s="5" t="n">
        <v>46113</v>
      </c>
      <c r="F6" s="7" t="n">
        <v>118000</v>
      </c>
      <c r="G6" s="25" t="n">
        <f aca="false">IF(E6="","",Ageing_Summary!$C$3-E6)</f>
        <v>29</v>
      </c>
      <c r="H6" s="4" t="str">
        <f aca="false">IF(G6="","",IF(G6&lt;=30,"0-30 days",IF(G6&lt;=60,"31-60 days","60+ days")))</f>
        <v>0-30 days</v>
      </c>
      <c r="I6" s="6" t="s">
        <v>81</v>
      </c>
    </row>
    <row r="7" customFormat="false" ht="15" hidden="false" customHeight="false" outlineLevel="0" collapsed="false">
      <c r="A7" s="4" t="n">
        <v>3</v>
      </c>
      <c r="B7" s="6" t="s">
        <v>78</v>
      </c>
      <c r="C7" s="6" t="s">
        <v>82</v>
      </c>
      <c r="D7" s="6" t="s">
        <v>83</v>
      </c>
      <c r="E7" s="5" t="n">
        <v>46113</v>
      </c>
      <c r="F7" s="7" t="n">
        <v>236000</v>
      </c>
      <c r="G7" s="25" t="n">
        <f aca="false">IF(E7="","",Ageing_Summary!$C$3-E7)</f>
        <v>29</v>
      </c>
      <c r="H7" s="4" t="str">
        <f aca="false">IF(G7="","",IF(G7&lt;=30,"0-30 days",IF(G7&lt;=60,"31-60 days","60+ days")))</f>
        <v>0-30 days</v>
      </c>
      <c r="I7" s="6" t="s">
        <v>84</v>
      </c>
    </row>
    <row r="8" customFormat="false" ht="15" hidden="false" customHeight="false" outlineLevel="0" collapsed="false">
      <c r="A8" s="4" t="n">
        <v>4</v>
      </c>
      <c r="B8" s="4"/>
      <c r="C8" s="4"/>
      <c r="D8" s="4"/>
      <c r="E8" s="9"/>
      <c r="F8" s="8"/>
      <c r="G8" s="25" t="str">
        <f aca="false">IF(E8="","",Ageing_Summary!$C$3-E8)</f>
        <v/>
      </c>
      <c r="H8" s="4" t="str">
        <f aca="false">IF(G8="","",IF(G8&lt;=30,"0-30 days",IF(G8&lt;=60,"31-60 days","60+ days")))</f>
        <v/>
      </c>
      <c r="I8" s="4"/>
    </row>
    <row r="9" customFormat="false" ht="15" hidden="false" customHeight="false" outlineLevel="0" collapsed="false">
      <c r="A9" s="4" t="n">
        <v>5</v>
      </c>
      <c r="B9" s="4"/>
      <c r="C9" s="4"/>
      <c r="D9" s="4"/>
      <c r="E9" s="9"/>
      <c r="F9" s="8"/>
      <c r="G9" s="25" t="str">
        <f aca="false">IF(E9="","",Ageing_Summary!$C$3-E9)</f>
        <v/>
      </c>
      <c r="H9" s="4" t="str">
        <f aca="false">IF(G9="","",IF(G9&lt;=30,"0-30 days",IF(G9&lt;=60,"31-60 days","60+ days")))</f>
        <v/>
      </c>
      <c r="I9" s="4"/>
    </row>
    <row r="10" customFormat="false" ht="15" hidden="false" customHeight="false" outlineLevel="0" collapsed="false">
      <c r="A10" s="4" t="n">
        <v>6</v>
      </c>
      <c r="B10" s="4"/>
      <c r="C10" s="4"/>
      <c r="D10" s="4"/>
      <c r="E10" s="9"/>
      <c r="F10" s="8"/>
      <c r="G10" s="25" t="str">
        <f aca="false">IF(E10="","",Ageing_Summary!$C$3-E10)</f>
        <v/>
      </c>
      <c r="H10" s="4" t="str">
        <f aca="false">IF(G10="","",IF(G10&lt;=30,"0-30 days",IF(G10&lt;=60,"31-60 days","60+ days")))</f>
        <v/>
      </c>
      <c r="I10" s="4"/>
    </row>
    <row r="12" customFormat="false" ht="15" hidden="false" customHeight="false" outlineLevel="0" collapsed="false">
      <c r="A12" s="2" t="s">
        <v>85</v>
      </c>
    </row>
  </sheetData>
  <autoFilter ref="A4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13" t="s">
        <v>88</v>
      </c>
      <c r="C3" s="26" t="n">
        <v>46142</v>
      </c>
      <c r="D3" s="2" t="s">
        <v>89</v>
      </c>
    </row>
    <row r="5" customFormat="false" ht="15" hidden="false" customHeight="false" outlineLevel="0" collapsed="false">
      <c r="A5" s="13" t="s">
        <v>90</v>
      </c>
    </row>
    <row r="6" customFormat="false" ht="31.5" hidden="false" customHeight="true" outlineLevel="0" collapsed="false">
      <c r="A6" s="3" t="s">
        <v>68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</row>
    <row r="7" customFormat="false" ht="15" hidden="false" customHeight="false" outlineLevel="0" collapsed="false">
      <c r="A7" s="6" t="s">
        <v>75</v>
      </c>
      <c r="B7" s="8" t="n">
        <f aca="false">SUMIFS(AR_AP_Data!$F$5:$F$10,AR_AP_Data!$B$5:$B$10,"Receivable",AR_AP_Data!$C$5:$C$10,$A7,AR_AP_Data!$H$5:$H$10,B$6)</f>
        <v>354000</v>
      </c>
      <c r="C7" s="8" t="n">
        <f aca="false">SUMIFS(AR_AP_Data!$F$5:$F$10,AR_AP_Data!$B$5:$B$10,"Receivable",AR_AP_Data!$C$5:$C$10,$A7,AR_AP_Data!$H$5:$H$10,C$6)</f>
        <v>0</v>
      </c>
      <c r="D7" s="8" t="n">
        <f aca="false">SUMIFS(AR_AP_Data!$F$5:$F$10,AR_AP_Data!$B$5:$B$10,"Receivable",AR_AP_Data!$C$5:$C$10,$A7,AR_AP_Data!$H$5:$H$10,D$6)</f>
        <v>0</v>
      </c>
      <c r="E7" s="8" t="n">
        <f aca="false">SUM(B7:D7)</f>
        <v>354000</v>
      </c>
      <c r="F7" s="27" t="n">
        <f aca="false">IF($E$8=0,0,E7/$E$8)</f>
        <v>1</v>
      </c>
    </row>
    <row r="8" customFormat="false" ht="15" hidden="false" customHeight="false" outlineLevel="0" collapsed="false">
      <c r="A8" s="11" t="s">
        <v>43</v>
      </c>
      <c r="B8" s="12" t="n">
        <f aca="false">SUM(B7:B7)</f>
        <v>354000</v>
      </c>
      <c r="C8" s="12" t="n">
        <f aca="false">SUM(C7:C7)</f>
        <v>0</v>
      </c>
      <c r="D8" s="12" t="n">
        <f aca="false">SUM(D7:D7)</f>
        <v>0</v>
      </c>
      <c r="E8" s="12" t="n">
        <f aca="false">SUM(E7:E7)</f>
        <v>354000</v>
      </c>
      <c r="F8" s="28" t="n">
        <f aca="false">IF($E$8=0,0,E8/$E$8)</f>
        <v>1</v>
      </c>
    </row>
    <row r="9" customFormat="false" ht="15" hidden="false" customHeight="false" outlineLevel="0" collapsed="false">
      <c r="A9" s="2" t="s">
        <v>95</v>
      </c>
      <c r="B9" s="29" t="n">
        <f aca="false">IF($E$8=0,0,B8/$E$8)</f>
        <v>1</v>
      </c>
      <c r="C9" s="29" t="n">
        <f aca="false">IF($E$8=0,0,C8/$E$8)</f>
        <v>0</v>
      </c>
      <c r="D9" s="29" t="n">
        <f aca="false">IF($E$8=0,0,D8/$E$8)</f>
        <v>0</v>
      </c>
      <c r="E9" s="29" t="n">
        <f aca="false">IF($E$8=0,0,E8/$E$8)</f>
        <v>1</v>
      </c>
    </row>
    <row r="12" customFormat="false" ht="15" hidden="false" customHeight="false" outlineLevel="0" collapsed="false">
      <c r="A12" s="13" t="s">
        <v>96</v>
      </c>
    </row>
    <row r="13" customFormat="false" ht="31.5" hidden="false" customHeight="true" outlineLevel="0" collapsed="false">
      <c r="A13" s="3" t="s">
        <v>68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</row>
    <row r="14" customFormat="false" ht="15" hidden="false" customHeight="false" outlineLevel="0" collapsed="false">
      <c r="A14" s="6" t="s">
        <v>79</v>
      </c>
      <c r="B14" s="8" t="n">
        <f aca="false">SUMIFS(AR_AP_Data!$F$5:$F$10,AR_AP_Data!$B$5:$B$10,"Payable",AR_AP_Data!$C$5:$C$10,$A14,AR_AP_Data!$H$5:$H$10,B$13)</f>
        <v>118000</v>
      </c>
      <c r="C14" s="8" t="n">
        <f aca="false">SUMIFS(AR_AP_Data!$F$5:$F$10,AR_AP_Data!$B$5:$B$10,"Payable",AR_AP_Data!$C$5:$C$10,$A14,AR_AP_Data!$H$5:$H$10,C$13)</f>
        <v>0</v>
      </c>
      <c r="D14" s="8" t="n">
        <f aca="false">SUMIFS(AR_AP_Data!$F$5:$F$10,AR_AP_Data!$B$5:$B$10,"Payable",AR_AP_Data!$C$5:$C$10,$A14,AR_AP_Data!$H$5:$H$10,D$13)</f>
        <v>0</v>
      </c>
      <c r="E14" s="8" t="n">
        <f aca="false">SUM(B14:D14)</f>
        <v>118000</v>
      </c>
      <c r="F14" s="27" t="n">
        <f aca="false">IF($E$16=0,0,E14/$E$16)</f>
        <v>0.333333333333333</v>
      </c>
    </row>
    <row r="15" customFormat="false" ht="15" hidden="false" customHeight="false" outlineLevel="0" collapsed="false">
      <c r="A15" s="6" t="s">
        <v>82</v>
      </c>
      <c r="B15" s="8" t="n">
        <f aca="false">SUMIFS(AR_AP_Data!$F$5:$F$10,AR_AP_Data!$B$5:$B$10,"Payable",AR_AP_Data!$C$5:$C$10,$A15,AR_AP_Data!$H$5:$H$10,B$13)</f>
        <v>236000</v>
      </c>
      <c r="C15" s="8" t="n">
        <f aca="false">SUMIFS(AR_AP_Data!$F$5:$F$10,AR_AP_Data!$B$5:$B$10,"Payable",AR_AP_Data!$C$5:$C$10,$A15,AR_AP_Data!$H$5:$H$10,C$13)</f>
        <v>0</v>
      </c>
      <c r="D15" s="8" t="n">
        <f aca="false">SUMIFS(AR_AP_Data!$F$5:$F$10,AR_AP_Data!$B$5:$B$10,"Payable",AR_AP_Data!$C$5:$C$10,$A15,AR_AP_Data!$H$5:$H$10,D$13)</f>
        <v>0</v>
      </c>
      <c r="E15" s="8" t="n">
        <f aca="false">SUM(B15:D15)</f>
        <v>236000</v>
      </c>
      <c r="F15" s="27" t="n">
        <f aca="false">IF($E$16=0,0,E15/$E$16)</f>
        <v>0.666666666666667</v>
      </c>
    </row>
    <row r="16" customFormat="false" ht="15" hidden="false" customHeight="false" outlineLevel="0" collapsed="false">
      <c r="A16" s="11" t="s">
        <v>43</v>
      </c>
      <c r="B16" s="12" t="n">
        <f aca="false">SUM(B14:B15)</f>
        <v>354000</v>
      </c>
      <c r="C16" s="12" t="n">
        <f aca="false">SUM(C14:C15)</f>
        <v>0</v>
      </c>
      <c r="D16" s="12" t="n">
        <f aca="false">SUM(D14:D15)</f>
        <v>0</v>
      </c>
      <c r="E16" s="12" t="n">
        <f aca="false">SUM(E14:E15)</f>
        <v>354000</v>
      </c>
      <c r="F16" s="28" t="n">
        <f aca="false">IF($E$16=0,0,E16/$E$16)</f>
        <v>1</v>
      </c>
    </row>
    <row r="17" customFormat="false" ht="15" hidden="false" customHeight="false" outlineLevel="0" collapsed="false">
      <c r="A17" s="2" t="s">
        <v>95</v>
      </c>
      <c r="B17" s="29" t="n">
        <f aca="false">IF($E$16=0,0,B16/$E$16)</f>
        <v>1</v>
      </c>
      <c r="C17" s="29" t="n">
        <f aca="false">IF($E$16=0,0,C16/$E$16)</f>
        <v>0</v>
      </c>
      <c r="D17" s="29" t="n">
        <f aca="false">IF($E$16=0,0,D16/$E$16)</f>
        <v>0</v>
      </c>
      <c r="E17" s="29" t="n">
        <f aca="false">IF($E$16=0,0,E16/$E$16)</f>
        <v>1</v>
      </c>
    </row>
    <row r="20" customFormat="false" ht="15" hidden="false" customHeight="false" outlineLevel="0" collapsed="false">
      <c r="A20" s="13" t="s">
        <v>97</v>
      </c>
    </row>
    <row r="21" customFormat="false" ht="31.5" hidden="false" customHeight="true" outlineLevel="0" collapsed="false">
      <c r="A21" s="3" t="s">
        <v>6</v>
      </c>
      <c r="B21" s="3" t="s">
        <v>91</v>
      </c>
      <c r="C21" s="3" t="s">
        <v>92</v>
      </c>
      <c r="D21" s="3" t="s">
        <v>93</v>
      </c>
      <c r="E21" s="3" t="s">
        <v>94</v>
      </c>
    </row>
    <row r="22" customFormat="false" ht="15" hidden="false" customHeight="false" outlineLevel="0" collapsed="false">
      <c r="A22" s="14" t="s">
        <v>98</v>
      </c>
      <c r="B22" s="20" t="n">
        <f aca="false">B8</f>
        <v>354000</v>
      </c>
      <c r="C22" s="20" t="n">
        <f aca="false">C8</f>
        <v>0</v>
      </c>
      <c r="D22" s="20" t="n">
        <f aca="false">D8</f>
        <v>0</v>
      </c>
      <c r="E22" s="20" t="n">
        <f aca="false">E8</f>
        <v>354000</v>
      </c>
    </row>
    <row r="23" customFormat="false" ht="15" hidden="false" customHeight="false" outlineLevel="0" collapsed="false">
      <c r="A23" s="14" t="s">
        <v>99</v>
      </c>
      <c r="B23" s="20" t="n">
        <f aca="false">B16</f>
        <v>354000</v>
      </c>
      <c r="C23" s="20" t="n">
        <f aca="false">C16</f>
        <v>0</v>
      </c>
      <c r="D23" s="20" t="n">
        <f aca="false">D16</f>
        <v>0</v>
      </c>
      <c r="E23" s="20" t="n">
        <f aca="false">E16</f>
        <v>354000</v>
      </c>
    </row>
    <row r="24" customFormat="false" ht="15" hidden="false" customHeight="false" outlineLevel="0" collapsed="false">
      <c r="A24" s="30" t="s">
        <v>100</v>
      </c>
      <c r="B24" s="24" t="n">
        <f aca="false">B22-B23</f>
        <v>0</v>
      </c>
      <c r="C24" s="24" t="n">
        <f aca="false">C22-C23</f>
        <v>0</v>
      </c>
      <c r="D24" s="24" t="n">
        <f aca="false">D22-D23</f>
        <v>0</v>
      </c>
      <c r="E24" s="24" t="n">
        <f aca="false">E22-E23</f>
        <v>0</v>
      </c>
    </row>
    <row r="26" customFormat="false" ht="15" hidden="false" customHeight="false" outlineLevel="0" collapsed="false">
      <c r="A26" s="13" t="s">
        <v>101</v>
      </c>
    </row>
    <row r="27" customFormat="false" ht="15" hidden="false" customHeight="false" outlineLevel="0" collapsed="false">
      <c r="A27" s="31" t="s">
        <v>102</v>
      </c>
      <c r="B27" s="32" t="n">
        <f aca="false">E8-SUMIFS(AR_AP_Data!$F$5:$F$10,AR_AP_Data!$B$5:$B$10,"Receivable")</f>
        <v>0</v>
      </c>
    </row>
    <row r="28" customFormat="false" ht="15" hidden="false" customHeight="false" outlineLevel="0" collapsed="false">
      <c r="A28" s="31" t="s">
        <v>103</v>
      </c>
      <c r="B28" s="32" t="n">
        <f aca="false">E16-SUMIFS(AR_AP_Data!$F$5:$F$10,AR_AP_Data!$B$5:$B$10,"Payable")</f>
        <v>0</v>
      </c>
    </row>
    <row r="29" customFormat="false" ht="15" hidden="false" customHeight="false" outlineLevel="0" collapsed="false">
      <c r="A29" s="2" t="s">
        <v>104</v>
      </c>
    </row>
  </sheetData>
  <conditionalFormatting sqref="D7">
    <cfRule type="cellIs" priority="2" operator="greaterThan" aboveAverage="0" equalAverage="0" bottom="0" percent="0" rank="0" text="" dxfId="2">
      <formula>0</formula>
    </cfRule>
  </conditionalFormatting>
  <conditionalFormatting sqref="D14:D15"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1.5" hidden="false" customHeight="true" outlineLevel="0" collapsed="false">
      <c r="A4" s="3" t="s">
        <v>107</v>
      </c>
      <c r="B4" s="3" t="s">
        <v>108</v>
      </c>
    </row>
    <row r="5" customFormat="false" ht="30" hidden="false" customHeight="true" outlineLevel="0" collapsed="false">
      <c r="A5" s="33" t="n">
        <v>1</v>
      </c>
      <c r="B5" s="22" t="s">
        <v>109</v>
      </c>
    </row>
    <row r="6" customFormat="false" ht="30" hidden="false" customHeight="true" outlineLevel="0" collapsed="false">
      <c r="A6" s="33" t="n">
        <v>2</v>
      </c>
      <c r="B6" s="22" t="s">
        <v>110</v>
      </c>
    </row>
    <row r="7" customFormat="false" ht="30" hidden="false" customHeight="true" outlineLevel="0" collapsed="false">
      <c r="A7" s="33" t="n">
        <v>3</v>
      </c>
      <c r="B7" s="22" t="s">
        <v>111</v>
      </c>
    </row>
    <row r="8" customFormat="false" ht="30" hidden="false" customHeight="true" outlineLevel="0" collapsed="false">
      <c r="A8" s="33" t="n">
        <v>4</v>
      </c>
      <c r="B8" s="22" t="s">
        <v>112</v>
      </c>
    </row>
    <row r="9" customFormat="false" ht="30" hidden="false" customHeight="true" outlineLevel="0" collapsed="false">
      <c r="A9" s="33" t="n">
        <v>5</v>
      </c>
      <c r="B9" s="22" t="s">
        <v>113</v>
      </c>
    </row>
    <row r="10" customFormat="false" ht="30" hidden="false" customHeight="true" outlineLevel="0" collapsed="false">
      <c r="A10" s="33" t="n">
        <v>6</v>
      </c>
      <c r="B10" s="22" t="s">
        <v>114</v>
      </c>
    </row>
    <row r="11" customFormat="false" ht="30" hidden="false" customHeight="true" outlineLevel="0" collapsed="false">
      <c r="A11" s="33" t="n">
        <v>7</v>
      </c>
      <c r="B11" s="2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2026-10-06T01:15:46Z</dcterms:created>
  <dc:creator>openpyxl</dc:creator>
  <dc:description/>
  <dc:language>en-US</dc:language>
  <cp:lastModifiedBy/>
  <dcterms:modified xsi:type="dcterms:W3CDTF">2026-10-06T01:15:46Z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