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 Data - PL" sheetId="2" state="visible" r:id="rId4"/>
    <sheet name="Raw Data - BS" sheetId="3" state="visible" r:id="rId5"/>
    <sheet name="Raw Data - CF" sheetId="4" state="visible" r:id="rId6"/>
    <sheet name="Ratio Analysis" sheetId="5" state="visible" r:id="rId7"/>
    <sheet name="Trend Analysis" sheetId="6" state="visible" r:id="rId8"/>
    <sheet name="Insigh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Source: TCS Consolidated Financial Statements (IFRS), TCS Investor Relations 'Data Sheet' (tcs.com &gt; Investor Relations &gt; Resources), FY21-FY25, as reported in INR Mn, converted to INR Crore (divide by 10).</t>
        </r>
      </text>
    </comment>
    <comment ref="A13" authorId="0">
      <text>
        <r>
          <rPr>
            <sz val="10"/>
            <rFont val="Arial"/>
            <family val="2"/>
          </rPr>
          <t xml:space="preserve">TCS discloses minimal financial debt; interest/finance cost is netted within 'Total Other Income/(Expense)' in the source data and not separately broken out. Set to 0 as a simplifying assumption.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Source: TCS Consolidated Financial Statements (IFRS), TCS Investor Relations 'Data Sheet' (tcs.com &gt; Investor Relations &gt; Resources), FY21-FY25, as reported in INR Mn, converted to INR Crore (divide by 10).</t>
        </r>
      </text>
    </comment>
    <comment ref="A15" authorId="0">
      <text>
        <r>
          <rPr>
            <sz val="10"/>
            <rFont val="Arial"/>
            <family val="2"/>
          </rPr>
          <t xml:space="preserve">Simplified to Property Plant &amp; Equipment (net) + Right-of-use assets + Goodwill + Other Intangible Assets. Other non-current items (investments, deferred tax assets, non-current bank deposits) are excluded for simplicity, so Net Fixed Assets + Total Current Assets will not exactly equal Total Assets.</t>
        </r>
      </text>
    </comment>
    <comment ref="A18" authorId="0">
      <text>
        <r>
          <rPr>
            <sz val="10"/>
            <rFont val="Arial"/>
            <family val="2"/>
          </rPr>
          <t xml:space="preserve">TCS is an IT services company and does not hold inventory in the traditional sense; set to 0.</t>
        </r>
      </text>
    </comment>
  </commentList>
</comments>
</file>

<file path=xl/sharedStrings.xml><?xml version="1.0" encoding="utf-8"?>
<sst xmlns="http://schemas.openxmlformats.org/spreadsheetml/2006/main" count="140" uniqueCount="115">
  <si>
    <t xml:space="preserve">Financial Statement Analysis Dashboard — TCS</t>
  </si>
  <si>
    <t xml:space="preserve">Excel + Power BI Portfolio Project</t>
  </si>
  <si>
    <t xml:space="preserve">HOW TO USE THIS WORKBOOK</t>
  </si>
  <si>
    <t xml:space="preserve">1. Get data from screener.in (search 'TCS' -&gt; Balance Sheet / Profit &amp; Loss / Cash Flow tabs) or tcs.com &gt; Investors &gt; Annual Reports.</t>
  </si>
  <si>
    <t xml:space="preserve">2. Fill in ONLY the yellow cells on the 'Raw Data - PL', 'Raw Data - BS', 'Raw Data - CF' sheets with actual figures in Rs. Crore for FY21-FY25.</t>
  </si>
  <si>
    <t xml:space="preserve">3. 'Ratio Analysis' and 'Trend Analysis' sheets are 100% FORMULAS linked to the Raw Data sheets — they update automatically once you fill in the inputs.</t>
  </si>
  <si>
    <t xml:space="preserve">4. Once populated, run File &gt; Import in Power BI Desktop (Get Data &gt; Excel Workbook) and build visuals on top of the Ratio Analysis and Trend Analysis tables.</t>
  </si>
  <si>
    <t xml:space="preserve">5. Write your own analyst-style commentary on the 'Insights' sheet — this is what turns it from a spreadsheet into a portfolio piece.</t>
  </si>
  <si>
    <t xml:space="preserve">SHEET GUIDE</t>
  </si>
  <si>
    <t xml:space="preserve">Raw Data - PL   : Revenue, expenses, profit figures (fill yellow cells)</t>
  </si>
  <si>
    <t xml:space="preserve">Raw Data - BS   : Assets, liabilities, equity figures (fill yellow cells)</t>
  </si>
  <si>
    <t xml:space="preserve">Raw Data - CF   : Operating / investing / financing cash flow (fill yellow cells)</t>
  </si>
  <si>
    <t xml:space="preserve">Ratio Analysis  : Liquidity, profitability, solvency, efficiency ratios (auto-calculated)</t>
  </si>
  <si>
    <t xml:space="preserve">Trend Analysis  : YoY growth (horizontal) and % of revenue (vertical) analysis (auto-calculated)</t>
  </si>
  <si>
    <t xml:space="preserve">Insights        : Space for your written management-commentary style insights</t>
  </si>
  <si>
    <t xml:space="preserve">COLOR KEY</t>
  </si>
  <si>
    <t xml:space="preserve">Yellow fill = cell you must fill in with real data</t>
  </si>
  <si>
    <t xml:space="preserve">Blue text   = hardcoded input</t>
  </si>
  <si>
    <t xml:space="preserve">Black text  = formula within the same sheet</t>
  </si>
  <si>
    <t xml:space="preserve">Green text  = formula linking to another sheet</t>
  </si>
  <si>
    <t xml:space="preserve">Profit &amp; Loss Statement (Rs. Crore)</t>
  </si>
  <si>
    <t xml:space="preserve">Particulars</t>
  </si>
  <si>
    <t xml:space="preserve">FY21</t>
  </si>
  <si>
    <t xml:space="preserve">FY22</t>
  </si>
  <si>
    <t xml:space="preserve">FY23</t>
  </si>
  <si>
    <t xml:space="preserve">FY24</t>
  </si>
  <si>
    <t xml:space="preserve">FY25</t>
  </si>
  <si>
    <t xml:space="preserve">Revenue from Operations</t>
  </si>
  <si>
    <t xml:space="preserve">Other Income</t>
  </si>
  <si>
    <t xml:space="preserve">Total Income</t>
  </si>
  <si>
    <t xml:space="preserve">Employee Benefit Expense</t>
  </si>
  <si>
    <t xml:space="preserve">Other Expenses</t>
  </si>
  <si>
    <t xml:space="preserve">Total Operating Expenses</t>
  </si>
  <si>
    <t xml:space="preserve">EBITDA</t>
  </si>
  <si>
    <t xml:space="preserve">Depreciation &amp; Amortisation</t>
  </si>
  <si>
    <t xml:space="preserve">EBIT (Operating Profit)</t>
  </si>
  <si>
    <t xml:space="preserve">Finance Costs (Interest)</t>
  </si>
  <si>
    <t xml:space="preserve">Profit Before Tax (PBT)</t>
  </si>
  <si>
    <t xml:space="preserve">Tax Expense</t>
  </si>
  <si>
    <t xml:space="preserve">Profit After Tax (PAT)</t>
  </si>
  <si>
    <t xml:space="preserve">Tip: 'Total Income', 'Total Operating Expenses', 'EBITDA', 'EBIT', 'PBT', 'PAT' can be typed as formulas if you prefer, e.g. Total Income = Revenue + Other Income</t>
  </si>
  <si>
    <t xml:space="preserve">Source: fill from screener.in Profit &amp; Loss tab or company Annual Report</t>
  </si>
  <si>
    <t xml:space="preserve">Balance Sheet (Rs. Crore)</t>
  </si>
  <si>
    <t xml:space="preserve">Share Capital</t>
  </si>
  <si>
    <t xml:space="preserve">Reserves &amp; Surplus</t>
  </si>
  <si>
    <t xml:space="preserve">Total Shareholders' Equity (incl. NCI)</t>
  </si>
  <si>
    <t xml:space="preserve">Long-Term Borrowings</t>
  </si>
  <si>
    <t xml:space="preserve">Short-Term Borrowings</t>
  </si>
  <si>
    <t xml:space="preserve">Trade Payables</t>
  </si>
  <si>
    <t xml:space="preserve">Other Current Liabilities</t>
  </si>
  <si>
    <t xml:space="preserve">Total Current Liabilities</t>
  </si>
  <si>
    <t xml:space="preserve">Total Debt</t>
  </si>
  <si>
    <t xml:space="preserve">Other Long-Term Liabilities</t>
  </si>
  <si>
    <t xml:space="preserve">Total Liabilities</t>
  </si>
  <si>
    <t xml:space="preserve">Net Fixed Assets</t>
  </si>
  <si>
    <t xml:space="preserve">Cash &amp; Cash Equivalents</t>
  </si>
  <si>
    <t xml:space="preserve">Trade Receivables</t>
  </si>
  <si>
    <t xml:space="preserve">Inventory</t>
  </si>
  <si>
    <t xml:space="preserve">Other Current Assets</t>
  </si>
  <si>
    <t xml:space="preserve">Total Current Assets</t>
  </si>
  <si>
    <t xml:space="preserve">Total Assets</t>
  </si>
  <si>
    <t xml:space="preserve">Tip: 'Total Shareholders' Equity', 'Total Current Liabilities', 'Total Debt', 'Total Liabilities', 'Total Current Assets', 'Total Assets' can be SUM formulas of the rows above them</t>
  </si>
  <si>
    <t xml:space="preserve">Source: fill from screener.in Balance Sheet tab or company Annual Report</t>
  </si>
  <si>
    <t xml:space="preserve">Note: Total Shareholders' Equity (row 6) has been corrected to include Non-Controlling Interests (675 / 707 / 782 / 830 / 1,015 Cr for FY21-FY25) — TCS's consolidated subsidiaries' minority stake, sourced from TCS's audited Statement of Changes in Equity. This was missing in the original data, which caused Total Assets to not equal Total Equity + Total Liabilities.</t>
  </si>
  <si>
    <t xml:space="preserve">Cash Flow Statement (Rs. Crore)</t>
  </si>
  <si>
    <t xml:space="preserve">Cash Flow from Operating Activities</t>
  </si>
  <si>
    <t xml:space="preserve">Cash Flow from Investing Activities</t>
  </si>
  <si>
    <t xml:space="preserve">Cash Flow from Financing Activities</t>
  </si>
  <si>
    <t xml:space="preserve">Net Increase / Decrease in Cash</t>
  </si>
  <si>
    <t xml:space="preserve">NOTE: Cash Flow Statement was not available in the TCS Investor Relations Data Sheet used for the P&amp;L and Balance Sheet above. Source separately from the Annual Report (Consolidated Cash Flow Statement) if required, or omit Cash Flow ratios from the project scope.</t>
  </si>
  <si>
    <t xml:space="preserve">Ratio Analysis</t>
  </si>
  <si>
    <t xml:space="preserve">Ratio</t>
  </si>
  <si>
    <t xml:space="preserve">LIQUIDITY RATIOS</t>
  </si>
  <si>
    <t xml:space="preserve">Current Ratio</t>
  </si>
  <si>
    <t xml:space="preserve">Quick Ratio</t>
  </si>
  <si>
    <t xml:space="preserve">PROFITABILITY RATIOS</t>
  </si>
  <si>
    <t xml:space="preserve">Net Profit Margin</t>
  </si>
  <si>
    <t xml:space="preserve">EBITDA Margin</t>
  </si>
  <si>
    <t xml:space="preserve">Return on Equity (ROE)</t>
  </si>
  <si>
    <t xml:space="preserve">Return on Assets (ROA)</t>
  </si>
  <si>
    <t xml:space="preserve">SOLVENCY RATIOS</t>
  </si>
  <si>
    <t xml:space="preserve">Debt-to-Equity Ratio</t>
  </si>
  <si>
    <t xml:space="preserve">Interest Coverage Ratio</t>
  </si>
  <si>
    <t xml:space="preserve">EFFICIENCY RATIOS</t>
  </si>
  <si>
    <t xml:space="preserve">Asset Turnover Ratio</t>
  </si>
  <si>
    <t xml:space="preserve">Inventory Turnover Ratio</t>
  </si>
  <si>
    <t xml:space="preserve">Receivables Turnover Ratio</t>
  </si>
  <si>
    <t xml:space="preserve">Trend Analysis</t>
  </si>
  <si>
    <t xml:space="preserve">Metric</t>
  </si>
  <si>
    <t xml:space="preserve">HORIZONTAL ANALYSIS (YoY GROWTH %)</t>
  </si>
  <si>
    <t xml:space="preserve">Revenue Growth %</t>
  </si>
  <si>
    <t xml:space="preserve">n/a — base year</t>
  </si>
  <si>
    <t xml:space="preserve">EBITDA Growth %</t>
  </si>
  <si>
    <t xml:space="preserve">PAT Growth %</t>
  </si>
  <si>
    <t xml:space="preserve">Total Assets Growth %</t>
  </si>
  <si>
    <t xml:space="preserve">VERTICAL ANALYSIS (% OF REVENUE)</t>
  </si>
  <si>
    <t xml:space="preserve">Total Operating Expenses % of Revenue</t>
  </si>
  <si>
    <t xml:space="preserve">EBITDA % of Revenue</t>
  </si>
  <si>
    <t xml:space="preserve">EBIT % of Revenue</t>
  </si>
  <si>
    <t xml:space="preserve">PAT % of Revenue</t>
  </si>
  <si>
    <t xml:space="preserve">Management Insight Summary</t>
  </si>
  <si>
    <t xml:space="preserve">area</t>
  </si>
  <si>
    <t xml:space="preserve">Insight</t>
  </si>
  <si>
    <t xml:space="preserve">Revenue &amp; Growth</t>
  </si>
  <si>
    <t xml:space="preserve">Revenue grew from ₹1,64,177 Cr (FY21) to ₹2,55,324 Cr (FY25), a ~55% increase over 5 years — though growth slowed from ~17% YoY (FY22-23) to ~6% (FY24-25), reflecting a maturing IT services demand environment.</t>
  </si>
  <si>
    <t xml:space="preserve">Profitability</t>
  </si>
  <si>
    <t xml:space="preserve">Net Profit Margin stayed strong (~19-20%) despite slowing growth, and ROE improved significantly from 37.4% to 49.6%, showing efficient use of shareholder capital.</t>
  </si>
  <si>
    <t xml:space="preserve">Liquidity Position</t>
  </si>
  <si>
    <t xml:space="preserve">Current Ratio declined from 2.91x to 2.32x — still comfortably above 1x, indicating strong short-term solvency, though liquidity buffer has thinned slightly.</t>
  </si>
  <si>
    <t xml:space="preserve">Solvency / Leverage</t>
  </si>
  <si>
    <t xml:space="preserve">Debt-to-Equity remained below 0.1x throughout FY21-25, showing TCS operates with virtually no financial leverage — a hallmark of asset-light IT services companies.</t>
  </si>
  <si>
    <t xml:space="preserve">Efficiency</t>
  </si>
  <si>
    <t xml:space="preserve">Asset Turnover improved from 1.24x to 1.58x, meaning TCS generates more revenue per rupee of assets over time — a sign of improving operational efficiency.</t>
  </si>
  <si>
    <t xml:space="preserve">Overall Investment View</t>
  </si>
  <si>
    <t xml:space="preserve">TCS shows a financially healthy, low-risk profile — strong margins, near-zero debt, and improving efficiency — though revenue growth has decelerated, a trend worth monitoring going forward.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</si>
</sst>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0\x;\(0.00&quot;x)&quot;;\-"/>
    <numFmt numFmtId="167" formatCode="0.0%;\(0.0%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name val="Arial"/>
      <family val="2"/>
    </font>
    <font>
      <i val="true"/>
      <sz val="9"/>
      <color rgb="FFC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i val="true"/>
      <sz val="9"/>
      <color rgb="FF80808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548235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1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5" t="s">
        <v>2</v>
      </c>
    </row>
    <row r="5" customFormat="false" ht="15" hidden="false" customHeight="true" outlineLevel="0" collapsed="false">
      <c r="A5" s="4" t="s">
        <v>3</v>
      </c>
    </row>
    <row r="6" customFormat="false" ht="15" hidden="false" customHeight="true" outlineLevel="0" collapsed="false">
      <c r="A6" s="4" t="s">
        <v>4</v>
      </c>
    </row>
    <row r="7" customFormat="false" ht="15" hidden="false" customHeight="true" outlineLevel="0" collapsed="false">
      <c r="A7" s="4" t="s">
        <v>5</v>
      </c>
    </row>
    <row r="8" customFormat="false" ht="15" hidden="false" customHeight="true" outlineLevel="0" collapsed="false">
      <c r="A8" s="4" t="s">
        <v>6</v>
      </c>
    </row>
    <row r="9" customFormat="false" ht="15" hidden="false" customHeight="true" outlineLevel="0" collapsed="false">
      <c r="A9" s="4" t="s">
        <v>7</v>
      </c>
    </row>
    <row r="10" customFormat="false" ht="15" hidden="false" customHeight="true" outlineLevel="0" collapsed="false">
      <c r="A10" s="4"/>
    </row>
    <row r="11" customFormat="false" ht="15" hidden="false" customHeight="true" outlineLevel="0" collapsed="false">
      <c r="A11" s="5" t="s">
        <v>8</v>
      </c>
    </row>
    <row r="12" customFormat="false" ht="15" hidden="false" customHeight="true" outlineLevel="0" collapsed="false">
      <c r="A12" s="4" t="s">
        <v>9</v>
      </c>
    </row>
    <row r="13" customFormat="false" ht="15" hidden="false" customHeight="true" outlineLevel="0" collapsed="false">
      <c r="A13" s="4" t="s">
        <v>10</v>
      </c>
    </row>
    <row r="14" customFormat="false" ht="15" hidden="false" customHeight="true" outlineLevel="0" collapsed="false">
      <c r="A14" s="4" t="s">
        <v>11</v>
      </c>
    </row>
    <row r="15" customFormat="false" ht="15" hidden="false" customHeight="true" outlineLevel="0" collapsed="false">
      <c r="A15" s="4" t="s">
        <v>12</v>
      </c>
    </row>
    <row r="16" customFormat="false" ht="15" hidden="false" customHeight="true" outlineLevel="0" collapsed="false">
      <c r="A16" s="4" t="s">
        <v>13</v>
      </c>
    </row>
    <row r="17" customFormat="false" ht="15" hidden="false" customHeight="true" outlineLevel="0" collapsed="false">
      <c r="A17" s="4" t="s">
        <v>14</v>
      </c>
    </row>
    <row r="18" customFormat="false" ht="15" hidden="false" customHeight="true" outlineLevel="0" collapsed="false">
      <c r="A18" s="4"/>
    </row>
    <row r="19" customFormat="false" ht="15" hidden="false" customHeight="true" outlineLevel="0" collapsed="false">
      <c r="A19" s="5" t="s">
        <v>15</v>
      </c>
    </row>
    <row r="20" customFormat="false" ht="15" hidden="false" customHeight="true" outlineLevel="0" collapsed="false">
      <c r="A20" s="4" t="s">
        <v>16</v>
      </c>
    </row>
    <row r="21" customFormat="false" ht="15" hidden="false" customHeight="true" outlineLevel="0" collapsed="false">
      <c r="A21" s="4" t="s">
        <v>17</v>
      </c>
    </row>
    <row r="22" customFormat="false" ht="15" hidden="false" customHeight="true" outlineLevel="0" collapsed="false">
      <c r="A22" s="4" t="s">
        <v>18</v>
      </c>
    </row>
    <row r="23" customFormat="false" ht="15" hidden="false" customHeight="true" outlineLevel="0" collapsed="false">
      <c r="A23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6"/>
    <col collapsed="false" customWidth="true" hidden="false" outlineLevel="0" max="6" min="2" style="1" width="13"/>
  </cols>
  <sheetData>
    <row r="1" customFormat="false" ht="17.25" hidden="false" customHeight="true" outlineLevel="0" collapsed="false">
      <c r="A1" s="6" t="s">
        <v>20</v>
      </c>
      <c r="B1" s="6"/>
      <c r="C1" s="6"/>
      <c r="D1" s="6"/>
      <c r="E1" s="6"/>
      <c r="F1" s="6"/>
    </row>
    <row r="3" customFormat="false" ht="15" hidden="false" customHeight="true" outlineLevel="0" collapsed="false">
      <c r="A3" s="7" t="s">
        <v>21</v>
      </c>
      <c r="B3" s="7" t="s">
        <v>22</v>
      </c>
      <c r="C3" s="7" t="s">
        <v>23</v>
      </c>
      <c r="D3" s="7" t="s">
        <v>24</v>
      </c>
      <c r="E3" s="7" t="s">
        <v>25</v>
      </c>
      <c r="F3" s="7" t="s">
        <v>26</v>
      </c>
    </row>
    <row r="4" customFormat="false" ht="15" hidden="false" customHeight="true" outlineLevel="0" collapsed="false">
      <c r="A4" s="5" t="s">
        <v>27</v>
      </c>
      <c r="B4" s="8" t="n">
        <v>164177</v>
      </c>
      <c r="C4" s="8" t="n">
        <v>191754</v>
      </c>
      <c r="D4" s="8" t="n">
        <v>225458</v>
      </c>
      <c r="E4" s="8" t="n">
        <v>240893</v>
      </c>
      <c r="F4" s="8" t="n">
        <v>255324</v>
      </c>
    </row>
    <row r="5" customFormat="false" ht="15" hidden="false" customHeight="true" outlineLevel="0" collapsed="false">
      <c r="A5" s="5" t="s">
        <v>28</v>
      </c>
      <c r="B5" s="8" t="n">
        <v>2497</v>
      </c>
      <c r="C5" s="8" t="n">
        <v>3234</v>
      </c>
      <c r="D5" s="8" t="n">
        <v>2670</v>
      </c>
      <c r="E5" s="8" t="n">
        <v>3727</v>
      </c>
      <c r="F5" s="8" t="n">
        <v>3166</v>
      </c>
    </row>
    <row r="6" customFormat="false" ht="15" hidden="false" customHeight="true" outlineLevel="0" collapsed="false">
      <c r="A6" s="5" t="s">
        <v>29</v>
      </c>
      <c r="B6" s="8" t="n">
        <v>166674</v>
      </c>
      <c r="C6" s="8" t="n">
        <v>194988</v>
      </c>
      <c r="D6" s="8" t="n">
        <v>228128</v>
      </c>
      <c r="E6" s="8" t="n">
        <v>244620</v>
      </c>
      <c r="F6" s="8" t="n">
        <v>258490</v>
      </c>
    </row>
    <row r="7" customFormat="false" ht="15" hidden="false" customHeight="true" outlineLevel="0" collapsed="false">
      <c r="A7" s="5" t="s">
        <v>30</v>
      </c>
      <c r="B7" s="8" t="n">
        <v>91814</v>
      </c>
      <c r="C7" s="8" t="n">
        <v>107554</v>
      </c>
      <c r="D7" s="8" t="n">
        <v>127522</v>
      </c>
      <c r="E7" s="8" t="n">
        <v>140132</v>
      </c>
      <c r="F7" s="8" t="n">
        <v>145788</v>
      </c>
    </row>
    <row r="8" customFormat="false" ht="15" hidden="false" customHeight="true" outlineLevel="0" collapsed="false">
      <c r="A8" s="5" t="s">
        <v>31</v>
      </c>
      <c r="B8" s="8" t="n">
        <v>29882</v>
      </c>
      <c r="C8" s="8" t="n">
        <v>35747</v>
      </c>
      <c r="D8" s="8" t="n">
        <v>43699</v>
      </c>
      <c r="E8" s="8" t="n">
        <v>41450</v>
      </c>
      <c r="F8" s="8" t="n">
        <v>47371</v>
      </c>
    </row>
    <row r="9" customFormat="false" ht="15" hidden="false" customHeight="true" outlineLevel="0" collapsed="false">
      <c r="A9" s="5" t="s">
        <v>32</v>
      </c>
      <c r="B9" s="8" t="n">
        <v>121696</v>
      </c>
      <c r="C9" s="8" t="n">
        <v>143301</v>
      </c>
      <c r="D9" s="8" t="n">
        <v>171221</v>
      </c>
      <c r="E9" s="8" t="n">
        <v>181582</v>
      </c>
      <c r="F9" s="8" t="n">
        <v>193159</v>
      </c>
    </row>
    <row r="10" customFormat="false" ht="15" hidden="false" customHeight="true" outlineLevel="0" collapsed="false">
      <c r="A10" s="5" t="s">
        <v>33</v>
      </c>
      <c r="B10" s="8" t="n">
        <v>46546</v>
      </c>
      <c r="C10" s="8" t="n">
        <v>53057</v>
      </c>
      <c r="D10" s="8" t="n">
        <v>59260</v>
      </c>
      <c r="E10" s="8" t="n">
        <v>64295</v>
      </c>
      <c r="F10" s="8" t="n">
        <v>67407</v>
      </c>
    </row>
    <row r="11" customFormat="false" ht="15" hidden="false" customHeight="true" outlineLevel="0" collapsed="false">
      <c r="A11" s="5" t="s">
        <v>34</v>
      </c>
      <c r="B11" s="8" t="n">
        <v>4065</v>
      </c>
      <c r="C11" s="8" t="n">
        <v>4604</v>
      </c>
      <c r="D11" s="8" t="n">
        <v>5023</v>
      </c>
      <c r="E11" s="8" t="n">
        <v>4984</v>
      </c>
      <c r="F11" s="8" t="n">
        <v>5242</v>
      </c>
    </row>
    <row r="12" customFormat="false" ht="15" hidden="false" customHeight="true" outlineLevel="0" collapsed="false">
      <c r="A12" s="5" t="s">
        <v>35</v>
      </c>
      <c r="B12" s="8" t="n">
        <v>42481</v>
      </c>
      <c r="C12" s="8" t="n">
        <v>48453</v>
      </c>
      <c r="D12" s="8" t="n">
        <v>54237</v>
      </c>
      <c r="E12" s="8" t="n">
        <v>59311</v>
      </c>
      <c r="F12" s="8" t="n">
        <v>62165</v>
      </c>
    </row>
    <row r="13" customFormat="false" ht="15" hidden="false" customHeight="true" outlineLevel="0" collapsed="false">
      <c r="A13" s="5" t="s">
        <v>36</v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</row>
    <row r="14" customFormat="false" ht="15" hidden="false" customHeight="true" outlineLevel="0" collapsed="false">
      <c r="A14" s="5" t="s">
        <v>37</v>
      </c>
      <c r="B14" s="8" t="n">
        <v>44978</v>
      </c>
      <c r="C14" s="8" t="n">
        <v>51687</v>
      </c>
      <c r="D14" s="8" t="n">
        <v>56907</v>
      </c>
      <c r="E14" s="8" t="n">
        <v>63038</v>
      </c>
      <c r="F14" s="8" t="n">
        <v>65331</v>
      </c>
    </row>
    <row r="15" customFormat="false" ht="15" hidden="false" customHeight="true" outlineLevel="0" collapsed="false">
      <c r="A15" s="5" t="s">
        <v>38</v>
      </c>
      <c r="B15" s="8" t="n">
        <v>11458</v>
      </c>
      <c r="C15" s="8" t="n">
        <v>13238</v>
      </c>
      <c r="D15" s="8" t="n">
        <v>14604</v>
      </c>
      <c r="E15" s="8" t="n">
        <v>16262</v>
      </c>
      <c r="F15" s="8" t="n">
        <v>16534</v>
      </c>
    </row>
    <row r="16" customFormat="false" ht="15" hidden="false" customHeight="true" outlineLevel="0" collapsed="false">
      <c r="A16" s="5" t="s">
        <v>39</v>
      </c>
      <c r="B16" s="8" t="n">
        <v>33388</v>
      </c>
      <c r="C16" s="8" t="n">
        <v>38327</v>
      </c>
      <c r="D16" s="8" t="n">
        <v>42147</v>
      </c>
      <c r="E16" s="8" t="n">
        <v>46585</v>
      </c>
      <c r="F16" s="8" t="n">
        <v>48553</v>
      </c>
    </row>
    <row r="18" customFormat="false" ht="15" hidden="false" customHeight="true" outlineLevel="0" collapsed="false">
      <c r="A18" s="9" t="s">
        <v>40</v>
      </c>
    </row>
    <row r="19" customFormat="false" ht="15" hidden="false" customHeight="true" outlineLevel="0" collapsed="false">
      <c r="A19" s="9" t="s">
        <v>41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6"/>
    <col collapsed="false" customWidth="true" hidden="false" outlineLevel="0" max="6" min="2" style="1" width="13"/>
  </cols>
  <sheetData>
    <row r="1" customFormat="false" ht="17.25" hidden="false" customHeight="true" outlineLevel="0" collapsed="false">
      <c r="A1" s="6" t="s">
        <v>42</v>
      </c>
      <c r="B1" s="6"/>
      <c r="C1" s="6"/>
      <c r="D1" s="6"/>
      <c r="E1" s="6"/>
      <c r="F1" s="6"/>
    </row>
    <row r="3" customFormat="false" ht="15" hidden="false" customHeight="true" outlineLevel="0" collapsed="false">
      <c r="A3" s="7" t="s">
        <v>21</v>
      </c>
      <c r="B3" s="7" t="s">
        <v>22</v>
      </c>
      <c r="C3" s="7" t="s">
        <v>23</v>
      </c>
      <c r="D3" s="7" t="s">
        <v>24</v>
      </c>
      <c r="E3" s="7" t="s">
        <v>25</v>
      </c>
      <c r="F3" s="7" t="s">
        <v>26</v>
      </c>
    </row>
    <row r="4" customFormat="false" ht="15" hidden="false" customHeight="true" outlineLevel="0" collapsed="false">
      <c r="A4" s="5" t="s">
        <v>43</v>
      </c>
      <c r="B4" s="8" t="n">
        <v>370</v>
      </c>
      <c r="C4" s="8" t="n">
        <v>366</v>
      </c>
      <c r="D4" s="8" t="n">
        <v>366</v>
      </c>
      <c r="E4" s="8" t="n">
        <v>362</v>
      </c>
      <c r="F4" s="8" t="n">
        <v>362</v>
      </c>
    </row>
    <row r="5" customFormat="false" ht="15" hidden="false" customHeight="true" outlineLevel="0" collapsed="false">
      <c r="A5" s="5" t="s">
        <v>44</v>
      </c>
      <c r="B5" s="8" t="n">
        <v>88185</v>
      </c>
      <c r="C5" s="8" t="n">
        <v>90893</v>
      </c>
      <c r="D5" s="8" t="n">
        <v>92176</v>
      </c>
      <c r="E5" s="8" t="n">
        <v>92250</v>
      </c>
      <c r="F5" s="8" t="n">
        <v>96520</v>
      </c>
    </row>
    <row r="6" customFormat="false" ht="15" hidden="false" customHeight="true" outlineLevel="0" collapsed="false">
      <c r="A6" s="5" t="s">
        <v>45</v>
      </c>
      <c r="B6" s="8" t="n">
        <v>89230</v>
      </c>
      <c r="C6" s="8" t="n">
        <v>91966</v>
      </c>
      <c r="D6" s="8" t="n">
        <v>93324</v>
      </c>
      <c r="E6" s="8" t="n">
        <v>93442</v>
      </c>
      <c r="F6" s="8" t="n">
        <v>97897</v>
      </c>
    </row>
    <row r="7" customFormat="false" ht="15" hidden="false" customHeight="true" outlineLevel="0" collapsed="false">
      <c r="A7" s="5" t="s">
        <v>46</v>
      </c>
      <c r="B7" s="8" t="n">
        <v>6503</v>
      </c>
      <c r="C7" s="8" t="n">
        <v>6368</v>
      </c>
      <c r="D7" s="8" t="n">
        <v>6203</v>
      </c>
      <c r="E7" s="8" t="n">
        <v>6516</v>
      </c>
      <c r="F7" s="8" t="n">
        <v>7838</v>
      </c>
    </row>
    <row r="8" customFormat="false" ht="15" hidden="false" customHeight="true" outlineLevel="0" collapsed="false">
      <c r="A8" s="5" t="s">
        <v>47</v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</row>
    <row r="9" customFormat="false" ht="15" hidden="false" customHeight="true" outlineLevel="0" collapsed="false">
      <c r="A9" s="5" t="s">
        <v>48</v>
      </c>
      <c r="B9" s="8" t="n">
        <v>7860</v>
      </c>
      <c r="C9" s="8" t="n">
        <v>8045</v>
      </c>
      <c r="D9" s="8" t="n">
        <v>10515</v>
      </c>
      <c r="E9" s="8" t="n">
        <v>9981</v>
      </c>
      <c r="F9" s="8" t="n">
        <v>13909</v>
      </c>
    </row>
    <row r="10" customFormat="false" ht="15" hidden="false" customHeight="true" outlineLevel="0" collapsed="false">
      <c r="A10" s="5" t="s">
        <v>49</v>
      </c>
      <c r="B10" s="8" t="n">
        <v>26295</v>
      </c>
      <c r="C10" s="8" t="n">
        <v>34306</v>
      </c>
      <c r="D10" s="8" t="n">
        <v>33043</v>
      </c>
      <c r="E10" s="8" t="n">
        <v>36123</v>
      </c>
      <c r="F10" s="8" t="n">
        <v>39092</v>
      </c>
    </row>
    <row r="11" customFormat="false" ht="15" hidden="false" customHeight="true" outlineLevel="0" collapsed="false">
      <c r="A11" s="5" t="s">
        <v>50</v>
      </c>
      <c r="B11" s="8" t="n">
        <v>34155</v>
      </c>
      <c r="C11" s="8" t="n">
        <v>42351</v>
      </c>
      <c r="D11" s="8" t="n">
        <v>43558</v>
      </c>
      <c r="E11" s="8" t="n">
        <v>46104</v>
      </c>
      <c r="F11" s="8" t="n">
        <v>53001</v>
      </c>
    </row>
    <row r="12" customFormat="false" ht="15" hidden="false" customHeight="true" outlineLevel="0" collapsed="false">
      <c r="A12" s="5" t="s">
        <v>51</v>
      </c>
      <c r="B12" s="8" t="n">
        <v>6503</v>
      </c>
      <c r="C12" s="8" t="n">
        <v>6368</v>
      </c>
      <c r="D12" s="8" t="n">
        <v>6203</v>
      </c>
      <c r="E12" s="8" t="n">
        <v>6516</v>
      </c>
      <c r="F12" s="8" t="n">
        <v>7838</v>
      </c>
    </row>
    <row r="13" customFormat="false" ht="15" hidden="false" customHeight="true" outlineLevel="0" collapsed="false">
      <c r="A13" s="5" t="s">
        <v>52</v>
      </c>
      <c r="B13" s="8" t="n">
        <v>2993</v>
      </c>
      <c r="C13" s="8" t="n">
        <v>2949</v>
      </c>
      <c r="D13" s="8" t="n">
        <v>2684</v>
      </c>
      <c r="E13" s="8" t="n">
        <v>2510</v>
      </c>
      <c r="F13" s="8" t="n">
        <v>3019</v>
      </c>
    </row>
    <row r="14" customFormat="false" ht="15" hidden="false" customHeight="true" outlineLevel="0" collapsed="false">
      <c r="A14" s="5" t="s">
        <v>53</v>
      </c>
      <c r="B14" s="8" t="n">
        <v>43651</v>
      </c>
      <c r="C14" s="8" t="n">
        <v>51668</v>
      </c>
      <c r="D14" s="8" t="n">
        <v>52445</v>
      </c>
      <c r="E14" s="8" t="n">
        <v>55130</v>
      </c>
      <c r="F14" s="8" t="n">
        <v>63858</v>
      </c>
    </row>
    <row r="15" customFormat="false" ht="15" hidden="false" customHeight="true" outlineLevel="0" collapsed="false">
      <c r="A15" s="5" t="s">
        <v>54</v>
      </c>
      <c r="B15" s="8" t="n">
        <v>24196</v>
      </c>
      <c r="C15" s="8" t="n">
        <v>24752</v>
      </c>
      <c r="D15" s="8" t="n">
        <v>24028</v>
      </c>
      <c r="E15" s="8" t="n">
        <v>23609</v>
      </c>
      <c r="F15" s="8" t="n">
        <v>27171</v>
      </c>
    </row>
    <row r="16" customFormat="false" ht="15" hidden="false" customHeight="true" outlineLevel="0" collapsed="false">
      <c r="A16" s="5" t="s">
        <v>55</v>
      </c>
      <c r="B16" s="8" t="n">
        <v>9120</v>
      </c>
      <c r="C16" s="8" t="n">
        <v>17995</v>
      </c>
      <c r="D16" s="8" t="n">
        <v>10347</v>
      </c>
      <c r="E16" s="8" t="n">
        <v>12815</v>
      </c>
      <c r="F16" s="8" t="n">
        <v>14557</v>
      </c>
    </row>
    <row r="17" customFormat="false" ht="15" hidden="false" customHeight="true" outlineLevel="0" collapsed="false">
      <c r="A17" s="5" t="s">
        <v>56</v>
      </c>
      <c r="B17" s="8" t="n">
        <v>30134</v>
      </c>
      <c r="C17" s="8" t="n">
        <v>34219</v>
      </c>
      <c r="D17" s="8" t="n">
        <v>41198</v>
      </c>
      <c r="E17" s="8" t="n">
        <v>44561</v>
      </c>
      <c r="F17" s="8" t="n">
        <v>50233</v>
      </c>
    </row>
    <row r="18" customFormat="false" ht="15" hidden="false" customHeight="true" outlineLevel="0" collapsed="false">
      <c r="A18" s="5" t="s">
        <v>57</v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</row>
    <row r="19" customFormat="false" ht="15" hidden="false" customHeight="true" outlineLevel="0" collapsed="false">
      <c r="A19" s="5" t="s">
        <v>58</v>
      </c>
      <c r="B19" s="8" t="n">
        <v>60026</v>
      </c>
      <c r="C19" s="8" t="n">
        <v>56096</v>
      </c>
      <c r="D19" s="8" t="n">
        <v>58725</v>
      </c>
      <c r="E19" s="8" t="n">
        <v>55608</v>
      </c>
      <c r="F19" s="8" t="n">
        <v>58221</v>
      </c>
    </row>
    <row r="20" customFormat="false" ht="15" hidden="false" customHeight="true" outlineLevel="0" collapsed="false">
      <c r="A20" s="5" t="s">
        <v>59</v>
      </c>
      <c r="B20" s="8" t="n">
        <v>99280</v>
      </c>
      <c r="C20" s="8" t="n">
        <v>108310</v>
      </c>
      <c r="D20" s="8" t="n">
        <v>110270</v>
      </c>
      <c r="E20" s="8" t="n">
        <v>112984</v>
      </c>
      <c r="F20" s="8" t="n">
        <v>123011</v>
      </c>
    </row>
    <row r="21" customFormat="false" ht="15" hidden="false" customHeight="true" outlineLevel="0" collapsed="false">
      <c r="A21" s="5" t="s">
        <v>60</v>
      </c>
      <c r="B21" s="8" t="n">
        <v>132881</v>
      </c>
      <c r="C21" s="8" t="n">
        <v>143634</v>
      </c>
      <c r="D21" s="8" t="n">
        <v>145769</v>
      </c>
      <c r="E21" s="8" t="n">
        <v>148572</v>
      </c>
      <c r="F21" s="8" t="n">
        <v>161755</v>
      </c>
    </row>
    <row r="23" customFormat="false" ht="15" hidden="false" customHeight="true" outlineLevel="0" collapsed="false">
      <c r="A23" s="9" t="s">
        <v>61</v>
      </c>
    </row>
    <row r="24" customFormat="false" ht="15" hidden="false" customHeight="true" outlineLevel="0" collapsed="false">
      <c r="A24" s="9" t="s">
        <v>62</v>
      </c>
    </row>
    <row r="26" customFormat="false" ht="14.25" hidden="false" customHeight="true" outlineLevel="0" collapsed="false">
      <c r="A26" s="9" t="s">
        <v>63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6"/>
    <col collapsed="false" customWidth="true" hidden="false" outlineLevel="0" max="6" min="2" style="1" width="13"/>
  </cols>
  <sheetData>
    <row r="1" customFormat="false" ht="17.25" hidden="false" customHeight="true" outlineLevel="0" collapsed="false">
      <c r="A1" s="6" t="s">
        <v>64</v>
      </c>
      <c r="B1" s="6"/>
      <c r="C1" s="6"/>
      <c r="D1" s="6"/>
      <c r="E1" s="6"/>
      <c r="F1" s="6"/>
    </row>
    <row r="3" customFormat="false" ht="15" hidden="false" customHeight="true" outlineLevel="0" collapsed="false">
      <c r="A3" s="7" t="s">
        <v>21</v>
      </c>
      <c r="B3" s="7" t="s">
        <v>22</v>
      </c>
      <c r="C3" s="7" t="s">
        <v>23</v>
      </c>
      <c r="D3" s="7" t="s">
        <v>24</v>
      </c>
      <c r="E3" s="7" t="s">
        <v>25</v>
      </c>
      <c r="F3" s="7" t="s">
        <v>26</v>
      </c>
    </row>
    <row r="4" customFormat="false" ht="15" hidden="false" customHeight="true" outlineLevel="0" collapsed="false">
      <c r="A4" s="5" t="s">
        <v>65</v>
      </c>
      <c r="B4" s="8"/>
      <c r="C4" s="8"/>
      <c r="D4" s="8"/>
      <c r="E4" s="8"/>
      <c r="F4" s="8"/>
    </row>
    <row r="5" customFormat="false" ht="15" hidden="false" customHeight="true" outlineLevel="0" collapsed="false">
      <c r="A5" s="5" t="s">
        <v>66</v>
      </c>
      <c r="B5" s="8"/>
      <c r="C5" s="8"/>
      <c r="D5" s="8"/>
      <c r="E5" s="8"/>
      <c r="F5" s="8"/>
    </row>
    <row r="6" customFormat="false" ht="15" hidden="false" customHeight="true" outlineLevel="0" collapsed="false">
      <c r="A6" s="5" t="s">
        <v>67</v>
      </c>
      <c r="B6" s="8"/>
      <c r="C6" s="8"/>
      <c r="D6" s="8"/>
      <c r="E6" s="8"/>
      <c r="F6" s="8"/>
    </row>
    <row r="7" customFormat="false" ht="15" hidden="false" customHeight="true" outlineLevel="0" collapsed="false">
      <c r="A7" s="5" t="s">
        <v>68</v>
      </c>
      <c r="B7" s="8"/>
      <c r="C7" s="8"/>
      <c r="D7" s="8"/>
      <c r="E7" s="8"/>
      <c r="F7" s="8"/>
    </row>
    <row r="9" customFormat="false" ht="15" hidden="false" customHeight="true" outlineLevel="0" collapsed="false">
      <c r="A9" s="10" t="s">
        <v>69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6"/>
    <col collapsed="false" customWidth="true" hidden="false" outlineLevel="0" max="6" min="2" style="1" width="13"/>
  </cols>
  <sheetData>
    <row r="1" customFormat="false" ht="17.25" hidden="false" customHeight="true" outlineLevel="0" collapsed="false">
      <c r="A1" s="6" t="s">
        <v>70</v>
      </c>
      <c r="B1" s="6"/>
      <c r="C1" s="6"/>
      <c r="D1" s="6"/>
      <c r="E1" s="6"/>
      <c r="F1" s="6"/>
    </row>
    <row r="3" customFormat="false" ht="15" hidden="false" customHeight="true" outlineLevel="0" collapsed="false">
      <c r="A3" s="7" t="s">
        <v>71</v>
      </c>
      <c r="B3" s="7" t="s">
        <v>22</v>
      </c>
      <c r="C3" s="7" t="s">
        <v>23</v>
      </c>
      <c r="D3" s="7" t="s">
        <v>24</v>
      </c>
      <c r="E3" s="7" t="s">
        <v>25</v>
      </c>
      <c r="F3" s="7" t="s">
        <v>26</v>
      </c>
    </row>
    <row r="4" customFormat="false" ht="15" hidden="false" customHeight="true" outlineLevel="0" collapsed="false">
      <c r="A4" s="11" t="s">
        <v>72</v>
      </c>
      <c r="B4" s="12"/>
      <c r="C4" s="12"/>
      <c r="D4" s="12"/>
      <c r="E4" s="12"/>
      <c r="F4" s="12"/>
    </row>
    <row r="5" customFormat="false" ht="15" hidden="false" customHeight="true" outlineLevel="0" collapsed="false">
      <c r="A5" s="5" t="s">
        <v>73</v>
      </c>
      <c r="B5" s="13" t="n">
        <f aca="false">IFERROR('Raw Data - BS'!B20/'Raw Data - BS'!B11,0)</f>
        <v>2.90674864587908</v>
      </c>
      <c r="C5" s="13" t="n">
        <f aca="false">IFERROR('Raw Data - BS'!C20/'Raw Data - BS'!C11,0)</f>
        <v>2.55743666029137</v>
      </c>
      <c r="D5" s="13" t="n">
        <f aca="false">IFERROR('Raw Data - BS'!D20/'Raw Data - BS'!D11,0)</f>
        <v>2.53156710592773</v>
      </c>
      <c r="E5" s="13" t="n">
        <f aca="false">IFERROR('Raw Data - BS'!E20/'Raw Data - BS'!E11,0)</f>
        <v>2.45063335068541</v>
      </c>
      <c r="F5" s="13" t="n">
        <f aca="false">IFERROR('Raw Data - BS'!F20/'Raw Data - BS'!F11,0)</f>
        <v>2.32091847323635</v>
      </c>
    </row>
    <row r="6" customFormat="false" ht="15" hidden="false" customHeight="true" outlineLevel="0" collapsed="false">
      <c r="A6" s="5" t="s">
        <v>74</v>
      </c>
      <c r="B6" s="13" t="n">
        <f aca="false">IFERROR(('Raw Data - BS'!B20-'Raw Data - BS'!B18)/'Raw Data - BS'!B11,0)</f>
        <v>2.90674864587908</v>
      </c>
      <c r="C6" s="13" t="n">
        <f aca="false">IFERROR(('Raw Data - BS'!C20-'Raw Data - BS'!C18)/'Raw Data - BS'!C11,0)</f>
        <v>2.55743666029137</v>
      </c>
      <c r="D6" s="13" t="n">
        <f aca="false">IFERROR(('Raw Data - BS'!D20-'Raw Data - BS'!D18)/'Raw Data - BS'!D11,0)</f>
        <v>2.53156710592773</v>
      </c>
      <c r="E6" s="13" t="n">
        <f aca="false">IFERROR(('Raw Data - BS'!E20-'Raw Data - BS'!E18)/'Raw Data - BS'!E11,0)</f>
        <v>2.45063335068541</v>
      </c>
      <c r="F6" s="13" t="n">
        <f aca="false">IFERROR(('Raw Data - BS'!F20-'Raw Data - BS'!F18)/'Raw Data - BS'!F11,0)</f>
        <v>2.32091847323635</v>
      </c>
    </row>
    <row r="8" customFormat="false" ht="15" hidden="false" customHeight="true" outlineLevel="0" collapsed="false">
      <c r="A8" s="11" t="s">
        <v>75</v>
      </c>
      <c r="B8" s="12"/>
      <c r="C8" s="12"/>
      <c r="D8" s="12"/>
      <c r="E8" s="12"/>
      <c r="F8" s="12"/>
    </row>
    <row r="9" customFormat="false" ht="15" hidden="false" customHeight="true" outlineLevel="0" collapsed="false">
      <c r="A9" s="5" t="s">
        <v>76</v>
      </c>
      <c r="B9" s="14" t="n">
        <f aca="false">IFERROR('Raw Data - PL'!B16/'Raw Data - PL'!B4,0)</f>
        <v>0.203365879508092</v>
      </c>
      <c r="C9" s="14" t="n">
        <f aca="false">IFERROR('Raw Data - PL'!C16/'Raw Data - PL'!C4,0)</f>
        <v>0.199875882641301</v>
      </c>
      <c r="D9" s="14" t="n">
        <f aca="false">IFERROR('Raw Data - PL'!D16/'Raw Data - PL'!D4,0)</f>
        <v>0.186939474314506</v>
      </c>
      <c r="E9" s="14" t="n">
        <f aca="false">IFERROR('Raw Data - PL'!E16/'Raw Data - PL'!E4,0)</f>
        <v>0.193384614745966</v>
      </c>
      <c r="F9" s="14" t="n">
        <f aca="false">IFERROR('Raw Data - PL'!F16/'Raw Data - PL'!F4,0)</f>
        <v>0.190162303582899</v>
      </c>
    </row>
    <row r="10" customFormat="false" ht="15" hidden="false" customHeight="true" outlineLevel="0" collapsed="false">
      <c r="A10" s="5" t="s">
        <v>77</v>
      </c>
      <c r="B10" s="14" t="n">
        <f aca="false">IFERROR('Raw Data - PL'!B10/'Raw Data - PL'!B4,0)</f>
        <v>0.283511088642136</v>
      </c>
      <c r="C10" s="14" t="n">
        <f aca="false">IFERROR('Raw Data - PL'!C10/'Raw Data - PL'!C4,0)</f>
        <v>0.276693054642928</v>
      </c>
      <c r="D10" s="14" t="n">
        <f aca="false">IFERROR('Raw Data - PL'!D10/'Raw Data - PL'!D4,0)</f>
        <v>0.262842746764364</v>
      </c>
      <c r="E10" s="14" t="n">
        <f aca="false">IFERROR('Raw Data - PL'!E10/'Raw Data - PL'!E4,0)</f>
        <v>0.266902732748565</v>
      </c>
      <c r="F10" s="14" t="n">
        <f aca="false">IFERROR('Raw Data - PL'!F10/'Raw Data - PL'!F4,0)</f>
        <v>0.264005733891056</v>
      </c>
    </row>
    <row r="11" customFormat="false" ht="15" hidden="false" customHeight="true" outlineLevel="0" collapsed="false">
      <c r="A11" s="5" t="s">
        <v>78</v>
      </c>
      <c r="B11" s="14" t="n">
        <f aca="false">IFERROR('Raw Data - PL'!B16/'Raw Data - BS'!B6,0)</f>
        <v>0.374179087750757</v>
      </c>
      <c r="C11" s="14" t="n">
        <f aca="false">IFERROR('Raw Data - PL'!C16/'Raw Data - BS'!C6,0)</f>
        <v>0.41675184307244</v>
      </c>
      <c r="D11" s="14" t="n">
        <f aca="false">IFERROR('Raw Data - PL'!D16/'Raw Data - BS'!D6,0)</f>
        <v>0.451620162016202</v>
      </c>
      <c r="E11" s="14" t="n">
        <f aca="false">IFERROR('Raw Data - PL'!E16/'Raw Data - BS'!E6,0)</f>
        <v>0.49854455170052</v>
      </c>
      <c r="F11" s="14" t="n">
        <f aca="false">IFERROR('Raw Data - PL'!F16/'Raw Data - BS'!F6,0)</f>
        <v>0.495960039633492</v>
      </c>
    </row>
    <row r="12" customFormat="false" ht="15" hidden="false" customHeight="true" outlineLevel="0" collapsed="false">
      <c r="A12" s="5" t="s">
        <v>79</v>
      </c>
      <c r="B12" s="14" t="n">
        <f aca="false">IFERROR('Raw Data - PL'!B16/'Raw Data - BS'!B21,0)</f>
        <v>0.251262407718184</v>
      </c>
      <c r="C12" s="14" t="n">
        <f aca="false">IFERROR('Raw Data - PL'!C16/'Raw Data - BS'!C21,0)</f>
        <v>0.266837935307796</v>
      </c>
      <c r="D12" s="14" t="n">
        <f aca="false">IFERROR('Raw Data - PL'!D16/'Raw Data - BS'!D21,0)</f>
        <v>0.289135550082665</v>
      </c>
      <c r="E12" s="14" t="n">
        <f aca="false">IFERROR('Raw Data - PL'!E16/'Raw Data - BS'!E21,0)</f>
        <v>0.31355167864739</v>
      </c>
      <c r="F12" s="14" t="n">
        <f aca="false">IFERROR('Raw Data - PL'!F16/'Raw Data - BS'!F21,0)</f>
        <v>0.300163828011499</v>
      </c>
    </row>
    <row r="14" customFormat="false" ht="15" hidden="false" customHeight="true" outlineLevel="0" collapsed="false">
      <c r="A14" s="11" t="s">
        <v>80</v>
      </c>
      <c r="B14" s="12"/>
      <c r="C14" s="12"/>
      <c r="D14" s="12"/>
      <c r="E14" s="12"/>
      <c r="F14" s="12"/>
    </row>
    <row r="15" customFormat="false" ht="15" hidden="false" customHeight="true" outlineLevel="0" collapsed="false">
      <c r="A15" s="5" t="s">
        <v>81</v>
      </c>
      <c r="B15" s="13" t="n">
        <f aca="false">IFERROR('Raw Data - BS'!B12/'Raw Data - BS'!B6,0)</f>
        <v>0.0728790765437633</v>
      </c>
      <c r="C15" s="13" t="n">
        <f aca="false">IFERROR('Raw Data - BS'!C12/'Raw Data - BS'!C6,0)</f>
        <v>0.0692429811017115</v>
      </c>
      <c r="D15" s="13" t="n">
        <f aca="false">IFERROR('Raw Data - BS'!D12/'Raw Data - BS'!D6,0)</f>
        <v>0.0664673610218165</v>
      </c>
      <c r="E15" s="13" t="n">
        <f aca="false">IFERROR('Raw Data - BS'!E12/'Raw Data - BS'!E6,0)</f>
        <v>0.0697330964662571</v>
      </c>
      <c r="F15" s="13" t="n">
        <f aca="false">IFERROR('Raw Data - BS'!F12/'Raw Data - BS'!F6,0)</f>
        <v>0.0800637404619141</v>
      </c>
    </row>
    <row r="16" customFormat="false" ht="15" hidden="false" customHeight="true" outlineLevel="0" collapsed="false">
      <c r="A16" s="5" t="s">
        <v>82</v>
      </c>
      <c r="B16" s="13" t="n">
        <f aca="false">IFERROR('Raw Data - PL'!B12/'Raw Data - PL'!B13,0)</f>
        <v>0</v>
      </c>
      <c r="C16" s="13" t="n">
        <f aca="false">IFERROR('Raw Data - PL'!C12/'Raw Data - PL'!C13,0)</f>
        <v>0</v>
      </c>
      <c r="D16" s="13" t="n">
        <f aca="false">IFERROR('Raw Data - PL'!D12/'Raw Data - PL'!D13,0)</f>
        <v>0</v>
      </c>
      <c r="E16" s="13" t="n">
        <f aca="false">IFERROR('Raw Data - PL'!E12/'Raw Data - PL'!E13,0)</f>
        <v>0</v>
      </c>
      <c r="F16" s="13" t="n">
        <f aca="false">IFERROR('Raw Data - PL'!F12/'Raw Data - PL'!F13,0)</f>
        <v>0</v>
      </c>
    </row>
    <row r="18" customFormat="false" ht="15" hidden="false" customHeight="true" outlineLevel="0" collapsed="false">
      <c r="A18" s="11" t="s">
        <v>83</v>
      </c>
      <c r="B18" s="12"/>
      <c r="C18" s="12"/>
      <c r="D18" s="12"/>
      <c r="E18" s="12"/>
      <c r="F18" s="12"/>
    </row>
    <row r="19" customFormat="false" ht="15" hidden="false" customHeight="true" outlineLevel="0" collapsed="false">
      <c r="A19" s="5" t="s">
        <v>84</v>
      </c>
      <c r="B19" s="13" t="n">
        <f aca="false">IFERROR('Raw Data - PL'!B4/'Raw Data - BS'!B21,0)</f>
        <v>1.2355189982014</v>
      </c>
      <c r="C19" s="13" t="n">
        <f aca="false">IFERROR('Raw Data - PL'!C4/'Raw Data - BS'!C21,0)</f>
        <v>1.3350181711851</v>
      </c>
      <c r="D19" s="13" t="n">
        <f aca="false">IFERROR('Raw Data - PL'!D4/'Raw Data - BS'!D21,0)</f>
        <v>1.54668002112932</v>
      </c>
      <c r="E19" s="13" t="n">
        <f aca="false">IFERROR('Raw Data - PL'!E4/'Raw Data - BS'!E21,0)</f>
        <v>1.62138895619632</v>
      </c>
      <c r="F19" s="13" t="n">
        <f aca="false">IFERROR('Raw Data - PL'!F4/'Raw Data - BS'!F21,0)</f>
        <v>1.57846125312973</v>
      </c>
    </row>
    <row r="20" customFormat="false" ht="15" hidden="false" customHeight="true" outlineLevel="0" collapsed="false">
      <c r="A20" s="5" t="s">
        <v>85</v>
      </c>
      <c r="B20" s="13" t="n">
        <f aca="false">IFERROR('Raw Data - PL'!B4/'Raw Data - BS'!B18,0)</f>
        <v>0</v>
      </c>
      <c r="C20" s="13" t="n">
        <f aca="false">IFERROR('Raw Data - PL'!C4/'Raw Data - BS'!C18,0)</f>
        <v>0</v>
      </c>
      <c r="D20" s="13" t="n">
        <f aca="false">IFERROR('Raw Data - PL'!D4/'Raw Data - BS'!D18,0)</f>
        <v>0</v>
      </c>
      <c r="E20" s="13" t="n">
        <f aca="false">IFERROR('Raw Data - PL'!E4/'Raw Data - BS'!E18,0)</f>
        <v>0</v>
      </c>
      <c r="F20" s="13" t="n">
        <f aca="false">IFERROR('Raw Data - PL'!F4/'Raw Data - BS'!F18,0)</f>
        <v>0</v>
      </c>
    </row>
    <row r="21" customFormat="false" ht="15" hidden="false" customHeight="true" outlineLevel="0" collapsed="false">
      <c r="A21" s="5" t="s">
        <v>86</v>
      </c>
      <c r="B21" s="13" t="n">
        <f aca="false">IFERROR('Raw Data - PL'!B4/'Raw Data - BS'!B17,0)</f>
        <v>5.44823123382226</v>
      </c>
      <c r="C21" s="13" t="n">
        <f aca="false">IFERROR('Raw Data - PL'!C4/'Raw Data - BS'!C17,0)</f>
        <v>5.60372892252842</v>
      </c>
      <c r="D21" s="13" t="n">
        <f aca="false">IFERROR('Raw Data - PL'!D4/'Raw Data - BS'!D17,0)</f>
        <v>5.47254721102966</v>
      </c>
      <c r="E21" s="13" t="n">
        <f aca="false">IFERROR('Raw Data - PL'!E4/'Raw Data - BS'!E17,0)</f>
        <v>5.4059154866363</v>
      </c>
      <c r="F21" s="13" t="n">
        <f aca="false">IFERROR('Raw Data - PL'!F4/'Raw Data - BS'!F17,0)</f>
        <v>5.08279417912528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6"/>
    <col collapsed="false" customWidth="true" hidden="false" outlineLevel="0" max="6" min="2" style="1" width="13"/>
  </cols>
  <sheetData>
    <row r="1" customFormat="false" ht="17.25" hidden="false" customHeight="true" outlineLevel="0" collapsed="false">
      <c r="A1" s="6" t="s">
        <v>87</v>
      </c>
      <c r="B1" s="6"/>
      <c r="C1" s="6"/>
      <c r="D1" s="6"/>
      <c r="E1" s="6"/>
      <c r="F1" s="6"/>
    </row>
    <row r="3" customFormat="false" ht="15" hidden="false" customHeight="true" outlineLevel="0" collapsed="false">
      <c r="A3" s="7" t="s">
        <v>88</v>
      </c>
      <c r="B3" s="7" t="s">
        <v>22</v>
      </c>
      <c r="C3" s="7" t="s">
        <v>23</v>
      </c>
      <c r="D3" s="7" t="s">
        <v>24</v>
      </c>
      <c r="E3" s="7" t="s">
        <v>25</v>
      </c>
      <c r="F3" s="7" t="s">
        <v>26</v>
      </c>
    </row>
    <row r="4" customFormat="false" ht="15" hidden="false" customHeight="true" outlineLevel="0" collapsed="false">
      <c r="A4" s="11" t="s">
        <v>89</v>
      </c>
      <c r="B4" s="12"/>
      <c r="C4" s="12"/>
      <c r="D4" s="12"/>
      <c r="E4" s="12"/>
      <c r="F4" s="12"/>
    </row>
    <row r="5" customFormat="false" ht="15" hidden="false" customHeight="true" outlineLevel="0" collapsed="false">
      <c r="A5" s="5" t="s">
        <v>90</v>
      </c>
      <c r="B5" s="9" t="s">
        <v>91</v>
      </c>
      <c r="C5" s="14" t="n">
        <f aca="false">IFERROR(('Raw Data - PL'!C4-'Raw Data - PL'!B4)/'Raw Data - PL'!B4,0)</f>
        <v>0.16797115308478</v>
      </c>
      <c r="D5" s="14" t="n">
        <f aca="false">IFERROR(('Raw Data - PL'!D4-'Raw Data - PL'!C4)/'Raw Data - PL'!C4,0)</f>
        <v>0.175766867966248</v>
      </c>
      <c r="E5" s="14" t="n">
        <f aca="false">IFERROR(('Raw Data - PL'!E4-'Raw Data - PL'!D4)/'Raw Data - PL'!D4,0)</f>
        <v>0.0684606445546399</v>
      </c>
      <c r="F5" s="14" t="n">
        <f aca="false">IFERROR(('Raw Data - PL'!F4-'Raw Data - PL'!E4)/'Raw Data - PL'!E4,0)</f>
        <v>0.0599062654373519</v>
      </c>
    </row>
    <row r="6" customFormat="false" ht="15" hidden="false" customHeight="true" outlineLevel="0" collapsed="false">
      <c r="A6" s="5" t="s">
        <v>92</v>
      </c>
      <c r="B6" s="9" t="s">
        <v>91</v>
      </c>
      <c r="C6" s="14" t="n">
        <f aca="false">IFERROR(('Raw Data - PL'!C10-'Raw Data - PL'!B10)/'Raw Data - PL'!B10,0)</f>
        <v>0.139883126369613</v>
      </c>
      <c r="D6" s="14" t="n">
        <f aca="false">IFERROR(('Raw Data - PL'!D10-'Raw Data - PL'!C10)/'Raw Data - PL'!C10,0)</f>
        <v>0.116912000301562</v>
      </c>
      <c r="E6" s="14" t="n">
        <f aca="false">IFERROR(('Raw Data - PL'!E10-'Raw Data - PL'!D10)/'Raw Data - PL'!D10,0)</f>
        <v>0.0849645629429632</v>
      </c>
      <c r="F6" s="14" t="n">
        <f aca="false">IFERROR(('Raw Data - PL'!F10-'Raw Data - PL'!E10)/'Raw Data - PL'!E10,0)</f>
        <v>0.0484018975036939</v>
      </c>
    </row>
    <row r="7" customFormat="false" ht="15" hidden="false" customHeight="true" outlineLevel="0" collapsed="false">
      <c r="A7" s="5" t="s">
        <v>93</v>
      </c>
      <c r="B7" s="9" t="s">
        <v>91</v>
      </c>
      <c r="C7" s="14" t="n">
        <f aca="false">IFERROR(('Raw Data - PL'!C16-'Raw Data - PL'!B16)/'Raw Data - PL'!B16,0)</f>
        <v>0.147927399065533</v>
      </c>
      <c r="D7" s="14" t="n">
        <f aca="false">IFERROR(('Raw Data - PL'!D16-'Raw Data - PL'!C16)/'Raw Data - PL'!C16,0)</f>
        <v>0.0996686409058888</v>
      </c>
      <c r="E7" s="14" t="n">
        <f aca="false">IFERROR(('Raw Data - PL'!E16-'Raw Data - PL'!D16)/'Raw Data - PL'!D16,0)</f>
        <v>0.105298123235343</v>
      </c>
      <c r="F7" s="14" t="n">
        <f aca="false">IFERROR(('Raw Data - PL'!F16-'Raw Data - PL'!E16)/'Raw Data - PL'!E16,0)</f>
        <v>0.0422453579478373</v>
      </c>
    </row>
    <row r="8" customFormat="false" ht="15" hidden="false" customHeight="true" outlineLevel="0" collapsed="false">
      <c r="A8" s="5" t="s">
        <v>94</v>
      </c>
      <c r="B8" s="9" t="s">
        <v>91</v>
      </c>
      <c r="C8" s="14" t="n">
        <f aca="false">IFERROR(('Raw Data - BS'!C21-'Raw Data - BS'!B21)/'Raw Data - BS'!B21,0)</f>
        <v>0.0809220279799219</v>
      </c>
      <c r="D8" s="14" t="n">
        <f aca="false">IFERROR(('Raw Data - BS'!D21-'Raw Data - BS'!C21)/'Raw Data - BS'!C21,0)</f>
        <v>0.0148641686508765</v>
      </c>
      <c r="E8" s="14" t="n">
        <f aca="false">IFERROR(('Raw Data - BS'!E21-'Raw Data - BS'!D21)/'Raw Data - BS'!D21,0)</f>
        <v>0.0192290541884763</v>
      </c>
      <c r="F8" s="14" t="n">
        <f aca="false">IFERROR(('Raw Data - BS'!F21-'Raw Data - BS'!E21)/'Raw Data - BS'!E21,0)</f>
        <v>0.0887313894946558</v>
      </c>
    </row>
    <row r="10" customFormat="false" ht="15" hidden="false" customHeight="true" outlineLevel="0" collapsed="false">
      <c r="A10" s="11" t="s">
        <v>95</v>
      </c>
      <c r="B10" s="12"/>
      <c r="C10" s="12"/>
      <c r="D10" s="12"/>
      <c r="E10" s="12"/>
      <c r="F10" s="12"/>
    </row>
    <row r="11" customFormat="false" ht="15" hidden="false" customHeight="true" outlineLevel="0" collapsed="false">
      <c r="A11" s="5" t="s">
        <v>96</v>
      </c>
      <c r="B11" s="14" t="n">
        <f aca="false">IFERROR('Raw Data - PL'!B9/'Raw Data - PL'!B4,0)</f>
        <v>0.741248774188833</v>
      </c>
      <c r="C11" s="14" t="n">
        <f aca="false">IFERROR('Raw Data - PL'!C9/'Raw Data - PL'!C4,0)</f>
        <v>0.747316874745768</v>
      </c>
      <c r="D11" s="14" t="n">
        <f aca="false">IFERROR('Raw Data - PL'!D9/'Raw Data - PL'!D4,0)</f>
        <v>0.759436347346291</v>
      </c>
      <c r="E11" s="14" t="n">
        <f aca="false">IFERROR('Raw Data - PL'!E9/'Raw Data - PL'!E4,0)</f>
        <v>0.753786951052957</v>
      </c>
      <c r="F11" s="14" t="n">
        <f aca="false">IFERROR('Raw Data - PL'!F9/'Raw Data - PL'!F4,0)</f>
        <v>0.756525042690856</v>
      </c>
    </row>
    <row r="12" customFormat="false" ht="15" hidden="false" customHeight="true" outlineLevel="0" collapsed="false">
      <c r="A12" s="5" t="s">
        <v>97</v>
      </c>
      <c r="B12" s="14" t="n">
        <f aca="false">IFERROR('Raw Data - PL'!B10/'Raw Data - PL'!B4,0)</f>
        <v>0.283511088642136</v>
      </c>
      <c r="C12" s="14" t="n">
        <f aca="false">IFERROR('Raw Data - PL'!C10/'Raw Data - PL'!C4,0)</f>
        <v>0.276693054642928</v>
      </c>
      <c r="D12" s="14" t="n">
        <f aca="false">IFERROR('Raw Data - PL'!D10/'Raw Data - PL'!D4,0)</f>
        <v>0.262842746764364</v>
      </c>
      <c r="E12" s="14" t="n">
        <f aca="false">IFERROR('Raw Data - PL'!E10/'Raw Data - PL'!E4,0)</f>
        <v>0.266902732748565</v>
      </c>
      <c r="F12" s="14" t="n">
        <f aca="false">IFERROR('Raw Data - PL'!F10/'Raw Data - PL'!F4,0)</f>
        <v>0.264005733891056</v>
      </c>
    </row>
    <row r="13" customFormat="false" ht="15" hidden="false" customHeight="true" outlineLevel="0" collapsed="false">
      <c r="A13" s="5" t="s">
        <v>98</v>
      </c>
      <c r="B13" s="14" t="n">
        <f aca="false">IFERROR('Raw Data - PL'!B12/'Raw Data - PL'!B4,0)</f>
        <v>0.258751225811167</v>
      </c>
      <c r="C13" s="14" t="n">
        <f aca="false">IFERROR('Raw Data - PL'!C12/'Raw Data - PL'!C4,0)</f>
        <v>0.252683125254232</v>
      </c>
      <c r="D13" s="14" t="n">
        <f aca="false">IFERROR('Raw Data - PL'!D12/'Raw Data - PL'!D4,0)</f>
        <v>0.240563652653709</v>
      </c>
      <c r="E13" s="14" t="n">
        <f aca="false">IFERROR('Raw Data - PL'!E12/'Raw Data - PL'!E4,0)</f>
        <v>0.246213048947043</v>
      </c>
      <c r="F13" s="14" t="n">
        <f aca="false">IFERROR('Raw Data - PL'!F12/'Raw Data - PL'!F4,0)</f>
        <v>0.243474957309144</v>
      </c>
    </row>
    <row r="14" customFormat="false" ht="15" hidden="false" customHeight="true" outlineLevel="0" collapsed="false">
      <c r="A14" s="5" t="s">
        <v>99</v>
      </c>
      <c r="B14" s="14" t="n">
        <f aca="false">IFERROR('Raw Data - PL'!B16/'Raw Data - PL'!B4,0)</f>
        <v>0.203365879508092</v>
      </c>
      <c r="C14" s="14" t="n">
        <f aca="false">IFERROR('Raw Data - PL'!C16/'Raw Data - PL'!C4,0)</f>
        <v>0.199875882641301</v>
      </c>
      <c r="D14" s="14" t="n">
        <f aca="false">IFERROR('Raw Data - PL'!D16/'Raw Data - PL'!D4,0)</f>
        <v>0.186939474314506</v>
      </c>
      <c r="E14" s="14" t="n">
        <f aca="false">IFERROR('Raw Data - PL'!E16/'Raw Data - PL'!E4,0)</f>
        <v>0.193384614745966</v>
      </c>
      <c r="F14" s="14" t="n">
        <f aca="false">IFERROR('Raw Data - PL'!F16/'Raw Data - PL'!F4,0)</f>
        <v>0.190162303582899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90"/>
  </cols>
  <sheetData>
    <row r="1" customFormat="false" ht="17.25" hidden="false" customHeight="true" outlineLevel="0" collapsed="false">
      <c r="A1" s="2" t="s">
        <v>100</v>
      </c>
      <c r="B1" s="2"/>
    </row>
    <row r="3" customFormat="false" ht="15" hidden="false" customHeight="true" outlineLevel="0" collapsed="false">
      <c r="A3" s="15" t="s">
        <v>101</v>
      </c>
      <c r="B3" s="15" t="s">
        <v>102</v>
      </c>
    </row>
    <row r="4" customFormat="false" ht="39.75" hidden="false" customHeight="true" outlineLevel="0" collapsed="false">
      <c r="A4" s="5" t="s">
        <v>103</v>
      </c>
      <c r="B4" s="16" t="s">
        <v>104</v>
      </c>
    </row>
    <row r="5" customFormat="false" ht="39.75" hidden="false" customHeight="true" outlineLevel="0" collapsed="false">
      <c r="A5" s="5" t="s">
        <v>105</v>
      </c>
      <c r="B5" s="16" t="s">
        <v>106</v>
      </c>
    </row>
    <row r="6" customFormat="false" ht="39.75" hidden="false" customHeight="true" outlineLevel="0" collapsed="false">
      <c r="A6" s="5" t="s">
        <v>107</v>
      </c>
      <c r="B6" s="16" t="s">
        <v>108</v>
      </c>
    </row>
    <row r="7" customFormat="false" ht="39.75" hidden="false" customHeight="true" outlineLevel="0" collapsed="false">
      <c r="A7" s="5" t="s">
        <v>109</v>
      </c>
      <c r="B7" s="16" t="s">
        <v>110</v>
      </c>
    </row>
    <row r="8" customFormat="false" ht="39.75" hidden="false" customHeight="true" outlineLevel="0" collapsed="false">
      <c r="A8" s="5" t="s">
        <v>111</v>
      </c>
      <c r="B8" s="16" t="s">
        <v>112</v>
      </c>
    </row>
    <row r="9" customFormat="false" ht="39.75" hidden="false" customHeight="true" outlineLevel="0" collapsed="false">
      <c r="A9" s="5" t="s">
        <v>113</v>
      </c>
      <c r="B9" s="16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2026-08-16T13:16:41Z</dcterms:created>
  <dc:creator>openpyxl</dc:creator>
  <dc:description/>
  <dc:language>en-US</dc:language>
  <cp:lastModifiedBy>Afifah Khatoon</cp:lastModifiedBy>
  <dcterms:modified xsi:type="dcterms:W3CDTF">2026-09-18T09:37:22Z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